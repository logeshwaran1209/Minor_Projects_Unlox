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24093B2-382C-4DBC-BC29-80F9EFFC9D90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README" sheetId="1" r:id="rId1"/>
    <sheet name="Detail1" sheetId="13" state="hidden" r:id="rId2"/>
    <sheet name="Sheet1" sheetId="12" r:id="rId3"/>
    <sheet name="Orders" sheetId="2" r:id="rId4"/>
    <sheet name="Customers" sheetId="3" r:id="rId5"/>
    <sheet name="Products" sheetId="4" r:id="rId6"/>
    <sheet name="Sales_Reps" sheetId="5" r:id="rId7"/>
    <sheet name="Targets" sheetId="6" r:id="rId8"/>
    <sheet name="Q1_Lookups" sheetId="7" r:id="rId9"/>
    <sheet name="Q2_Cleaning" sheetId="8" r:id="rId10"/>
    <sheet name="Q3_Aggregation" sheetId="9" r:id="rId11"/>
    <sheet name="Q4_Pivot" sheetId="10" r:id="rId12"/>
    <sheet name="Q5_Advanced" sheetId="11" r:id="rId13"/>
  </sheets>
  <definedNames>
    <definedName name="_xlnm.Print_Area" localSheetId="4">Customers!$A$1:$F$301</definedName>
    <definedName name="_xlnm.Print_Area" localSheetId="3">Orders!$A$1:$K$2001</definedName>
    <definedName name="_xlnm.Print_Area" localSheetId="5">Products!$A$1:$F$61</definedName>
    <definedName name="_xlnm.Print_Area" localSheetId="6">Sales_Reps!$A$1:$E$31</definedName>
    <definedName name="_xlnm.Print_Area" localSheetId="7">Targets!$A$1:$M$31</definedName>
    <definedName name="_xlnm.Print_Titles" localSheetId="4">Customers!$1:$1</definedName>
    <definedName name="_xlnm.Print_Titles" localSheetId="3">Orders!$1:$1</definedName>
    <definedName name="_xlnm.Print_Titles" localSheetId="5">Products!$1:$1</definedName>
    <definedName name="_xlnm.Print_Titles" localSheetId="6">Sales_Reps!$1:$1</definedName>
    <definedName name="_xlnm.Print_Titles" localSheetId="7">Targets!$1:$1</definedName>
  </definedNames>
  <calcPr calcId="191029"/>
  <pivotCaches>
    <pivotCache cacheId="1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2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1176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  <c r="E9" i="11" a="1"/>
  <c r="E9" i="11" s="1"/>
  <c r="E8" i="11" a="1"/>
  <c r="E8" i="11" s="1"/>
  <c r="E7" i="11" a="1"/>
  <c r="E7" i="11" s="1"/>
  <c r="E6" i="11"/>
  <c r="E5" i="11" a="1"/>
  <c r="E5" i="11" s="1"/>
  <c r="E10" i="9" a="1"/>
  <c r="E10" i="9" s="1"/>
  <c r="E7" i="9" a="1"/>
  <c r="E7" i="9" s="1"/>
  <c r="E5" i="9" a="1"/>
  <c r="E5" i="9" s="1"/>
  <c r="E9" i="9" a="1"/>
  <c r="E9" i="9" s="1"/>
  <c r="E8" i="9" a="1"/>
  <c r="E8" i="9" s="1"/>
  <c r="E6" i="9"/>
  <c r="E10" i="8"/>
  <c r="E9" i="8"/>
  <c r="E8" i="8" a="1"/>
  <c r="E8" i="8" s="1"/>
  <c r="E7" i="8" a="1"/>
  <c r="E7" i="8" s="1"/>
  <c r="E6" i="8" a="1"/>
  <c r="E6" i="8" s="1"/>
  <c r="E5" i="8" a="1"/>
  <c r="E5" i="8" s="1"/>
  <c r="E12" i="7"/>
  <c r="E11" i="7"/>
  <c r="E9" i="7"/>
  <c r="E10" i="7"/>
  <c r="E8" i="7"/>
  <c r="E7" i="7"/>
  <c r="E6" i="7"/>
  <c r="E5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<sst xmlns="http://schemas.openxmlformats.org/spreadsheetml/2006/main" count="31851" uniqueCount="3036">
  <si>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</si>
  <si>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</si>
  <si>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</si>
  <si>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</si>
  <si>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</si>
  <si>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</si>
  <si>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</si>
  <si>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</si>
  <si>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</si>
  <si>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</si>
  <si>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</si>
  <si>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</si>
  <si>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</si>
  <si>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</si>
  <si>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</si>
  <si>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</si>
  <si>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</si>
  <si>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</si>
  <si>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</si>
  <si>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</si>
  <si>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</si>
  <si>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</si>
  <si>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</si>
  <si>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</si>
  <si>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</si>
  <si>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</si>
  <si>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</si>
  <si>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</si>
  <si>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</si>
  <si>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</si>
  <si>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</si>
  <si>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</si>
  <si>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</si>
  <si>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</si>
  <si>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</si>
  <si>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</si>
  <si>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</si>
  <si>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</si>
  <si>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</si>
  <si>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</si>
  <si>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</si>
  <si>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</si>
  <si>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</si>
  <si>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</si>
  <si>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</si>
  <si>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</si>
  <si>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</si>
  <si>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</si>
  <si>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</si>
  <si>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</si>
  <si>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</si>
  <si>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</si>
  <si>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</si>
  <si>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</si>
  <si>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</si>
  <si>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</si>
  <si>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</si>
  <si>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</si>
  <si>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</si>
  <si>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</si>
  <si>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</si>
  <si>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</si>
  <si>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</si>
  <si>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</si>
  <si>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</si>
  <si>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</si>
  <si>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</si>
  <si>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</si>
  <si>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</si>
  <si>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</si>
  <si>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</si>
  <si>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</si>
  <si>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</si>
  <si>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</si>
  <si>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</si>
  <si>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</si>
  <si>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</si>
  <si>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</si>
  <si>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</si>
  <si>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</si>
  <si>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</si>
  <si>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</si>
  <si>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</si>
  <si>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</si>
  <si>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</si>
  <si>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</si>
  <si>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</si>
  <si>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</si>
  <si>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</si>
  <si>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</si>
  <si>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</si>
  <si>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</si>
  <si>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</si>
  <si>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</si>
  <si>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</si>
  <si>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</si>
  <si>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</si>
  <si>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</si>
  <si>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</si>
  <si>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</si>
  <si>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</si>
  <si>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</si>
  <si>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</si>
  <si>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</si>
  <si>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</si>
  <si>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</si>
  <si>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</si>
  <si>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</si>
  <si>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</si>
  <si>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</si>
  <si>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</si>
  <si>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</si>
  <si>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</si>
  <si>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</si>
  <si>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</si>
  <si>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</si>
  <si>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</si>
  <si>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</si>
  <si>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</si>
  <si>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</si>
  <si>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</si>
  <si>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</si>
  <si>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</si>
  <si>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</si>
  <si>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</si>
  <si>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</si>
  <si>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</si>
  <si>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</si>
  <si>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</si>
  <si>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</si>
  <si>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</si>
  <si>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</si>
  <si>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</si>
  <si>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</si>
  <si>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</si>
  <si>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</si>
  <si>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</si>
  <si>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</si>
  <si>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</si>
  <si>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</si>
  <si>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</si>
  <si>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</si>
  <si>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</si>
  <si>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</si>
  <si>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</si>
  <si>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</si>
  <si>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</si>
  <si>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</si>
  <si>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</si>
  <si>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</si>
  <si>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</si>
  <si>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</si>
  <si>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</si>
  <si>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</si>
  <si>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</si>
  <si>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</si>
  <si>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</si>
  <si>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</si>
  <si>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</si>
  <si>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</si>
  <si>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</si>
  <si>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</si>
  <si>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</si>
  <si>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</si>
  <si>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</si>
  <si>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</si>
  <si>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</si>
  <si>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</si>
  <si>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</si>
  <si>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</si>
  <si>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</si>
  <si>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</si>
  <si>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</si>
  <si>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</si>
  <si>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</si>
  <si>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</si>
  <si>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</si>
  <si>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</si>
  <si>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</si>
  <si>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</si>
  <si>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</si>
  <si>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</si>
  <si>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</si>
  <si>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</si>
  <si>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</si>
  <si>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</si>
  <si>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</si>
  <si>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</si>
  <si>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</si>
  <si>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</si>
  <si>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</si>
  <si>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</si>
  <si>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</si>
  <si>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</si>
  <si>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</si>
  <si>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</si>
  <si>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</si>
  <si>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</si>
  <si>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</si>
  <si>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</si>
  <si>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</si>
  <si>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</si>
  <si>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</si>
  <si>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</si>
  <si>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</si>
  <si>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</si>
  <si>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</si>
  <si>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</si>
  <si>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</si>
  <si>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</si>
  <si>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</si>
  <si>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</si>
  <si>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</si>
  <si>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</si>
  <si>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</si>
  <si>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</si>
  <si>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</si>
  <si>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</si>
  <si>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</si>
  <si>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</si>
  <si>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</si>
  <si>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</si>
  <si>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</si>
  <si>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</si>
  <si>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</si>
  <si>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</si>
  <si>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</si>
  <si>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</si>
  <si>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</si>
  <si>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</si>
  <si>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</si>
  <si>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</si>
  <si>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</si>
  <si>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</si>
  <si>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</si>
  <si>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</si>
  <si>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</si>
  <si>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</si>
  <si>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</si>
  <si>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</si>
  <si>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</si>
  <si>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</si>
  <si>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</si>
  <si>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</si>
  <si>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</si>
  <si>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</si>
  <si>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</si>
  <si>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</si>
  <si>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</si>
  <si>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</si>
  <si>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</si>
  <si>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</si>
  <si>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</si>
  <si>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</si>
  <si>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</si>
  <si>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</si>
  <si>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</si>
  <si>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</si>
  <si>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</si>
  <si>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</si>
  <si>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</si>
  <si>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</si>
  <si>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</si>
  <si>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</si>
  <si>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</si>
  <si>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</si>
  <si>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</si>
  <si>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</si>
  <si>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</si>
  <si>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</si>
  <si>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</si>
  <si>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</si>
  <si>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</si>
  <si>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</si>
  <si>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</si>
  <si>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</si>
  <si>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</si>
  <si>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</si>
  <si>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</si>
  <si>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</si>
  <si>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</si>
  <si>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</si>
  <si>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</si>
  <si>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</si>
  <si>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</si>
  <si>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</si>
  <si>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</si>
  <si>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</si>
  <si>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</si>
  <si>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</si>
  <si>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</si>
  <si>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</si>
  <si>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</si>
  <si>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</si>
  <si>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</si>
  <si>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</si>
  <si>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</si>
  <si>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</si>
  <si>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</si>
  <si>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</si>
  <si>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</si>
  <si>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</si>
  <si>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</si>
  <si>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</si>
  <si>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</si>
  <si>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</si>
  <si>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</si>
  <si>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</si>
  <si>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</si>
  <si>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</si>
  <si>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</si>
  <si>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</si>
  <si>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</si>
  <si>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</si>
  <si>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</si>
  <si>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</si>
  <si>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</si>
  <si>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</si>
  <si>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</si>
  <si>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</si>
  <si>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</si>
  <si>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</si>
  <si>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</si>
  <si>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</si>
  <si>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</si>
  <si>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</si>
  <si>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</si>
  <si>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</si>
  <si>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</si>
  <si>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</si>
  <si>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</si>
  <si>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</si>
  <si>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</si>
  <si>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</si>
  <si>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</si>
  <si>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</si>
  <si>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</si>
  <si>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</si>
  <si>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</si>
  <si>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</si>
  <si>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</si>
  <si>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</si>
  <si>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</si>
  <si>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</si>
  <si>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</si>
  <si>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</si>
  <si>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</si>
  <si>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</si>
  <si>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</si>
  <si>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</si>
  <si>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</si>
  <si>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</si>
  <si>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</si>
  <si>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</si>
  <si>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</si>
  <si>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</si>
  <si>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</si>
  <si>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</si>
  <si>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</si>
  <si>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</si>
  <si>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</si>
  <si>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</si>
  <si>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</si>
  <si>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</si>
  <si>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</si>
  <si>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</si>
  <si>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</si>
  <si>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</si>
  <si>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</si>
  <si>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</si>
  <si>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</si>
  <si>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</si>
  <si>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</si>
  <si>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</si>
  <si>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</si>
  <si>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</si>
  <si>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</si>
  <si>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</si>
  <si>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</si>
  <si>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</si>
  <si>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</si>
  <si>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</si>
  <si>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</si>
  <si>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</si>
  <si>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</si>
  <si>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</si>
  <si>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</si>
  <si>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</si>
  <si>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</si>
  <si>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</si>
  <si>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</si>
  <si>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</si>
  <si>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</si>
  <si>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</si>
  <si>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</si>
  <si>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</si>
  <si>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</si>
  <si>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</si>
  <si>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</si>
  <si>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</si>
  <si>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</si>
  <si>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</si>
  <si>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</si>
  <si>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</si>
  <si>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</si>
  <si>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</si>
  <si>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</si>
  <si>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</si>
  <si>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</si>
  <si>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</si>
  <si>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</si>
  <si>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</si>
  <si>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</si>
  <si>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</si>
  <si>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</si>
  <si>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</si>
  <si>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</si>
  <si>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</si>
  <si>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</si>
  <si>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</si>
  <si>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</si>
  <si>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</si>
  <si>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</si>
  <si>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</si>
  <si>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</si>
  <si>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</si>
  <si>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</si>
  <si>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</si>
  <si>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</si>
  <si>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</si>
  <si>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</si>
  <si>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</si>
  <si>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</si>
  <si>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</si>
  <si>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</si>
  <si>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</si>
  <si>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</si>
  <si>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</si>
  <si>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</si>
  <si>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</si>
  <si>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</si>
  <si>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</si>
  <si>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</si>
  <si>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</si>
  <si>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</si>
  <si>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</si>
  <si>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</si>
  <si>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</si>
  <si>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</si>
  <si>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</si>
  <si>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</si>
  <si>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</si>
  <si>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</si>
  <si>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</si>
  <si>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</si>
  <si>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</si>
  <si>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</si>
  <si>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</si>
  <si>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</si>
  <si>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</si>
  <si>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</si>
  <si>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</si>
  <si>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</si>
  <si>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</si>
  <si>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</si>
  <si>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</si>
  <si>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</si>
  <si>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</si>
  <si>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</si>
  <si>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</si>
  <si>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</si>
  <si>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</si>
  <si>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</si>
  <si>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</si>
  <si>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</si>
  <si>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</si>
  <si>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</si>
  <si>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</si>
  <si>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</si>
  <si>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</si>
  <si>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</si>
  <si>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</si>
  <si>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</si>
  <si>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</si>
  <si>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</si>
  <si>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</si>
  <si>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</si>
  <si>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</si>
  <si>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</si>
  <si>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</si>
  <si>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</si>
  <si>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</si>
  <si>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</si>
  <si>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</si>
  <si>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</si>
  <si>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</si>
  <si>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</si>
  <si>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</si>
  <si>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</si>
  <si>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</si>
  <si>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</si>
  <si>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</si>
  <si>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</si>
  <si>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</si>
  <si>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</si>
  <si>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</si>
  <si>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</si>
  <si>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</si>
  <si>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</si>
  <si>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</si>
  <si>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</si>
  <si>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</si>
  <si>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</si>
  <si>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</si>
  <si>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</si>
  <si>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</si>
  <si>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</si>
  <si>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</si>
  <si>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</si>
  <si>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</si>
  <si>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</si>
  <si>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</si>
  <si>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</si>
  <si>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</si>
  <si>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</si>
  <si>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</si>
  <si>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</si>
  <si>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</si>
  <si>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</si>
  <si>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</si>
  <si>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</si>
  <si>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</si>
  <si>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</si>
  <si>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</si>
  <si>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</si>
  <si>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</si>
  <si>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</si>
  <si>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</si>
  <si>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</si>
  <si>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</si>
  <si>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</si>
  <si>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</si>
  <si>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</si>
  <si>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</si>
  <si>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</si>
  <si>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</si>
  <si>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</si>
  <si>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</si>
  <si>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</si>
  <si>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</si>
  <si>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</si>
  <si>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</si>
  <si>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</si>
  <si>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</si>
  <si>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</si>
  <si>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</si>
  <si>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</si>
  <si>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</si>
  <si>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</si>
  <si>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</si>
  <si>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</si>
  <si>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</si>
  <si>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</si>
  <si>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</si>
  <si>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</si>
  <si>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</si>
  <si>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</si>
  <si>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</si>
  <si>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</si>
  <si>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</si>
  <si>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</si>
  <si>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</si>
  <si>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</si>
  <si>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</si>
  <si>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</si>
  <si>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</si>
  <si>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</si>
  <si>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</si>
  <si>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</si>
  <si>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</si>
  <si>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</si>
  <si>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</si>
  <si>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</si>
  <si>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</si>
  <si>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</si>
  <si>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</si>
  <si>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</si>
  <si>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</si>
  <si>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</si>
  <si>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</si>
  <si>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</si>
  <si>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</si>
  <si>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</si>
  <si>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</si>
  <si>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</si>
  <si>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</si>
  <si>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</si>
  <si>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</si>
  <si>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</si>
  <si>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</si>
  <si>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</si>
  <si>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</si>
  <si>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</si>
  <si>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</si>
  <si>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</si>
  <si>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</si>
  <si>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</si>
  <si>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</si>
  <si>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</si>
  <si>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</si>
  <si>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</si>
  <si>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</si>
  <si>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</si>
  <si>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</si>
  <si>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</si>
  <si>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</si>
  <si>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</si>
  <si>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</si>
  <si>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</si>
  <si>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</si>
  <si>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</si>
  <si>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</si>
  <si>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</si>
  <si>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</si>
  <si>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</si>
  <si>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</si>
  <si>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</si>
  <si>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</si>
  <si>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</si>
  <si>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</si>
  <si>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</si>
  <si>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</si>
  <si>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</si>
  <si>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</si>
  <si>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</si>
  <si>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</si>
  <si>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</si>
  <si>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</si>
  <si>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</si>
  <si>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</si>
  <si>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</si>
  <si>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</si>
  <si>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</si>
  <si>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</si>
  <si>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</si>
  <si>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</si>
  <si>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</si>
  <si>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</si>
  <si>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</si>
  <si>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</si>
  <si>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</si>
  <si>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</si>
  <si>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</si>
  <si>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</si>
  <si>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</si>
  <si>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</si>
  <si>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</si>
  <si>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</si>
  <si>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</si>
  <si>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</si>
  <si>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</si>
  <si>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</si>
  <si>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</si>
  <si>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</si>
  <si>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</si>
  <si>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</si>
  <si>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</si>
  <si>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</si>
  <si>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</si>
  <si>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</si>
  <si>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</si>
  <si>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</si>
  <si>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</si>
  <si>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</si>
  <si>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</si>
  <si>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</si>
  <si>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</si>
  <si>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</si>
  <si>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</si>
  <si>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</si>
  <si>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</si>
  <si>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</si>
  <si>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</si>
  <si>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</si>
  <si>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</si>
  <si>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</si>
  <si>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</si>
  <si>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</si>
  <si>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</si>
  <si>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</si>
  <si>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</si>
  <si>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</si>
  <si>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</si>
  <si>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</si>
  <si>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</si>
  <si>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</si>
  <si>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</si>
  <si>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</si>
  <si>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</si>
  <si>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</si>
  <si>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</si>
  <si>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</si>
  <si>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</si>
  <si>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</si>
  <si>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</si>
  <si>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</si>
  <si>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</si>
  <si>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</si>
  <si>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</si>
  <si>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</si>
  <si>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</si>
  <si>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</si>
  <si>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</si>
  <si>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</si>
  <si>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</si>
  <si>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</si>
  <si>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</si>
  <si>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</si>
  <si>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</si>
  <si>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</si>
  <si>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</si>
  <si>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</si>
  <si>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</si>
  <si>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</si>
  <si>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</si>
  <si>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</si>
  <si>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</si>
  <si>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</si>
  <si>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</si>
  <si>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</si>
  <si>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</si>
  <si>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</si>
  <si>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</si>
  <si>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</si>
  <si>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</si>
  <si>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</si>
  <si>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</si>
  <si>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</si>
  <si>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</si>
  <si>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</si>
  <si>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</si>
  <si>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</si>
  <si>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</si>
  <si>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</si>
  <si>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</si>
  <si>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</si>
  <si>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</si>
  <si>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</si>
  <si>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</si>
  <si>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</si>
  <si>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</si>
  <si>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</si>
  <si>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</si>
  <si>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</si>
  <si>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</si>
  <si>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</si>
  <si>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</si>
  <si>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</si>
  <si>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</si>
  <si>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</si>
  <si>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</si>
  <si>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</si>
  <si>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</si>
  <si>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</si>
  <si>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</si>
  <si>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</si>
  <si>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</si>
  <si>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</si>
  <si>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</si>
  <si>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</si>
  <si>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</si>
  <si>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</si>
  <si>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</si>
  <si>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</si>
  <si>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</si>
  <si>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</si>
  <si>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</si>
  <si>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</si>
  <si>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</si>
  <si>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</si>
  <si>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</si>
  <si>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</si>
  <si>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</si>
  <si>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</si>
  <si>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</si>
  <si>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</si>
  <si>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</si>
  <si>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</si>
  <si>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</si>
  <si>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</si>
  <si>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</si>
  <si>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</si>
  <si>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</si>
  <si>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</si>
  <si>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</si>
  <si>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</si>
  <si>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</si>
  <si>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</si>
  <si>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</si>
  <si>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</si>
  <si>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</si>
  <si>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</si>
  <si>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</si>
  <si>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</si>
  <si>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</si>
  <si>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</si>
  <si>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</si>
  <si>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</si>
  <si>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</si>
  <si>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</si>
  <si>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</si>
  <si>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</si>
  <si>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</si>
  <si>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</si>
  <si>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</si>
  <si>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</si>
  <si>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</si>
  <si>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</si>
  <si>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</si>
  <si>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</si>
  <si>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</si>
  <si>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</si>
  <si>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</si>
  <si>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</si>
  <si>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</si>
  <si>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</si>
  <si>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</si>
  <si>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</si>
  <si>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</si>
  <si>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</si>
  <si>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</si>
  <si>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</si>
  <si>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</si>
  <si>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</si>
  <si>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</si>
  <si>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</si>
  <si>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</si>
  <si>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</si>
  <si>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</si>
  <si>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</si>
  <si>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</si>
  <si>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</si>
  <si>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</si>
  <si>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</si>
  <si>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</si>
  <si>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</si>
  <si>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</si>
  <si>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</si>
  <si>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</si>
  <si>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</si>
  <si>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</si>
  <si>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</si>
  <si>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</si>
  <si>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</si>
  <si>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</si>
  <si>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</si>
  <si>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</si>
  <si>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</si>
  <si>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</si>
  <si>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</si>
  <si>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</si>
  <si>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</si>
  <si>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</si>
  <si>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</si>
  <si>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</si>
  <si>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</si>
  <si>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</si>
  <si>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</si>
  <si>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</si>
  <si>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</si>
  <si>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</si>
  <si>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</si>
  <si>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</si>
  <si>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</si>
  <si>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</si>
  <si>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</si>
  <si>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</si>
  <si>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</si>
  <si>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</si>
  <si>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</si>
  <si>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</si>
  <si>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</si>
  <si>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</si>
  <si>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</si>
  <si>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</si>
  <si>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</si>
  <si>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</si>
  <si>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</si>
  <si>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</si>
  <si>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</si>
  <si>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</si>
  <si>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</si>
  <si>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</si>
  <si>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</si>
  <si>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</si>
  <si>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</si>
  <si>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</si>
  <si>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</si>
  <si>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</si>
  <si>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</si>
  <si>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</si>
  <si>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</si>
  <si>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</si>
  <si>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</si>
  <si>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</si>
  <si>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</si>
  <si>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</si>
  <si>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</si>
  <si>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</si>
  <si>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</si>
  <si>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</si>
  <si>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</si>
  <si>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</si>
  <si>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</si>
  <si>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</si>
  <si>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</si>
  <si>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</si>
  <si>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</si>
  <si>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</si>
  <si>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</si>
  <si>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</si>
  <si>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</si>
  <si>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</si>
  <si>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</si>
  <si>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</si>
  <si>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</si>
  <si>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</si>
  <si>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</si>
  <si>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</si>
  <si>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</si>
  <si>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</si>
  <si>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</si>
  <si>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</si>
  <si>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</si>
  <si>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</si>
  <si>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</si>
  <si>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</si>
  <si>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</si>
  <si>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</si>
  <si>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</si>
  <si>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</si>
  <si>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</si>
  <si>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</si>
  <si>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</si>
  <si>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</si>
  <si>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</si>
  <si>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</si>
  <si>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</si>
  <si>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</si>
  <si>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</si>
  <si>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</si>
  <si>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</si>
  <si>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</si>
  <si>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</si>
  <si>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</si>
  <si>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</si>
  <si>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</si>
  <si>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</si>
  <si>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</si>
  <si>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</si>
  <si>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</si>
  <si>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</si>
  <si>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</si>
  <si>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</si>
  <si>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</si>
  <si>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</si>
  <si>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</si>
  <si>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</si>
  <si>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</si>
  <si>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</si>
  <si>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</si>
  <si>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</si>
  <si>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</si>
  <si>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</si>
  <si>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</si>
  <si>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</si>
  <si>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</si>
  <si>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</si>
  <si>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</si>
  <si>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</si>
  <si>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</si>
  <si>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</si>
  <si>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</si>
  <si>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</si>
  <si>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</si>
  <si>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</si>
  <si>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</si>
  <si>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</si>
  <si>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</si>
  <si>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</si>
  <si>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</si>
  <si>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</si>
  <si>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</si>
  <si>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</si>
  <si>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</si>
  <si>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</si>
  <si>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</si>
  <si>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</si>
  <si>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</si>
  <si>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</si>
  <si>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</si>
  <si>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</si>
  <si>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</si>
  <si>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</si>
  <si>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</si>
  <si>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</si>
  <si>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</si>
  <si>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</si>
  <si>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</si>
  <si>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</si>
  <si>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</si>
  <si>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</si>
  <si>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</si>
  <si>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</si>
  <si>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</si>
  <si>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</si>
  <si>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</si>
  <si>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</si>
  <si>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</si>
  <si>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</si>
  <si>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</si>
  <si>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</si>
  <si>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</si>
  <si>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</si>
  <si>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</si>
  <si>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</si>
  <si>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</si>
  <si>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</si>
  <si>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</si>
  <si>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</si>
  <si>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</si>
  <si>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</si>
  <si>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</si>
  <si>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</si>
  <si>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</si>
  <si>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</si>
  <si>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</si>
  <si>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</si>
  <si>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</si>
  <si>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</si>
  <si>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</si>
  <si>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</si>
  <si>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</si>
  <si>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</si>
  <si>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</si>
  <si>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</si>
  <si>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</si>
  <si>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</si>
  <si>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</si>
  <si>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</si>
  <si>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</si>
  <si>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</si>
  <si>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</si>
  <si>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</si>
  <si>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</si>
  <si>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</si>
  <si>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</si>
  <si>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</si>
  <si>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</si>
  <si>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</si>
  <si>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</si>
  <si>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</si>
  <si>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</si>
  <si>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</si>
  <si>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</si>
  <si>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</si>
  <si>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</si>
  <si>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</si>
  <si>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</si>
  <si>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</si>
  <si>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</si>
  <si>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</si>
  <si>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</si>
  <si>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</si>
  <si>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</si>
  <si>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</si>
  <si>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</si>
  <si>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</si>
  <si>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</si>
  <si>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</si>
  <si>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</si>
  <si>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</si>
  <si>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</si>
  <si>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</si>
  <si>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</si>
  <si>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</si>
  <si>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</si>
  <si>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</si>
  <si>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</si>
  <si>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</si>
  <si>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</si>
  <si>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</si>
  <si>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</si>
  <si>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</si>
  <si>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</si>
  <si>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</si>
  <si>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</si>
  <si>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</si>
  <si>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</si>
  <si>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</si>
  <si>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</si>
  <si>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</si>
  <si>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</si>
  <si>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</si>
  <si>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</si>
  <si>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</si>
  <si>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</si>
  <si>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</si>
  <si>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</si>
  <si>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</si>
  <si>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</si>
  <si>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</si>
  <si>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</si>
  <si>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</si>
  <si>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</si>
  <si>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</si>
  <si>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</si>
  <si>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</si>
  <si>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</si>
  <si>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</si>
  <si>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</si>
  <si>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</si>
  <si>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</si>
  <si>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</si>
  <si>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</si>
  <si>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</si>
  <si>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</si>
  <si>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</si>
  <si>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</si>
  <si>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</si>
  <si>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</si>
  <si>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</si>
  <si>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</si>
  <si>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</si>
  <si>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</si>
  <si>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</si>
  <si>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</si>
  <si>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</si>
  <si>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</si>
  <si>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</si>
  <si>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</si>
  <si>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</si>
  <si>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</si>
  <si>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</si>
  <si>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</si>
  <si>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</si>
  <si>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</si>
  <si>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</si>
  <si>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</si>
  <si>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</si>
  <si>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</si>
  <si>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</si>
  <si>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</si>
  <si>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</si>
  <si>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</si>
  <si>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</si>
  <si>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</si>
  <si>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</si>
  <si>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</si>
  <si>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</si>
  <si>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</si>
  <si>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</si>
  <si>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</si>
  <si>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</si>
  <si>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</si>
  <si>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</si>
  <si>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</si>
  <si>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</si>
  <si>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</si>
  <si>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</si>
  <si>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</si>
  <si>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</si>
  <si>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</si>
  <si>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</si>
  <si>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</si>
  <si>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</si>
  <si>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</si>
  <si>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</si>
  <si>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</si>
  <si>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</si>
  <si>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</si>
  <si>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</si>
  <si>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</si>
  <si>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</si>
  <si>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</si>
  <si>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</si>
  <si>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</si>
  <si>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</si>
  <si>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</si>
  <si>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</si>
  <si>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</si>
  <si>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</si>
  <si>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</si>
  <si>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</si>
  <si>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</si>
  <si>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</si>
  <si>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</si>
  <si>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</si>
  <si>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</si>
  <si>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</si>
  <si>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</si>
  <si>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</si>
  <si>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</si>
  <si>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</si>
  <si>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</si>
  <si>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</si>
  <si>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</si>
  <si>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</si>
  <si>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</si>
  <si>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</si>
  <si>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</si>
  <si>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</si>
  <si>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</si>
  <si>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</si>
  <si>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</si>
  <si>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</si>
  <si>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</si>
  <si>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</si>
  <si>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</si>
  <si>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</si>
  <si>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</si>
  <si>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</si>
  <si>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</si>
  <si>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</si>
  <si>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</si>
  <si>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</si>
  <si>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</si>
  <si>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</si>
  <si>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</si>
  <si>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</si>
  <si>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</si>
  <si>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</si>
  <si>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</si>
  <si>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</si>
  <si>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</si>
  <si>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</si>
  <si>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</si>
  <si>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</si>
  <si>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</si>
  <si>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</si>
  <si>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</si>
  <si>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</si>
  <si>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</si>
  <si>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</si>
  <si>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</si>
  <si>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</si>
  <si>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</si>
  <si>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</si>
  <si>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</si>
  <si>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</si>
  <si>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</si>
  <si>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</si>
  <si>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</si>
  <si>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</si>
  <si>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</si>
  <si>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</si>
  <si>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</si>
  <si>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</si>
  <si>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</si>
  <si>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</si>
  <si>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</si>
  <si>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</si>
  <si>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</si>
  <si>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</si>
  <si>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</si>
  <si>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</si>
  <si>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</si>
  <si>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</si>
  <si>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</si>
  <si>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</si>
  <si>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</si>
  <si>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</si>
  <si>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</si>
  <si>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</si>
  <si>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</si>
  <si>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</si>
  <si>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</si>
  <si>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</si>
  <si>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</si>
  <si>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</si>
  <si>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</si>
  <si>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</si>
  <si>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</si>
  <si>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</si>
  <si>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</si>
  <si>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</si>
  <si>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</si>
  <si>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</si>
  <si>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</si>
  <si>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</si>
  <si>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</si>
  <si>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</si>
  <si>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</si>
  <si>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</si>
  <si>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</si>
  <si>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</si>
  <si>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</si>
  <si>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</si>
  <si>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</si>
  <si>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</si>
  <si>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</si>
  <si>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</si>
  <si>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</si>
  <si>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</si>
  <si>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</si>
  <si>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</si>
  <si>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</si>
  <si>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</si>
  <si>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</si>
  <si>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</si>
  <si>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</si>
  <si>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</si>
  <si>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</si>
  <si>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</si>
  <si>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</si>
  <si>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</si>
  <si>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</si>
  <si>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</si>
  <si>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</si>
  <si>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</si>
  <si>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</si>
  <si>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</si>
  <si>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</si>
  <si>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</si>
  <si>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</si>
  <si>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</si>
  <si>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</si>
  <si>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</si>
  <si>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</si>
  <si>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</si>
  <si>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</si>
  <si>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</si>
  <si>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</si>
  <si>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</si>
  <si>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</si>
  <si>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</si>
  <si>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</si>
  <si>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</si>
  <si>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</si>
  <si>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</si>
  <si>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</si>
  <si>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</si>
  <si>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</si>
  <si>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</si>
  <si>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</si>
  <si>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</si>
  <si>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</si>
  <si>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</si>
  <si>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</si>
  <si>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</si>
  <si>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</si>
  <si>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</si>
  <si>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</si>
  <si>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</si>
  <si>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</si>
  <si>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</si>
  <si>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</si>
  <si>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</si>
  <si>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</si>
  <si>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</si>
  <si>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</si>
  <si>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</si>
  <si>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</si>
  <si>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</si>
  <si>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</si>
  <si>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</si>
  <si>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</si>
  <si>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</si>
  <si>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</si>
  <si>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</si>
  <si>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</si>
  <si>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</si>
  <si>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</si>
  <si>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</si>
  <si>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</si>
  <si>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</si>
  <si>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</si>
  <si>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</si>
  <si>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</si>
  <si>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</si>
  <si>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</si>
  <si>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</si>
  <si>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</si>
  <si>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</si>
  <si>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</si>
  <si>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</si>
  <si>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</si>
  <si>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</si>
  <si>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</si>
  <si>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</si>
  <si>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</si>
  <si>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</si>
  <si>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</si>
  <si>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</si>
  <si>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</si>
  <si>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</si>
  <si>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</si>
  <si>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</si>
  <si>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</si>
  <si>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</si>
  <si>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</si>
  <si>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</si>
  <si>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</si>
  <si>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</si>
  <si>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</si>
  <si>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</si>
  <si>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</si>
  <si>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</si>
  <si>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</si>
  <si>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</si>
  <si>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</si>
  <si>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</si>
  <si>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</si>
  <si>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</si>
  <si>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</si>
  <si>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</si>
  <si>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</si>
  <si>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</si>
  <si>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</si>
  <si>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</si>
  <si>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</si>
  <si>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</si>
  <si>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</si>
  <si>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</si>
  <si>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</si>
  <si>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</si>
  <si>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</si>
  <si>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</si>
  <si>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</si>
  <si>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</si>
  <si>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</si>
  <si>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</si>
  <si>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</si>
  <si>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</si>
  <si>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</si>
  <si>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</si>
  <si>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</si>
  <si>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</si>
  <si>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</si>
  <si>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</si>
  <si>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</si>
  <si>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</si>
  <si>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</si>
  <si>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</si>
  <si>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</si>
  <si>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</si>
  <si>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</si>
  <si>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</si>
  <si>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</si>
  <si>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</si>
  <si>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</si>
  <si>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</si>
  <si>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</si>
  <si>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</si>
  <si>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</si>
  <si>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</si>
  <si>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</si>
  <si>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</si>
  <si>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</si>
  <si>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</si>
  <si>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</si>
  <si>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</si>
  <si>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</si>
  <si>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</si>
  <si>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</si>
  <si>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</si>
  <si>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</si>
  <si>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</si>
  <si>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</si>
  <si>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</si>
  <si>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</si>
  <si>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</si>
  <si>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</si>
  <si>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</si>
  <si>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</si>
  <si>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</si>
  <si>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</si>
  <si>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</si>
  <si>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</si>
  <si>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</si>
  <si>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</si>
  <si>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</si>
  <si>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</si>
  <si>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</si>
  <si>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</si>
  <si>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</si>
  <si>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</si>
  <si>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</si>
  <si>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</si>
  <si>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</si>
  <si>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</si>
  <si>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</si>
  <si>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</si>
  <si>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</si>
  <si>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</si>
  <si>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</si>
  <si>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</si>
  <si>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</si>
  <si>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</si>
  <si>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</si>
  <si>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</si>
  <si>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</si>
  <si>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</si>
  <si>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</si>
  <si>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</si>
  <si>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</si>
  <si>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</si>
  <si>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</si>
  <si>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</si>
  <si>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</si>
  <si>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</si>
  <si>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</si>
  <si>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</si>
  <si>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</si>
  <si>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</si>
  <si>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</si>
  <si>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</si>
  <si>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</si>
  <si>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</si>
  <si>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</si>
  <si>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</si>
  <si>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</si>
  <si>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</si>
  <si>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</si>
  <si>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</si>
  <si>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</si>
  <si>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</si>
  <si>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</si>
  <si>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</si>
  <si>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</si>
  <si>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</si>
  <si>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</si>
  <si>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</si>
  <si>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</si>
  <si>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</si>
  <si>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</si>
  <si>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</si>
  <si>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</si>
  <si>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</si>
  <si>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</si>
  <si>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</si>
  <si>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</si>
  <si>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</si>
  <si>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</si>
  <si>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</si>
  <si>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</si>
  <si>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</si>
  <si>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</si>
  <si>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</si>
  <si>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</si>
  <si>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</si>
  <si>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</si>
  <si>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</si>
  <si>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</si>
  <si>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</si>
  <si>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</si>
  <si>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</si>
  <si>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</si>
  <si>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</si>
  <si>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</si>
  <si>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</si>
  <si>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</si>
  <si>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</si>
  <si>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</si>
  <si>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</si>
  <si>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</si>
  <si>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</si>
  <si>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</si>
  <si>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</si>
  <si>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</si>
  <si>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</si>
  <si>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</si>
  <si>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</si>
  <si>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</si>
  <si>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</si>
  <si>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</si>
  <si>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</si>
  <si>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</si>
  <si>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</si>
  <si>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</si>
  <si>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</si>
  <si>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</si>
  <si>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</si>
  <si>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</si>
  <si>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</si>
  <si>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</si>
  <si>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</si>
  <si>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</si>
  <si>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</si>
  <si>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</si>
  <si>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</si>
  <si>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</si>
  <si>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</si>
  <si>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</si>
  <si>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</si>
  <si>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</si>
  <si>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</si>
  <si>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</si>
  <si>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</si>
  <si>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</si>
  <si>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</si>
  <si>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</si>
  <si>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</si>
  <si>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</si>
  <si>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</si>
  <si>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</si>
  <si>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</si>
  <si>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</si>
  <si>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</si>
  <si>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</si>
  <si>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</si>
  <si>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</si>
  <si>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</si>
  <si>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</si>
  <si>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</si>
  <si>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</si>
  <si>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</si>
  <si>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</si>
  <si>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</si>
  <si>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</si>
  <si>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</si>
  <si>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</si>
  <si>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</si>
  <si>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</si>
  <si>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</si>
  <si>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</si>
  <si>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</si>
  <si>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</si>
  <si>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</si>
  <si>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</si>
  <si>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</si>
  <si>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</si>
  <si>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</si>
  <si>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</si>
  <si>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</si>
  <si>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</si>
  <si>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</si>
  <si>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</si>
  <si>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</si>
  <si>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</si>
  <si>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</si>
  <si>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</si>
  <si>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</si>
  <si>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</si>
  <si>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</si>
  <si>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</si>
  <si>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</si>
  <si>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</si>
  <si>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</si>
  <si>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</si>
  <si>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</si>
  <si>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</si>
  <si>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</si>
  <si>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</si>
  <si>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</si>
  <si>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</si>
  <si>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</si>
  <si>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</si>
  <si>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</si>
  <si>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</si>
  <si>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</si>
  <si>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</si>
  <si>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</si>
  <si>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</si>
  <si>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</si>
  <si>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</si>
  <si>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</si>
  <si>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</si>
  <si>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</si>
  <si>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</si>
  <si>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</si>
  <si>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</si>
  <si>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</si>
  <si>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</si>
  <si>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</si>
  <si>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</si>
  <si>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</si>
  <si>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</si>
  <si>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</si>
  <si>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</si>
  <si>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</si>
  <si>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</si>
  <si>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</si>
  <si>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</si>
  <si>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</si>
  <si>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</si>
  <si>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</si>
  <si>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</si>
  <si>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</si>
  <si>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</si>
  <si>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</si>
  <si>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</si>
  <si>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</si>
  <si>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</si>
  <si>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</si>
  <si>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</si>
  <si>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</si>
  <si>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</si>
  <si>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</si>
  <si>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</si>
  <si>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</si>
  <si>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</si>
  <si>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</si>
  <si>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</si>
  <si>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</si>
  <si>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</si>
  <si>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</si>
  <si>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</si>
  <si>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</si>
  <si>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</si>
  <si>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</si>
  <si>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</si>
  <si>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</si>
  <si>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</si>
  <si>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</si>
  <si>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</si>
  <si>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</si>
  <si>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</si>
  <si>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</si>
  <si>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</si>
  <si>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</si>
  <si>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</si>
  <si>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</si>
  <si>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</si>
  <si>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</si>
  <si>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</si>
  <si>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</si>
  <si>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</si>
  <si>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</si>
  <si>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</si>
  <si>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</si>
  <si>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</si>
  <si>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</si>
  <si>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</si>
  <si>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</si>
  <si>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</si>
  <si>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</si>
  <si>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</si>
  <si>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</si>
  <si>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</si>
  <si>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</si>
  <si>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</si>
  <si>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</si>
  <si>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</si>
  <si>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</si>
  <si>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</si>
  <si>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</si>
  <si>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</si>
  <si>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</si>
  <si>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</si>
  <si>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</si>
  <si>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</si>
  <si>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</si>
  <si>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</si>
  <si>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</si>
  <si>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</si>
  <si>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</si>
  <si>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</si>
  <si>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</si>
  <si>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</si>
  <si>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</si>
  <si>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</si>
  <si>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</si>
  <si>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</si>
  <si>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</si>
  <si>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</si>
  <si>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</si>
  <si>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</si>
  <si>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</si>
  <si>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</si>
  <si>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</si>
  <si>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</si>
  <si>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</si>
  <si>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</si>
  <si>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</si>
  <si>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</si>
  <si>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</si>
  <si>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</si>
  <si>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</si>
  <si>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</si>
  <si>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</si>
  <si>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</si>
  <si>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</si>
  <si>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</si>
  <si>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</si>
  <si>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</si>
  <si>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</si>
  <si>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</si>
  <si>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</si>
  <si>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</si>
  <si>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</si>
  <si>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</si>
  <si>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</si>
  <si>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</si>
  <si>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</si>
  <si>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</si>
  <si>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</si>
  <si>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</si>
  <si>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</si>
  <si>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</si>
  <si>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</si>
  <si>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</si>
  <si>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</si>
  <si>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</si>
  <si>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</si>
  <si>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</si>
  <si>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</si>
  <si>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</si>
  <si>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</si>
  <si>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</si>
  <si>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</si>
  <si>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</si>
  <si>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</si>
  <si>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</si>
  <si>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</si>
  <si>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</si>
  <si>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</si>
  <si>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</si>
  <si>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</si>
  <si>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</si>
  <si>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</si>
  <si>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</si>
  <si>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</si>
  <si>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</si>
  <si>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</si>
  <si>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</si>
  <si>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</si>
  <si>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</si>
  <si>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</si>
  <si>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</si>
  <si>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</si>
  <si>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</si>
  <si>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</si>
  <si>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</si>
  <si>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</si>
  <si>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</si>
  <si>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</si>
  <si>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</si>
  <si>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</si>
  <si>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</si>
  <si>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</si>
  <si>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</si>
  <si>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</si>
  <si>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</si>
  <si>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</si>
  <si>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</si>
  <si>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</si>
  <si>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</si>
  <si>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</si>
  <si>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</si>
  <si>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</si>
  <si>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</si>
  <si>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</si>
  <si>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</si>
  <si>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</si>
  <si>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</si>
  <si>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</si>
  <si>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</si>
  <si>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</si>
  <si>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</si>
  <si>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</si>
  <si>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</si>
  <si>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</si>
  <si>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</si>
  <si>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</si>
  <si>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</si>
  <si>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</si>
  <si>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</si>
  <si>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</si>
  <si>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</si>
  <si>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</si>
  <si>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</si>
  <si>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</si>
  <si>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</si>
  <si>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</si>
  <si>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</si>
  <si>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</si>
  <si>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</si>
  <si>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</si>
  <si>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</si>
  <si>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</si>
  <si>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</si>
  <si>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</si>
  <si>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</si>
  <si>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</si>
  <si>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</si>
  <si>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</si>
  <si>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</si>
  <si>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</si>
  <si>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</si>
  <si>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</si>
  <si>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</si>
  <si>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</si>
  <si>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</si>
  <si>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</si>
  <si>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</si>
  <si>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</si>
  <si>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</si>
  <si>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</si>
  <si>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</si>
  <si>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</si>
  <si>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</si>
  <si>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</si>
  <si>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</si>
  <si>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</si>
  <si>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</si>
  <si>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</si>
  <si>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</si>
  <si>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</si>
  <si>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</si>
  <si>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</si>
  <si>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</si>
  <si>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</si>
  <si>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</si>
  <si>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</si>
  <si>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</si>
  <si>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</si>
  <si>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</si>
  <si>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</si>
  <si>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</si>
  <si>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</si>
  <si>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</si>
  <si>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</si>
  <si>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</si>
  <si>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</si>
  <si>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</si>
  <si>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</si>
  <si>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</si>
  <si>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</si>
  <si>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</si>
  <si>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</si>
  <si>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</si>
  <si>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</si>
  <si>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</si>
  <si>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</si>
  <si>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</si>
  <si>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</si>
  <si>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</si>
  <si>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</si>
  <si>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</si>
  <si>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</si>
  <si>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</si>
  <si>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</si>
  <si>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</si>
  <si>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</si>
  <si>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</si>
  <si>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</si>
  <si>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</si>
  <si>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</si>
  <si>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</si>
  <si>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</si>
  <si>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</si>
  <si>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</si>
  <si>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</si>
  <si>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</si>
  <si>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</si>
  <si>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</si>
  <si>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</si>
  <si>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</si>
  <si>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</si>
  <si>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</si>
  <si>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</si>
  <si>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</si>
  <si>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</si>
  <si>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</si>
  <si>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</si>
  <si>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</si>
  <si>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</si>
  <si>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</si>
  <si>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</si>
  <si>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</si>
  <si>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</si>
  <si>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</si>
  <si>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</si>
  <si>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</si>
  <si>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</si>
  <si>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</si>
  <si>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</si>
  <si>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</si>
  <si>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</si>
  <si>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</si>
  <si>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</si>
  <si>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</si>
  <si>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</si>
  <si>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</si>
  <si>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</si>
  <si>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</si>
  <si>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</si>
  <si>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</si>
  <si>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</si>
  <si>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</si>
  <si>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</si>
  <si>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</si>
  <si>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</si>
  <si>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</si>
  <si>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</si>
  <si>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</si>
  <si>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</si>
  <si>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</si>
  <si>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</si>
  <si>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</si>
  <si>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</si>
  <si>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</si>
  <si>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</si>
  <si>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</si>
  <si>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</si>
  <si>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</si>
  <si>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</si>
  <si>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</si>
  <si>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</si>
  <si>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</si>
  <si>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</si>
  <si>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</si>
  <si>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</si>
  <si>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</si>
  <si>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</si>
  <si>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</si>
  <si>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</si>
  <si>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</si>
  <si>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</si>
  <si>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</si>
  <si>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</si>
  <si>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</si>
  <si>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</si>
  <si>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</si>
  <si>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</si>
  <si>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</si>
  <si>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</si>
  <si>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</si>
  <si>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</si>
  <si>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</si>
  <si>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</si>
  <si>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</si>
  <si>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</si>
  <si>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</si>
  <si>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</si>
  <si>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</si>
  <si>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</si>
  <si>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</si>
  <si>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</si>
  <si>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</si>
  <si>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</si>
  <si>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</si>
  <si>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</si>
  <si>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</si>
  <si>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</si>
  <si>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</si>
  <si>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</si>
  <si>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</si>
  <si>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</si>
  <si>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</si>
  <si>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</si>
  <si>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</si>
  <si>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</si>
  <si>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</si>
  <si>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</si>
  <si>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</si>
  <si>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</si>
  <si>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</si>
  <si>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</si>
  <si>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</si>
  <si>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</si>
  <si>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</si>
  <si>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</si>
  <si>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</si>
  <si>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</si>
  <si>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</si>
  <si>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</si>
  <si>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</si>
  <si>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</si>
  <si>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</si>
  <si>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</si>
  <si>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</si>
  <si>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</si>
  <si>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</si>
  <si>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</si>
  <si>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</si>
  <si>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</si>
  <si>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</si>
  <si>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</si>
  <si>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</si>
  <si>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</si>
  <si>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</si>
  <si>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</si>
  <si>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</si>
  <si>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</si>
  <si>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</si>
  <si>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</si>
  <si>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</si>
  <si>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</si>
  <si>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</si>
  <si>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</si>
  <si>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</si>
  <si>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</si>
  <si>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</si>
  <si>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</si>
  <si>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</si>
  <si>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</si>
  <si>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</si>
  <si>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</si>
  <si>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</si>
  <si>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</si>
  <si>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</si>
  <si>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</si>
  <si>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</si>
  <si>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</si>
  <si>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</si>
  <si>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</si>
  <si>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</si>
  <si>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</si>
  <si>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</si>
  <si>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</si>
  <si>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</si>
  <si>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</si>
  <si>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</si>
  <si>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</si>
  <si>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</si>
  <si>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</si>
  <si>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</si>
  <si>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</si>
  <si>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</si>
  <si>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</si>
  <si>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</si>
  <si>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</si>
  <si>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</si>
  <si>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</si>
  <si>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</si>
  <si>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</si>
  <si>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</si>
  <si>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</si>
  <si>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</si>
  <si>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</si>
  <si>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</si>
  <si>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</si>
  <si>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</si>
  <si>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</si>
  <si>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</si>
  <si>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</si>
  <si>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</si>
  <si>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</si>
  <si>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</si>
  <si>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</si>
  <si>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</si>
  <si>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</si>
  <si>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</si>
  <si>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</si>
  <si>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</si>
  <si>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</si>
  <si>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</si>
  <si>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</si>
  <si>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</si>
  <si>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</si>
  <si>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</si>
  <si>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</si>
  <si>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</si>
  <si>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</si>
  <si>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</si>
  <si>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</si>
  <si>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</si>
  <si>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</si>
  <si>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</si>
  <si>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</si>
  <si>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</si>
  <si>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</si>
  <si>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</si>
  <si>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</si>
  <si>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</si>
  <si>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</si>
  <si>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</si>
  <si>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</si>
  <si>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</si>
  <si>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</si>
  <si>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</si>
  <si>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</si>
  <si>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</si>
  <si>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</si>
  <si>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</si>
  <si>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</si>
  <si>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</si>
  <si>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</si>
  <si>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</si>
  <si>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</si>
  <si>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</si>
  <si>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</si>
  <si>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</si>
  <si>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</si>
  <si>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</si>
  <si>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</si>
  <si>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</si>
  <si>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</si>
  <si>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</si>
  <si>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</si>
  <si>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</si>
  <si>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</si>
  <si>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</si>
  <si>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</si>
  <si>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</si>
  <si>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</si>
  <si>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</si>
  <si>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</si>
  <si>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</si>
  <si>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</si>
  <si>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</si>
  <si>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</si>
  <si>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</si>
  <si>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</si>
  <si>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</si>
  <si>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</si>
  <si>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</si>
  <si>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</si>
  <si>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</si>
  <si>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</si>
  <si>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</si>
  <si>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</si>
  <si>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</si>
  <si>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</si>
  <si>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</si>
  <si>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</si>
  <si>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</si>
  <si>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</si>
  <si>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</si>
  <si>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</si>
  <si>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</si>
  <si>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</si>
  <si>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</si>
  <si>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</si>
  <si>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</si>
  <si>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</si>
  <si>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</si>
  <si>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</si>
  <si>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</si>
  <si>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</si>
  <si>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</si>
  <si>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</si>
  <si>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</si>
  <si>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</si>
  <si>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</si>
  <si>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</si>
  <si>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</si>
  <si>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</si>
  <si>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</si>
  <si>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</si>
  <si>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</si>
  <si>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</si>
  <si>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</si>
  <si>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</si>
  <si>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</si>
  <si>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</si>
  <si>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</si>
  <si>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</si>
  <si>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</si>
  <si>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</si>
  <si>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</si>
  <si>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</si>
  <si>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</si>
  <si>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</si>
  <si>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</si>
  <si>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</si>
  <si>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</si>
  <si>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</si>
  <si>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</si>
  <si>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</si>
  <si>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</si>
  <si>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</si>
  <si>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</si>
  <si>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</si>
  <si>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</si>
  <si>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</si>
  <si>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</si>
  <si>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</si>
  <si>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</si>
  <si>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</si>
  <si>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</si>
  <si>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</si>
  <si>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</si>
  <si>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</si>
  <si>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</si>
  <si>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</si>
  <si>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</si>
  <si>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</si>
  <si>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</si>
  <si>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</si>
  <si>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</si>
  <si>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</si>
  <si>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</si>
  <si>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</si>
  <si>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</si>
  <si>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</si>
  <si>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</si>
  <si>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</si>
  <si>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</si>
  <si>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</si>
  <si>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</si>
  <si>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</si>
  <si>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</si>
  <si>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</si>
  <si>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</si>
  <si>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</si>
  <si>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</si>
  <si>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</si>
  <si>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</si>
  <si>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</si>
  <si>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</si>
  <si>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</si>
  <si>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</si>
  <si>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</si>
  <si>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</si>
  <si>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</si>
  <si>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</si>
  <si>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</si>
  <si>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</si>
  <si>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</si>
  <si>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</si>
  <si>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</si>
  <si>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</si>
  <si>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</si>
  <si>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</si>
  <si>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</si>
  <si>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</si>
  <si>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</si>
  <si>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</si>
  <si>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</si>
  <si>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</si>
  <si>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</si>
  <si>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</si>
  <si>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</si>
  <si>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</si>
  <si>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</si>
  <si>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</si>
  <si>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</si>
  <si>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</si>
  <si>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</si>
  <si>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</si>
  <si>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</si>
  <si>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</si>
  <si>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</si>
  <si>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</si>
  <si>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</si>
  <si>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</si>
  <si>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</si>
  <si>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</si>
  <si>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</si>
  <si>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</si>
  <si>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</si>
  <si>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</si>
  <si>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</si>
  <si>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</si>
  <si>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</si>
  <si>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</si>
  <si>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</si>
  <si>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</si>
  <si>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</si>
  <si>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</si>
  <si>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</si>
  <si>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</si>
  <si>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</si>
  <si>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</si>
  <si>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</si>
  <si>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</si>
  <si>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</si>
  <si>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</si>
  <si>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</si>
  <si>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</si>
  <si>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</si>
  <si>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</si>
  <si>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</si>
  <si>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</si>
  <si>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</si>
  <si>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</si>
  <si>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</si>
  <si>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</si>
  <si>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</si>
  <si>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</si>
  <si>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</si>
  <si>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</si>
  <si>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</si>
  <si>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</si>
  <si>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</si>
  <si>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</si>
  <si>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</si>
  <si>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</si>
  <si>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</si>
  <si>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</si>
  <si>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</si>
  <si>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</si>
  <si>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</si>
  <si>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</si>
  <si>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</si>
  <si>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</si>
  <si>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</si>
  <si>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</si>
  <si>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</si>
  <si>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</si>
  <si>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</si>
  <si>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</si>
  <si>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</si>
  <si>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</si>
  <si>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</si>
  <si>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</si>
  <si>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</si>
  <si>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</si>
  <si>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</si>
  <si>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</si>
  <si>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</si>
  <si>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</si>
  <si>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</si>
  <si>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</si>
  <si>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</si>
  <si>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</si>
  <si>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</si>
  <si>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</si>
  <si>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</si>
  <si>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</si>
  <si>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</si>
  <si>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</si>
  <si>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</si>
  <si>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</si>
  <si>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</si>
  <si>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</si>
  <si>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</si>
  <si>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</si>
  <si>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</si>
  <si>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</si>
  <si>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</si>
  <si>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</si>
  <si>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</si>
  <si>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</si>
  <si>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</si>
  <si>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</si>
  <si>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</si>
  <si>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</si>
  <si>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</si>
  <si>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</si>
  <si>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</si>
  <si>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</si>
  <si>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</si>
  <si>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</si>
  <si>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</si>
  <si>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</si>
  <si>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</si>
  <si>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</si>
  <si>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</si>
  <si>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</si>
  <si>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</si>
  <si>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</si>
  <si>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</si>
  <si>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</si>
  <si>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</si>
  <si>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</si>
  <si>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</si>
  <si>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</si>
  <si>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</si>
  <si>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</si>
  <si>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</si>
  <si>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</si>
  <si>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</si>
  <si>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</si>
  <si>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</si>
  <si>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</si>
  <si>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</si>
  <si>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</si>
  <si>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</si>
  <si>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</si>
  <si>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</si>
  <si>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</si>
  <si>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</si>
  <si>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</si>
  <si>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</si>
  <si>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</si>
  <si>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</si>
  <si>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</si>
  <si>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</si>
  <si>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</si>
  <si>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</si>
  <si>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</si>
  <si>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</si>
  <si>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</si>
  <si>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</si>
  <si>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</si>
  <si>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</si>
  <si>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</si>
  <si>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</si>
  <si>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</si>
  <si>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</si>
  <si>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</si>
  <si>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</si>
  <si>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</si>
  <si>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</si>
  <si>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</si>
  <si>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</si>
  <si>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</si>
  <si>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</si>
  <si>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</si>
  <si>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</si>
  <si>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</si>
  <si>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</si>
  <si>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</si>
  <si>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</si>
  <si>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</si>
  <si>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</si>
  <si>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</si>
  <si>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</si>
  <si>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</si>
  <si>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</si>
  <si>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</si>
  <si>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</si>
  <si>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</si>
  <si>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</si>
  <si>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</si>
  <si>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</si>
  <si>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</si>
  <si>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</si>
  <si>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</si>
  <si>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</si>
  <si>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</si>
  <si>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</si>
  <si>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</si>
  <si>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</si>
  <si>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</si>
  <si>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</si>
  <si>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</si>
  <si>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</si>
  <si>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</si>
  <si>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</si>
  <si>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</si>
  <si>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</si>
  <si>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</si>
  <si>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</si>
  <si>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</si>
  <si>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</si>
  <si>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</si>
  <si>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</si>
  <si>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</si>
  <si>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</si>
  <si>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</si>
  <si>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</si>
  <si>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</si>
  <si>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</si>
  <si>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</si>
  <si>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</si>
  <si>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</si>
  <si>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</si>
  <si>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</si>
  <si>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</si>
  <si>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</si>
  <si>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</si>
  <si>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</si>
  <si>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</si>
  <si>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</si>
  <si>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</si>
  <si>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</si>
  <si>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</si>
  <si>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</si>
  <si>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</si>
  <si>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</si>
  <si>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</si>
  <si>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</si>
  <si>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</si>
  <si>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</si>
  <si>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</si>
  <si>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</si>
  <si>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</si>
  <si>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</si>
  <si>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</si>
  <si>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</si>
  <si>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</si>
  <si>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</si>
  <si>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</si>
  <si>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</si>
  <si>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</si>
  <si>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</si>
  <si>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</si>
  <si>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</si>
  <si>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</si>
  <si>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</si>
  <si>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</si>
  <si>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</si>
  <si>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</si>
  <si>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</si>
  <si>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</si>
  <si>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</si>
  <si>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</si>
  <si>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</si>
  <si>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</si>
  <si>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</si>
  <si>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</si>
  <si>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</si>
  <si>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</si>
  <si>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</si>
  <si>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</si>
  <si>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</si>
  <si>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</si>
  <si>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</si>
  <si>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</si>
  <si>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</si>
  <si>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</si>
  <si>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</si>
  <si>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</si>
  <si>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</si>
  <si>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</si>
  <si>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</si>
  <si>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</si>
  <si>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</si>
  <si>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</si>
  <si>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</si>
  <si>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</si>
  <si>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</si>
  <si>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</si>
  <si>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</si>
  <si>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</si>
  <si>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</si>
  <si>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</si>
  <si>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</si>
  <si>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</si>
  <si>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</si>
  <si>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</si>
  <si>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</si>
  <si>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</si>
  <si>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</si>
  <si>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</si>
  <si>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</si>
  <si>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</si>
  <si>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</si>
  <si>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</si>
  <si>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</si>
  <si>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</si>
  <si>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</si>
  <si>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</si>
  <si>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</si>
  <si>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</si>
  <si>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</si>
  <si>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</si>
  <si>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</si>
  <si>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</si>
  <si>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</si>
  <si>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</si>
  <si>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</si>
  <si>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</si>
  <si>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</si>
  <si>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</si>
  <si>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</si>
  <si>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</si>
  <si>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</si>
  <si>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</si>
  <si>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</si>
  <si>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</si>
  <si>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</si>
  <si>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</si>
  <si>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</si>
  <si>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</si>
  <si>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</si>
  <si>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</si>
  <si>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</si>
  <si>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</si>
  <si>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</si>
  <si>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</si>
  <si>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</si>
  <si>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</si>
  <si>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</si>
  <si>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</si>
  <si>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</si>
  <si>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</si>
  <si>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</si>
  <si>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</si>
  <si>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</si>
  <si>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</si>
  <si>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</si>
  <si>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</si>
  <si>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</si>
  <si>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</si>
  <si>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</si>
  <si>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</si>
  <si>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</si>
  <si>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</si>
  <si>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</si>
  <si>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</si>
  <si>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</si>
  <si>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</si>
  <si>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</si>
  <si>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</si>
  <si>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</si>
  <si>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</si>
  <si>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</si>
  <si>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</si>
  <si>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</si>
  <si>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</si>
  <si>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</si>
  <si>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</si>
  <si>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</si>
  <si>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</si>
  <si>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</si>
  <si>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</si>
  <si>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</si>
  <si>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</si>
  <si>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</si>
  <si>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</si>
  <si>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</si>
  <si>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</si>
  <si>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</si>
  <si>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</si>
  <si>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</si>
  <si>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</si>
  <si>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</si>
  <si>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</si>
  <si>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</si>
  <si>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</si>
  <si>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</si>
  <si>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</si>
  <si>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</si>
  <si>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</si>
  <si>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</si>
  <si>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</si>
  <si>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</si>
  <si>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</si>
  <si>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</si>
  <si>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</si>
  <si>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</si>
  <si>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</si>
  <si>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</si>
  <si>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</si>
  <si>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</si>
  <si>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</si>
  <si>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</si>
  <si>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</si>
  <si>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</si>
  <si>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</si>
  <si>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</si>
  <si>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</si>
  <si>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</si>
  <si>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</si>
  <si>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</si>
  <si>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</si>
  <si>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</si>
  <si>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</si>
  <si>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</si>
  <si>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</si>
  <si>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</si>
  <si>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</si>
  <si>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</si>
  <si>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</si>
  <si>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</si>
  <si>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</si>
  <si>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</si>
  <si>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</si>
  <si>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</si>
  <si>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</si>
  <si>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</si>
  <si>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</si>
  <si>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</si>
  <si>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</si>
  <si>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</si>
  <si>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</si>
  <si>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</si>
  <si>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</si>
  <si>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</si>
  <si>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</si>
  <si>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</si>
  <si>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</si>
  <si>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</si>
  <si>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</si>
  <si>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</si>
  <si>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</si>
  <si>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</si>
  <si>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</si>
  <si>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</si>
  <si>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</si>
  <si>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</si>
  <si>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</si>
  <si>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</si>
  <si>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</si>
  <si>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</si>
  <si>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</si>
  <si>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</si>
  <si>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</si>
  <si>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</si>
  <si>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</si>
  <si>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</si>
  <si>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</si>
  <si>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</si>
  <si>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</si>
  <si>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</si>
  <si>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</si>
  <si>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</si>
  <si>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</si>
  <si>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</si>
  <si>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</si>
  <si>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</si>
  <si>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</si>
  <si>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</si>
  <si>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</si>
  <si>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</si>
  <si>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</si>
  <si>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</si>
  <si>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</si>
  <si>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</si>
  <si>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</si>
  <si>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</si>
  <si>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</si>
  <si>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</si>
  <si>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</si>
  <si>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</si>
  <si>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</si>
  <si>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</si>
  <si>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</si>
  <si>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</si>
  <si>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</si>
  <si>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</si>
  <si>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</si>
  <si>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</si>
  <si>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</si>
  <si>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</si>
  <si>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</si>
  <si>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</si>
  <si>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</si>
  <si>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</si>
  <si>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</si>
  <si>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</si>
  <si>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</si>
  <si>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</si>
  <si>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</si>
  <si>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</si>
  <si>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</si>
  <si>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</si>
  <si>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</si>
  <si>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</si>
  <si>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</si>
  <si>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</si>
  <si>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</si>
  <si>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</si>
  <si>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</si>
  <si>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</si>
  <si>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</si>
  <si>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</si>
  <si>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</si>
  <si>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</si>
  <si>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</si>
  <si>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</si>
  <si>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</si>
  <si>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</si>
  <si>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</si>
  <si>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</si>
  <si>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</si>
  <si>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</si>
  <si>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</si>
  <si>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</si>
  <si>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</si>
  <si>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</si>
  <si>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</si>
  <si>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</si>
  <si>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</si>
  <si>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</si>
  <si>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</si>
  <si>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</si>
  <si>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</si>
  <si>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</si>
  <si>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</si>
  <si>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</si>
  <si>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</si>
  <si>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</si>
  <si>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</si>
  <si>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</si>
  <si>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</si>
  <si>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</si>
  <si>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</si>
  <si>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</si>
  <si>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</si>
  <si>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</si>
  <si>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</si>
  <si>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</si>
  <si>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</si>
  <si>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</si>
  <si>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</si>
  <si>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</si>
  <si>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</si>
  <si>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</si>
  <si>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</si>
  <si>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</si>
  <si>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</si>
  <si>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</si>
  <si>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</si>
  <si>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</si>
  <si>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</si>
  <si>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</si>
  <si>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</si>
  <si>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</si>
  <si>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</si>
  <si>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</si>
  <si>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</si>
  <si>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</si>
  <si>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</si>
  <si>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</si>
  <si>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</si>
  <si>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</si>
  <si>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</si>
  <si>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</si>
  <si>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</si>
  <si>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</si>
  <si>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</si>
  <si>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</si>
  <si>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</si>
  <si>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</si>
  <si>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</si>
  <si>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</si>
  <si>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</si>
  <si>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</si>
  <si>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</si>
  <si>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</si>
  <si>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</si>
  <si>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</si>
  <si>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</si>
  <si>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</si>
  <si>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</si>
  <si>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</si>
  <si>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</si>
  <si>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</si>
  <si>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</si>
  <si>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</si>
  <si>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</si>
  <si>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</si>
  <si>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</si>
  <si>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</si>
  <si>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</si>
  <si>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</si>
  <si>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</si>
  <si>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</si>
  <si>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</si>
  <si>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</si>
  <si>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</si>
  <si>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</si>
  <si>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</si>
  <si>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</si>
  <si>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</si>
  <si>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</si>
  <si>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</si>
  <si>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</si>
  <si>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</si>
  <si>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</si>
  <si>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</si>
  <si>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</si>
  <si>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</si>
  <si>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</si>
  <si>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</si>
  <si>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</si>
  <si>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</si>
  <si>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</si>
  <si>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</si>
  <si>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</si>
  <si>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</si>
  <si>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</si>
  <si>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</si>
  <si>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</si>
  <si>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</si>
  <si>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</si>
  <si>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</si>
  <si>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</si>
  <si>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</si>
  <si>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</si>
  <si>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</si>
  <si>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</si>
  <si>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</si>
  <si>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</si>
  <si>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</si>
  <si>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</si>
  <si>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</si>
  <si>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</si>
  <si>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</si>
  <si>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</si>
  <si>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</si>
  <si>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</si>
  <si>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</si>
  <si>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</si>
  <si>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</si>
  <si>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</si>
  <si>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</si>
  <si>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</si>
  <si>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</si>
  <si>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</si>
  <si>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</si>
  <si>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</si>
  <si>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</si>
  <si>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</si>
  <si>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</si>
  <si>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</si>
  <si>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</si>
  <si>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</si>
  <si>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</si>
  <si>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</si>
  <si>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</si>
  <si>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</si>
  <si>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</si>
  <si>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</si>
  <si>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</si>
  <si>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</si>
  <si>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</si>
  <si>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</si>
  <si>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</si>
  <si>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</si>
  <si>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</si>
  <si>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</si>
  <si>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</si>
  <si>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</si>
  <si>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</si>
  <si>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</si>
  <si>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</si>
  <si>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</si>
  <si>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</si>
  <si>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</si>
  <si>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</si>
  <si>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</si>
  <si>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</si>
  <si>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</si>
  <si>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</si>
  <si>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</si>
  <si>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</si>
  <si>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</si>
  <si>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</si>
  <si>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</si>
  <si>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</si>
  <si>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</si>
  <si>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</si>
  <si>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</si>
  <si>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</si>
  <si>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</si>
  <si>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</si>
  <si>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</si>
  <si>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</si>
  <si>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Clean City</t>
  </si>
  <si>
    <t>Category</t>
  </si>
  <si>
    <t>Region</t>
  </si>
  <si>
    <t>Unit Cost</t>
  </si>
  <si>
    <t>Unit Price</t>
  </si>
  <si>
    <t>Row Labels</t>
  </si>
  <si>
    <t>Grand Total</t>
  </si>
  <si>
    <t>Sum of final_amount</t>
  </si>
  <si>
    <t>Details for Sum of final_amount - Region: East (+)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</si>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</sst>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15" fillId="0" borderId="0" xfId="0" applyFont="1"/>
    <xf numFmtId="0" fontId="16" fillId="2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left"/>
    </xf>
    <xf numFmtId="9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9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9" formatCode="dd/mm/yyyy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1.518410648147" createdVersion="8" refreshedVersion="8" minRefreshableVersion="3" recordCount="2000" xr:uid="{B8A4FBD3-0C8A-4C52-895B-8484037A21EF}">
  <cacheSource type="worksheet">
    <worksheetSource ref="A1:P2001" sheet="Orders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7"/>
    </cacheField>
    <cacheField name="customer_id" numFmtId="0">
      <sharedItems/>
    </cacheField>
    <cacheField name="product_id" numFmtId="0">
      <sharedItems/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lean City" numFmtId="0">
      <sharedItems count="6">
        <s v="Pune"/>
        <s v="Chennai"/>
        <s v="Delhi"/>
        <s v="Mumbai"/>
        <s v="Bengaluru"/>
        <s v="Hyderabad"/>
      </sharedItems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Region" numFmtId="0">
      <sharedItems count="4">
        <s v="North"/>
        <s v="South"/>
        <s v="West"/>
        <s v="East"/>
      </sharedItems>
    </cacheField>
    <cacheField name="Unit Cost" numFmtId="0">
      <sharedItems containsSemiMixedTypes="0" containsString="0" containsNumber="1" containsInteger="1" minValue="128" maxValue="2911"/>
    </cacheField>
    <cacheField name="Unit Price" numFmtId="0">
      <sharedItems containsSemiMixedTypes="0" containsString="0" containsNumber="1" containsInteger="1" minValue="190" maxValue="6940"/>
    </cacheField>
    <cacheField name="Days (order_date)" numFmtId="0" databaseField="0">
      <fieldGroup base="1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order_date)" numFmtId="0" databaseField="0">
      <fieldGroup base="1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profit_margin" numFmtId="0" formula="('Unit Price'-'Unit Cost' ) /'Unit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s v="R007"/>
    <n v="8"/>
    <n v="3620"/>
    <n v="15.4"/>
    <n v="24500.16"/>
    <s v="Completed"/>
    <s v="Pune"/>
    <x v="0"/>
    <x v="0"/>
    <x v="0"/>
    <n v="2509"/>
    <n v="3620"/>
  </r>
  <r>
    <s v="ORD-00002"/>
    <x v="1"/>
    <s v="CUST-0202"/>
    <s v="PROD-020"/>
    <s v="R005"/>
    <n v="2"/>
    <n v="820"/>
    <n v="10.8"/>
    <n v="1462.88"/>
    <s v="Pending"/>
    <s v="Chennai"/>
    <x v="1"/>
    <x v="0"/>
    <x v="0"/>
    <n v="391"/>
    <n v="820"/>
  </r>
  <r>
    <s v="ORD-00003"/>
    <x v="2"/>
    <s v="CUST-0098"/>
    <s v="PROD-053"/>
    <s v="R014"/>
    <n v="8"/>
    <n v="470"/>
    <n v="3.3"/>
    <n v="3635.92"/>
    <s v="Pending"/>
    <s v="Delhi"/>
    <x v="2"/>
    <x v="1"/>
    <x v="1"/>
    <n v="302"/>
    <n v="470"/>
  </r>
  <r>
    <s v="ORD-00004"/>
    <x v="3"/>
    <s v="CUST-0071"/>
    <s v="PROD-028"/>
    <s v="R006"/>
    <n v="1"/>
    <n v="3660"/>
    <n v="15.7"/>
    <n v="3085.38"/>
    <s v="Completed"/>
    <s v="Delhi"/>
    <x v="2"/>
    <x v="2"/>
    <x v="0"/>
    <n v="2214"/>
    <n v="3660"/>
  </r>
  <r>
    <s v="ORD-00005"/>
    <x v="4"/>
    <s v="CUST-0180"/>
    <s v="PROD-012"/>
    <s v="R008"/>
    <n v="1"/>
    <n v="3160"/>
    <n v="26"/>
    <n v="2338.4"/>
    <s v="Completed"/>
    <s v="Chennai"/>
    <x v="1"/>
    <x v="0"/>
    <x v="0"/>
    <n v="1886"/>
    <n v="3160"/>
  </r>
  <r>
    <s v="ORD-00006"/>
    <x v="5"/>
    <s v="CUST-0275"/>
    <s v="PROD-032"/>
    <s v="R025"/>
    <n v="4"/>
    <n v="370"/>
    <n v="29"/>
    <n v="1050.8"/>
    <s v="Completed"/>
    <s v="Mumbai"/>
    <x v="3"/>
    <x v="3"/>
    <x v="2"/>
    <n v="288"/>
    <n v="370"/>
  </r>
  <r>
    <s v="ORD-00007"/>
    <x v="6"/>
    <s v="CUST-0293"/>
    <s v="PROD-057"/>
    <s v="R024"/>
    <n v="3"/>
    <n v="960"/>
    <n v="5.8"/>
    <n v="2712.96"/>
    <s v="Completed"/>
    <s v="Bengaluru"/>
    <x v="4"/>
    <x v="1"/>
    <x v="2"/>
    <n v="705"/>
    <n v="960"/>
  </r>
  <r>
    <s v="ORD-00008"/>
    <x v="7"/>
    <s v="CUST-0281"/>
    <s v="PROD-007"/>
    <s v="R019"/>
    <n v="8"/>
    <n v="1430"/>
    <n v="2.4"/>
    <n v="11165.44"/>
    <s v="Completed"/>
    <s v="Bengaluru"/>
    <x v="4"/>
    <x v="4"/>
    <x v="3"/>
    <n v="861"/>
    <n v="1430"/>
  </r>
  <r>
    <s v="ORD-00009"/>
    <x v="0"/>
    <s v="CUST-0260"/>
    <s v="PROD-038"/>
    <s v="R008"/>
    <n v="3"/>
    <n v="5490"/>
    <n v="14.2"/>
    <n v="14131.26"/>
    <s v="Completed"/>
    <s v="Bengaluru"/>
    <x v="4"/>
    <x v="3"/>
    <x v="0"/>
    <n v="2549"/>
    <n v="5490"/>
  </r>
  <r>
    <s v="ORD-00010"/>
    <x v="8"/>
    <s v="CUST-0147"/>
    <s v="PROD-030"/>
    <s v="R028"/>
    <n v="3"/>
    <n v="970"/>
    <n v="1.2"/>
    <n v="2875.08"/>
    <s v="Completed"/>
    <s v="Pune"/>
    <x v="0"/>
    <x v="2"/>
    <x v="2"/>
    <n v="434"/>
    <n v="970"/>
  </r>
  <r>
    <s v="ORD-00011"/>
    <x v="9"/>
    <s v="CUST-0204"/>
    <s v="PROD-024"/>
    <s v="R010"/>
    <n v="7"/>
    <n v="2270"/>
    <n v="7.1"/>
    <n v="14761.81"/>
    <s v="Pending"/>
    <s v="Hyderabad"/>
    <x v="5"/>
    <x v="2"/>
    <x v="1"/>
    <n v="1203"/>
    <n v="2270"/>
  </r>
  <r>
    <s v="ORD-00012"/>
    <x v="10"/>
    <s v="CUST-0147"/>
    <s v="PROD-010"/>
    <s v="R024"/>
    <n v="9"/>
    <n v="2640"/>
    <n v="21.7"/>
    <n v="18604.080000000002"/>
    <s v="Completed"/>
    <s v="Pune"/>
    <x v="0"/>
    <x v="4"/>
    <x v="2"/>
    <n v="1149"/>
    <n v="2640"/>
  </r>
  <r>
    <s v="ORD-00013"/>
    <x v="11"/>
    <s v="CUST-0280"/>
    <s v="PROD-002"/>
    <s v="R004"/>
    <n v="3"/>
    <n v="2600"/>
    <n v="4.3"/>
    <n v="7464.6"/>
    <s v="Cancelled"/>
    <s v="Delhi"/>
    <x v="2"/>
    <x v="4"/>
    <x v="0"/>
    <n v="1052"/>
    <n v="2600"/>
  </r>
  <r>
    <s v="ORD-00014"/>
    <x v="12"/>
    <s v="CUST-0008"/>
    <s v="PROD-036"/>
    <s v="R025"/>
    <n v="3"/>
    <n v="3250"/>
    <n v="14.1"/>
    <n v="8375.25"/>
    <s v="Refunded"/>
    <s v="Pune"/>
    <x v="0"/>
    <x v="3"/>
    <x v="2"/>
    <n v="1556"/>
    <n v="3250"/>
  </r>
  <r>
    <s v="ORD-00015"/>
    <x v="13"/>
    <s v="CUST-0052"/>
    <s v="PROD-060"/>
    <s v="R003"/>
    <n v="1"/>
    <n v="190"/>
    <n v="20.7"/>
    <n v="150.66999999999999"/>
    <s v="Completed"/>
    <s v="Pune"/>
    <x v="0"/>
    <x v="1"/>
    <x v="0"/>
    <n v="147"/>
    <n v="190"/>
  </r>
  <r>
    <s v="ORD-00016"/>
    <x v="14"/>
    <s v="CUST-0184"/>
    <s v="PROD-058"/>
    <s v="R014"/>
    <n v="7"/>
    <n v="2400"/>
    <n v="10.199999999999999"/>
    <n v="15086.4"/>
    <s v="Pending"/>
    <s v="Pune"/>
    <x v="0"/>
    <x v="1"/>
    <x v="1"/>
    <n v="974"/>
    <n v="2400"/>
  </r>
  <r>
    <s v="ORD-00017"/>
    <x v="15"/>
    <s v="CUST-0056"/>
    <s v="PROD-028"/>
    <s v="R023"/>
    <n v="4"/>
    <n v="3660"/>
    <n v="2.6"/>
    <n v="14259.36"/>
    <s v="Completed"/>
    <s v="Bengaluru"/>
    <x v="4"/>
    <x v="2"/>
    <x v="3"/>
    <n v="2214"/>
    <n v="3660"/>
  </r>
  <r>
    <s v="ORD-00018"/>
    <x v="16"/>
    <s v="CUST-0273"/>
    <s v="PROD-047"/>
    <s v="R021"/>
    <n v="8"/>
    <n v="3450"/>
    <n v="18.5"/>
    <n v="22494"/>
    <s v="Completed"/>
    <s v="Hyderabad"/>
    <x v="5"/>
    <x v="5"/>
    <x v="3"/>
    <n v="2420"/>
    <n v="3450"/>
  </r>
  <r>
    <s v="ORD-00019"/>
    <x v="17"/>
    <s v="CUST-0182"/>
    <s v="PROD-051"/>
    <s v="R023"/>
    <n v="5"/>
    <n v="3450"/>
    <n v="7.3"/>
    <n v="15990.75"/>
    <s v="Completed"/>
    <s v="Mumbai"/>
    <x v="3"/>
    <x v="1"/>
    <x v="3"/>
    <n v="2467"/>
    <n v="3450"/>
  </r>
  <r>
    <s v="ORD-00020"/>
    <x v="18"/>
    <s v="CUST-0265"/>
    <s v="PROD-040"/>
    <s v="R023"/>
    <n v="8"/>
    <n v="1080"/>
    <n v="2.2000000000000002"/>
    <n v="8449.92"/>
    <s v="Completed"/>
    <s v="Chennai"/>
    <x v="1"/>
    <x v="3"/>
    <x v="3"/>
    <n v="519"/>
    <n v="1080"/>
  </r>
  <r>
    <s v="ORD-00021"/>
    <x v="19"/>
    <s v="CUST-0159"/>
    <s v="PROD-019"/>
    <s v="R006"/>
    <n v="7"/>
    <n v="2480"/>
    <n v="28.7"/>
    <n v="12377.68"/>
    <s v="Completed"/>
    <s v="Hyderabad"/>
    <x v="5"/>
    <x v="0"/>
    <x v="0"/>
    <n v="1173"/>
    <n v="2480"/>
  </r>
  <r>
    <s v="ORD-00022"/>
    <x v="20"/>
    <s v="CUST-0259"/>
    <s v="PROD-036"/>
    <s v="R030"/>
    <n v="4"/>
    <n v="3250"/>
    <n v="24.6"/>
    <n v="9802"/>
    <s v="Completed"/>
    <s v="Mumbai"/>
    <x v="3"/>
    <x v="3"/>
    <x v="2"/>
    <n v="1556"/>
    <n v="3250"/>
  </r>
  <r>
    <s v="ORD-00023"/>
    <x v="21"/>
    <s v="CUST-0107"/>
    <s v="PROD-015"/>
    <s v="R030"/>
    <n v="9"/>
    <n v="2720"/>
    <n v="26.2"/>
    <n v="18066.240000000002"/>
    <s v="Completed"/>
    <s v="Pune"/>
    <x v="0"/>
    <x v="0"/>
    <x v="2"/>
    <n v="1962"/>
    <n v="2720"/>
  </r>
  <r>
    <s v="ORD-00024"/>
    <x v="22"/>
    <s v="CUST-0101"/>
    <s v="PROD-044"/>
    <s v="R003"/>
    <n v="2"/>
    <n v="1650"/>
    <n v="9.4"/>
    <n v="2989.8"/>
    <s v="Completed"/>
    <s v="Hyderabad"/>
    <x v="5"/>
    <x v="5"/>
    <x v="0"/>
    <n v="1222"/>
    <n v="1650"/>
  </r>
  <r>
    <s v="ORD-00025"/>
    <x v="18"/>
    <s v="CUST-0142"/>
    <s v="PROD-043"/>
    <s v="R023"/>
    <n v="6"/>
    <n v="3350"/>
    <n v="6.1"/>
    <n v="18873.900000000001"/>
    <s v="Pending"/>
    <s v="Chennai"/>
    <x v="1"/>
    <x v="5"/>
    <x v="3"/>
    <n v="1728"/>
    <n v="3350"/>
  </r>
  <r>
    <s v="ORD-00026"/>
    <x v="23"/>
    <s v="CUST-0250"/>
    <s v="PROD-054"/>
    <s v="R019"/>
    <n v="2"/>
    <n v="1010"/>
    <n v="16.5"/>
    <n v="1686.7"/>
    <s v="Cancelled"/>
    <s v="Delhi"/>
    <x v="2"/>
    <x v="1"/>
    <x v="3"/>
    <n v="516"/>
    <n v="1010"/>
  </r>
  <r>
    <s v="ORD-00027"/>
    <x v="24"/>
    <s v="CUST-0098"/>
    <s v="PROD-046"/>
    <s v="R006"/>
    <n v="5"/>
    <n v="4880"/>
    <n v="23.6"/>
    <n v="18641.599999999999"/>
    <s v="Completed"/>
    <s v="Delhi"/>
    <x v="2"/>
    <x v="5"/>
    <x v="0"/>
    <n v="2768"/>
    <n v="4880"/>
  </r>
  <r>
    <s v="ORD-00028"/>
    <x v="25"/>
    <s v="CUST-0143"/>
    <s v="PROD-003"/>
    <s v="R015"/>
    <n v="7"/>
    <n v="3570"/>
    <n v="5.8"/>
    <n v="23540.58"/>
    <s v="Cancelled"/>
    <s v="Chennai"/>
    <x v="1"/>
    <x v="4"/>
    <x v="1"/>
    <n v="1665"/>
    <n v="3570"/>
  </r>
  <r>
    <s v="ORD-00029"/>
    <x v="26"/>
    <s v="CUST-0086"/>
    <s v="PROD-048"/>
    <s v="R020"/>
    <n v="9"/>
    <n v="5100"/>
    <n v="16.7"/>
    <n v="38234.699999999997"/>
    <s v="Completed"/>
    <s v="Hyderabad"/>
    <x v="5"/>
    <x v="5"/>
    <x v="3"/>
    <n v="2237"/>
    <n v="5100"/>
  </r>
  <r>
    <s v="ORD-00030"/>
    <x v="27"/>
    <s v="CUST-0006"/>
    <s v="PROD-055"/>
    <s v="R005"/>
    <n v="3"/>
    <n v="2860"/>
    <n v="25.8"/>
    <n v="6366.36"/>
    <s v="Completed"/>
    <s v="Pune"/>
    <x v="0"/>
    <x v="1"/>
    <x v="0"/>
    <n v="2028"/>
    <n v="2860"/>
  </r>
  <r>
    <s v="ORD-00031"/>
    <x v="28"/>
    <s v="CUST-0241"/>
    <s v="PROD-030"/>
    <s v="R006"/>
    <n v="7"/>
    <n v="970"/>
    <n v="29.8"/>
    <n v="4766.58"/>
    <s v="Completed"/>
    <s v="Pune"/>
    <x v="0"/>
    <x v="2"/>
    <x v="0"/>
    <n v="434"/>
    <n v="970"/>
  </r>
  <r>
    <s v="ORD-00032"/>
    <x v="29"/>
    <s v="CUST-0035"/>
    <s v="PROD-021"/>
    <s v="R026"/>
    <n v="4"/>
    <n v="2760"/>
    <n v="5.9"/>
    <n v="10388.64"/>
    <s v="Completed"/>
    <s v="Hyderabad"/>
    <x v="5"/>
    <x v="2"/>
    <x v="2"/>
    <n v="1435"/>
    <n v="2760"/>
  </r>
  <r>
    <s v="ORD-00033"/>
    <x v="30"/>
    <s v="CUST-0273"/>
    <s v="PROD-037"/>
    <s v="R009"/>
    <n v="10"/>
    <n v="660"/>
    <n v="18.3"/>
    <n v="5392.2"/>
    <s v="Pending"/>
    <s v="Hyderabad"/>
    <x v="5"/>
    <x v="3"/>
    <x v="1"/>
    <n v="329"/>
    <n v="660"/>
  </r>
  <r>
    <s v="ORD-00034"/>
    <x v="31"/>
    <s v="CUST-0064"/>
    <s v="PROD-036"/>
    <s v="R019"/>
    <n v="1"/>
    <n v="3250"/>
    <n v="10.7"/>
    <n v="2902.25"/>
    <s v="Completed"/>
    <s v="Hyderabad"/>
    <x v="5"/>
    <x v="3"/>
    <x v="3"/>
    <n v="1556"/>
    <n v="3250"/>
  </r>
  <r>
    <s v="ORD-00035"/>
    <x v="32"/>
    <s v="CUST-0118"/>
    <s v="PROD-048"/>
    <s v="R019"/>
    <n v="8"/>
    <n v="5100"/>
    <n v="26.4"/>
    <n v="30028.799999999999"/>
    <s v="Cancelled"/>
    <s v="Hyderabad"/>
    <x v="5"/>
    <x v="5"/>
    <x v="3"/>
    <n v="2237"/>
    <n v="5100"/>
  </r>
  <r>
    <s v="ORD-00036"/>
    <x v="33"/>
    <s v="CUST-0013"/>
    <s v="PROD-040"/>
    <s v="R021"/>
    <n v="1"/>
    <n v="1080"/>
    <n v="5.0999999999999996"/>
    <n v="1024.92"/>
    <s v="Completed"/>
    <s v="Delhi"/>
    <x v="2"/>
    <x v="3"/>
    <x v="3"/>
    <n v="519"/>
    <n v="1080"/>
  </r>
  <r>
    <s v="ORD-00037"/>
    <x v="34"/>
    <s v="CUST-0177"/>
    <s v="PROD-038"/>
    <s v="R009"/>
    <n v="2"/>
    <n v="5490"/>
    <n v="21.1"/>
    <n v="8663.2199999999993"/>
    <s v="Cancelled"/>
    <s v="Mumbai"/>
    <x v="3"/>
    <x v="3"/>
    <x v="1"/>
    <n v="2549"/>
    <n v="5490"/>
  </r>
  <r>
    <s v="ORD-00038"/>
    <x v="35"/>
    <s v="CUST-0186"/>
    <s v="PROD-060"/>
    <s v="R001"/>
    <n v="7"/>
    <n v="190"/>
    <n v="28.7"/>
    <n v="948.29"/>
    <s v="Completed"/>
    <s v="Bengaluru"/>
    <x v="4"/>
    <x v="1"/>
    <x v="0"/>
    <n v="147"/>
    <n v="190"/>
  </r>
  <r>
    <s v="ORD-00039"/>
    <x v="36"/>
    <s v="CUST-0069"/>
    <s v="PROD-058"/>
    <s v="R015"/>
    <n v="6"/>
    <n v="2400"/>
    <n v="2.7"/>
    <n v="14011.2"/>
    <s v="Completed"/>
    <s v="Chennai"/>
    <x v="1"/>
    <x v="1"/>
    <x v="1"/>
    <n v="974"/>
    <n v="2400"/>
  </r>
  <r>
    <s v="ORD-00040"/>
    <x v="37"/>
    <s v="CUST-0283"/>
    <s v="PROD-044"/>
    <s v="R023"/>
    <n v="9"/>
    <n v="1650"/>
    <n v="11.6"/>
    <n v="13127.4"/>
    <s v="Completed"/>
    <s v="Delhi"/>
    <x v="2"/>
    <x v="5"/>
    <x v="3"/>
    <n v="1222"/>
    <n v="1650"/>
  </r>
  <r>
    <s v="ORD-00041"/>
    <x v="38"/>
    <s v="CUST-9507"/>
    <s v="PROD-038"/>
    <s v="R006"/>
    <n v="4"/>
    <n v="5490"/>
    <n v="12.8"/>
    <n v="19149.12"/>
    <s v="Cancelled"/>
    <s v="Chennai"/>
    <x v="1"/>
    <x v="3"/>
    <x v="0"/>
    <n v="2549"/>
    <n v="5490"/>
  </r>
  <r>
    <s v="ORD-00042"/>
    <x v="39"/>
    <s v="CUST-0053"/>
    <s v="PROD-046"/>
    <s v="R014"/>
    <n v="10"/>
    <n v="4880"/>
    <n v="12.7"/>
    <n v="42602.400000000001"/>
    <s v="Completed"/>
    <s v="Delhi"/>
    <x v="2"/>
    <x v="5"/>
    <x v="1"/>
    <n v="2768"/>
    <n v="4880"/>
  </r>
  <r>
    <s v="ORD-00043"/>
    <x v="40"/>
    <s v="CUST-0222"/>
    <s v="PROD-031"/>
    <s v="R019"/>
    <n v="2"/>
    <n v="3730"/>
    <n v="25.8"/>
    <n v="5535.32"/>
    <s v="Completed"/>
    <s v="Chennai"/>
    <x v="1"/>
    <x v="3"/>
    <x v="3"/>
    <n v="2135"/>
    <n v="3730"/>
  </r>
  <r>
    <s v="ORD-00044"/>
    <x v="8"/>
    <s v="CUST-0095"/>
    <s v="PROD-047"/>
    <s v="R029"/>
    <n v="4"/>
    <n v="3450"/>
    <n v="20.7"/>
    <n v="10943.4"/>
    <s v="Completed"/>
    <s v="Mumbai"/>
    <x v="3"/>
    <x v="5"/>
    <x v="2"/>
    <n v="2420"/>
    <n v="3450"/>
  </r>
  <r>
    <s v="ORD-00045"/>
    <x v="41"/>
    <s v="CUST-0152"/>
    <s v="PROD-019"/>
    <s v="R019"/>
    <n v="2"/>
    <n v="2480"/>
    <n v="17.3"/>
    <n v="4101.92"/>
    <s v="Completed"/>
    <s v="Bengaluru"/>
    <x v="4"/>
    <x v="0"/>
    <x v="3"/>
    <n v="1173"/>
    <n v="2480"/>
  </r>
  <r>
    <s v="ORD-00046"/>
    <x v="42"/>
    <s v="CUST-0291"/>
    <s v="PROD-027"/>
    <s v="R015"/>
    <n v="9"/>
    <n v="3780"/>
    <n v="8.6999999999999993"/>
    <n v="31060.26"/>
    <s v="Pending"/>
    <s v="Pune"/>
    <x v="0"/>
    <x v="2"/>
    <x v="1"/>
    <n v="2436"/>
    <n v="3780"/>
  </r>
  <r>
    <s v="ORD-00047"/>
    <x v="1"/>
    <s v="CUST-0112"/>
    <s v="PROD-013"/>
    <s v="R017"/>
    <n v="4"/>
    <n v="3640"/>
    <n v="20.7"/>
    <n v="11546.08"/>
    <s v="Completed"/>
    <s v="Hyderabad"/>
    <x v="5"/>
    <x v="0"/>
    <x v="3"/>
    <n v="2611"/>
    <n v="3640"/>
  </r>
  <r>
    <s v="ORD-00048"/>
    <x v="43"/>
    <s v="CUST-9800"/>
    <s v="PROD-050"/>
    <s v="R003"/>
    <n v="8"/>
    <n v="6080"/>
    <n v="24.4"/>
    <n v="36771.839999999997"/>
    <s v="Completed"/>
    <s v="Pune"/>
    <x v="0"/>
    <x v="5"/>
    <x v="0"/>
    <n v="2617"/>
    <n v="6080"/>
  </r>
  <r>
    <s v="ORD-00049"/>
    <x v="44"/>
    <s v="CUST-0143"/>
    <s v="PROD-030"/>
    <s v="R007"/>
    <n v="10"/>
    <n v="970"/>
    <n v="0.6"/>
    <n v="9641.7999999999993"/>
    <s v="Cancelled"/>
    <s v="Chennai"/>
    <x v="1"/>
    <x v="2"/>
    <x v="0"/>
    <n v="434"/>
    <n v="970"/>
  </r>
  <r>
    <s v="ORD-00050"/>
    <x v="45"/>
    <s v="CUST-0226"/>
    <s v="PROD-022"/>
    <s v="R028"/>
    <n v="1"/>
    <n v="2270"/>
    <n v="11.5"/>
    <n v="2008.95"/>
    <s v="Pending"/>
    <s v="Chennai"/>
    <x v="1"/>
    <x v="2"/>
    <x v="2"/>
    <n v="1412"/>
    <n v="2270"/>
  </r>
  <r>
    <s v="ORD-00051"/>
    <x v="46"/>
    <s v="CUST-0234"/>
    <s v="PROD-004"/>
    <s v="R023"/>
    <n v="7"/>
    <n v="3870"/>
    <n v="0.3"/>
    <n v="27008.73"/>
    <s v="Cancelled"/>
    <s v="Bengaluru"/>
    <x v="4"/>
    <x v="4"/>
    <x v="3"/>
    <n v="1559"/>
    <n v="3870"/>
  </r>
  <r>
    <s v="ORD-00052"/>
    <x v="47"/>
    <s v="CUST-0176"/>
    <s v="PROD-046"/>
    <s v="R009"/>
    <n v="1"/>
    <n v="4880"/>
    <n v="23.9"/>
    <n v="3713.68"/>
    <s v="Pending"/>
    <s v="Bengaluru"/>
    <x v="4"/>
    <x v="5"/>
    <x v="1"/>
    <n v="2768"/>
    <n v="4880"/>
  </r>
  <r>
    <s v="ORD-00053"/>
    <x v="48"/>
    <s v="CUST-0180"/>
    <s v="PROD-027"/>
    <s v="R013"/>
    <n v="5"/>
    <n v="3780"/>
    <n v="18.5"/>
    <n v="15403.5"/>
    <s v="Completed"/>
    <s v="Chennai"/>
    <x v="1"/>
    <x v="2"/>
    <x v="1"/>
    <n v="2436"/>
    <n v="3780"/>
  </r>
  <r>
    <s v="ORD-00054"/>
    <x v="49"/>
    <s v="CUST-0088"/>
    <s v="PROD-036"/>
    <s v="R020"/>
    <n v="10"/>
    <n v="3250"/>
    <n v="25.5"/>
    <n v="24212.5"/>
    <s v="Completed"/>
    <s v="Chennai"/>
    <x v="1"/>
    <x v="3"/>
    <x v="3"/>
    <n v="1556"/>
    <n v="3250"/>
  </r>
  <r>
    <s v="ORD-00055"/>
    <x v="50"/>
    <s v="CUST-0267"/>
    <s v="PROD-013"/>
    <s v="R007"/>
    <n v="4"/>
    <n v="3640"/>
    <n v="9.9"/>
    <n v="13118.56"/>
    <s v="Refunded"/>
    <s v="Hyderabad"/>
    <x v="5"/>
    <x v="0"/>
    <x v="0"/>
    <n v="2611"/>
    <n v="3640"/>
  </r>
  <r>
    <s v="ORD-00056"/>
    <x v="51"/>
    <s v="CUST-0194"/>
    <s v="PROD-041"/>
    <s v="R023"/>
    <n v="4"/>
    <n v="1540"/>
    <n v="28.8"/>
    <n v="4385.92"/>
    <s v="Completed"/>
    <s v="Delhi"/>
    <x v="2"/>
    <x v="5"/>
    <x v="3"/>
    <n v="647"/>
    <n v="1540"/>
  </r>
  <r>
    <s v="ORD-00057"/>
    <x v="48"/>
    <s v="CUST-0261"/>
    <s v="PROD-040"/>
    <s v="R017"/>
    <n v="1"/>
    <n v="1080"/>
    <n v="23"/>
    <n v="831.6"/>
    <s v="Cancelled"/>
    <s v="Delhi"/>
    <x v="2"/>
    <x v="3"/>
    <x v="3"/>
    <n v="519"/>
    <n v="1080"/>
  </r>
  <r>
    <s v="ORD-00058"/>
    <x v="52"/>
    <s v="CUST-0031"/>
    <s v="PROD-026"/>
    <s v="R007"/>
    <n v="1"/>
    <n v="4070"/>
    <n v="6.7"/>
    <n v="3797.31"/>
    <s v="Completed"/>
    <s v="Hyderabad"/>
    <x v="5"/>
    <x v="2"/>
    <x v="0"/>
    <n v="2027"/>
    <n v="4070"/>
  </r>
  <r>
    <s v="ORD-00059"/>
    <x v="53"/>
    <s v="CUST-0175"/>
    <s v="PROD-009"/>
    <s v="R030"/>
    <n v="2"/>
    <n v="1220"/>
    <n v="11.7"/>
    <n v="2154.52"/>
    <s v="Cancelled"/>
    <s v="Delhi"/>
    <x v="2"/>
    <x v="4"/>
    <x v="2"/>
    <n v="517"/>
    <n v="1220"/>
  </r>
  <r>
    <s v="ORD-00060"/>
    <x v="54"/>
    <s v="CUST-0263"/>
    <s v="PROD-039"/>
    <s v="R029"/>
    <n v="4"/>
    <n v="4610"/>
    <n v="26.9"/>
    <n v="13479.64"/>
    <s v="Pending"/>
    <s v="Mumbai"/>
    <x v="3"/>
    <x v="3"/>
    <x v="2"/>
    <n v="1850"/>
    <n v="4610"/>
  </r>
  <r>
    <s v="ORD-00061"/>
    <x v="55"/>
    <s v="CUST-0203"/>
    <s v="PROD-040"/>
    <s v="R011"/>
    <n v="8"/>
    <n v="1080"/>
    <n v="28.4"/>
    <n v="6186.24"/>
    <s v="Completed"/>
    <s v="Chennai"/>
    <x v="1"/>
    <x v="3"/>
    <x v="1"/>
    <n v="519"/>
    <n v="1080"/>
  </r>
  <r>
    <s v="ORD-00062"/>
    <x v="56"/>
    <s v="CUST-0258"/>
    <s v="PROD-045"/>
    <s v="R006"/>
    <n v="10"/>
    <n v="3020"/>
    <n v="25.4"/>
    <n v="22529.200000000001"/>
    <s v="Completed"/>
    <s v="Pune"/>
    <x v="0"/>
    <x v="5"/>
    <x v="0"/>
    <n v="1626"/>
    <n v="3020"/>
  </r>
  <r>
    <s v="ORD-00063"/>
    <x v="57"/>
    <s v="CUST-0282"/>
    <s v="PROD-008"/>
    <s v="R017"/>
    <n v="7"/>
    <n v="2660"/>
    <n v="5.3"/>
    <n v="17633.14"/>
    <s v="Completed"/>
    <s v="Hyderabad"/>
    <x v="5"/>
    <x v="4"/>
    <x v="3"/>
    <n v="1259"/>
    <n v="2660"/>
  </r>
  <r>
    <s v="ORD-00064"/>
    <x v="37"/>
    <s v="CUST-0168"/>
    <s v="PROD-005"/>
    <s v="R003"/>
    <n v="9"/>
    <n v="300"/>
    <n v="25.3"/>
    <n v="2016.9"/>
    <s v="Completed"/>
    <s v="Pune"/>
    <x v="0"/>
    <x v="4"/>
    <x v="0"/>
    <n v="128"/>
    <n v="300"/>
  </r>
  <r>
    <s v="ORD-00065"/>
    <x v="58"/>
    <s v="CUST-0040"/>
    <s v="PROD-010"/>
    <s v="R022"/>
    <n v="10"/>
    <n v="2640"/>
    <n v="18.7"/>
    <n v="21463.200000000001"/>
    <s v="Cancelled"/>
    <s v="Chennai"/>
    <x v="1"/>
    <x v="4"/>
    <x v="3"/>
    <n v="1149"/>
    <n v="2640"/>
  </r>
  <r>
    <s v="ORD-00066"/>
    <x v="32"/>
    <s v="CUST-0283"/>
    <s v="PROD-020"/>
    <s v="R020"/>
    <n v="8"/>
    <n v="820"/>
    <n v="24"/>
    <n v="4985.6000000000004"/>
    <s v="Completed"/>
    <s v="Delhi"/>
    <x v="2"/>
    <x v="0"/>
    <x v="3"/>
    <n v="391"/>
    <n v="820"/>
  </r>
  <r>
    <s v="ORD-00067"/>
    <x v="59"/>
    <s v="CUST-0202"/>
    <s v="PROD-021"/>
    <s v="R028"/>
    <n v="1"/>
    <n v="2760"/>
    <n v="4.8"/>
    <n v="2627.52"/>
    <s v="Completed"/>
    <s v="Chennai"/>
    <x v="1"/>
    <x v="2"/>
    <x v="2"/>
    <n v="1435"/>
    <n v="2760"/>
  </r>
  <r>
    <s v="ORD-00068"/>
    <x v="60"/>
    <s v="CUST-0161"/>
    <s v="PROD-014"/>
    <s v="R017"/>
    <n v="2"/>
    <n v="3620"/>
    <n v="19.100000000000001"/>
    <n v="5857.16"/>
    <s v="Completed"/>
    <s v="Chennai"/>
    <x v="1"/>
    <x v="0"/>
    <x v="3"/>
    <n v="2509"/>
    <n v="3620"/>
  </r>
  <r>
    <s v="ORD-00069"/>
    <x v="61"/>
    <s v="CUST-0033"/>
    <s v="PROD-016"/>
    <s v="R025"/>
    <n v="1"/>
    <n v="620"/>
    <n v="1"/>
    <n v="613.79999999999995"/>
    <s v="Completed"/>
    <s v="Delhi"/>
    <x v="2"/>
    <x v="0"/>
    <x v="2"/>
    <n v="396"/>
    <n v="620"/>
  </r>
  <r>
    <s v="ORD-00070"/>
    <x v="62"/>
    <s v="CUST-0191"/>
    <s v="PROD-033"/>
    <s v="R030"/>
    <n v="1"/>
    <n v="2030"/>
    <n v="3.3"/>
    <n v="1963.01"/>
    <s v="Completed"/>
    <s v="Hyderabad"/>
    <x v="5"/>
    <x v="3"/>
    <x v="2"/>
    <n v="1143"/>
    <n v="2030"/>
  </r>
  <r>
    <s v="ORD-00071"/>
    <x v="19"/>
    <s v="CUST-0180"/>
    <s v="PROD-012"/>
    <s v="R002"/>
    <n v="10"/>
    <n v="3160"/>
    <n v="15.8"/>
    <n v="26607.200000000001"/>
    <s v="Completed"/>
    <s v="Chennai"/>
    <x v="1"/>
    <x v="0"/>
    <x v="0"/>
    <n v="1886"/>
    <n v="3160"/>
  </r>
  <r>
    <s v="ORD-00072"/>
    <x v="63"/>
    <s v="CUST-0129"/>
    <s v="PROD-030"/>
    <s v="R001"/>
    <n v="5"/>
    <n v="970"/>
    <n v="12.2"/>
    <n v="4258.3"/>
    <s v="Completed"/>
    <s v="Hyderabad"/>
    <x v="5"/>
    <x v="2"/>
    <x v="0"/>
    <n v="434"/>
    <n v="970"/>
  </r>
  <r>
    <s v="ORD-00073"/>
    <x v="64"/>
    <s v="CUST-0189"/>
    <s v="PROD-043"/>
    <s v="R003"/>
    <n v="9"/>
    <n v="3350"/>
    <n v="25.8"/>
    <n v="22371.3"/>
    <s v="Pending"/>
    <s v="Chennai"/>
    <x v="1"/>
    <x v="5"/>
    <x v="0"/>
    <n v="1728"/>
    <n v="3350"/>
  </r>
  <r>
    <s v="ORD-00074"/>
    <x v="65"/>
    <s v="CUST-0194"/>
    <s v="PROD-032"/>
    <s v="R018"/>
    <n v="1"/>
    <n v="370"/>
    <n v="28.9"/>
    <n v="263.07"/>
    <s v="Completed"/>
    <s v="Delhi"/>
    <x v="2"/>
    <x v="3"/>
    <x v="3"/>
    <n v="288"/>
    <n v="370"/>
  </r>
  <r>
    <s v="ORD-00075"/>
    <x v="66"/>
    <s v="CUST-0200"/>
    <s v="PROD-030"/>
    <s v="R010"/>
    <n v="3"/>
    <n v="970"/>
    <n v="4.3"/>
    <n v="2784.87"/>
    <s v="Cancelled"/>
    <s v="Hyderabad"/>
    <x v="5"/>
    <x v="2"/>
    <x v="1"/>
    <n v="434"/>
    <n v="970"/>
  </r>
  <r>
    <s v="ORD-00076"/>
    <x v="67"/>
    <s v="CUST-0008"/>
    <s v="PROD-021"/>
    <s v="R022"/>
    <n v="6"/>
    <n v="2760"/>
    <n v="19.899999999999999"/>
    <n v="13264.56"/>
    <s v="Pending"/>
    <s v="Pune"/>
    <x v="0"/>
    <x v="2"/>
    <x v="3"/>
    <n v="1435"/>
    <n v="2760"/>
  </r>
  <r>
    <s v="ORD-00077"/>
    <x v="68"/>
    <s v="CUST-0051"/>
    <s v="PROD-021"/>
    <s v="R019"/>
    <n v="7"/>
    <n v="2760"/>
    <n v="25.2"/>
    <n v="14451.36"/>
    <s v="Completed"/>
    <s v="Pune"/>
    <x v="0"/>
    <x v="2"/>
    <x v="3"/>
    <n v="1435"/>
    <n v="2760"/>
  </r>
  <r>
    <s v="ORD-00078"/>
    <x v="69"/>
    <s v="CUST-0193"/>
    <s v="PROD-009"/>
    <s v="R022"/>
    <n v="4"/>
    <n v="1220"/>
    <n v="8.4"/>
    <n v="4470.08"/>
    <s v="Completed"/>
    <s v="Bengaluru"/>
    <x v="4"/>
    <x v="4"/>
    <x v="3"/>
    <n v="517"/>
    <n v="1220"/>
  </r>
  <r>
    <s v="ORD-00079"/>
    <x v="70"/>
    <s v="CUST-0020"/>
    <s v="PROD-002"/>
    <s v="R028"/>
    <n v="2"/>
    <n v="2600"/>
    <n v="1.9"/>
    <n v="5101.2"/>
    <s v="Pending"/>
    <s v="Hyderabad"/>
    <x v="5"/>
    <x v="4"/>
    <x v="2"/>
    <n v="1052"/>
    <n v="2600"/>
  </r>
  <r>
    <s v="ORD-00080"/>
    <x v="71"/>
    <s v="CUST-0230"/>
    <s v="PROD-026"/>
    <s v="R030"/>
    <n v="9"/>
    <n v="4070"/>
    <n v="28.8"/>
    <n v="26080.560000000001"/>
    <s v="Completed"/>
    <s v="Pune"/>
    <x v="0"/>
    <x v="2"/>
    <x v="2"/>
    <n v="2027"/>
    <n v="4070"/>
  </r>
  <r>
    <s v="ORD-00081"/>
    <x v="50"/>
    <s v="CUST-0094"/>
    <s v="PROD-024"/>
    <s v="R005"/>
    <n v="2"/>
    <n v="2270"/>
    <n v="18"/>
    <n v="3722.8"/>
    <s v="Refunded"/>
    <s v="Pune"/>
    <x v="0"/>
    <x v="2"/>
    <x v="0"/>
    <n v="1203"/>
    <n v="2270"/>
  </r>
  <r>
    <s v="ORD-00082"/>
    <x v="72"/>
    <s v="CUST-0248"/>
    <s v="PROD-012"/>
    <s v="R017"/>
    <n v="2"/>
    <n v="3160"/>
    <n v="18.3"/>
    <n v="5163.4399999999996"/>
    <s v="Completed"/>
    <s v="Chennai"/>
    <x v="1"/>
    <x v="0"/>
    <x v="3"/>
    <n v="1886"/>
    <n v="3160"/>
  </r>
  <r>
    <s v="ORD-00083"/>
    <x v="73"/>
    <s v="CUST-0082"/>
    <s v="PROD-019"/>
    <s v="R007"/>
    <n v="4"/>
    <n v="2480"/>
    <n v="1.1000000000000001"/>
    <n v="9810.8799999999992"/>
    <s v="Pending"/>
    <s v="Hyderabad"/>
    <x v="5"/>
    <x v="0"/>
    <x v="0"/>
    <n v="1173"/>
    <n v="2480"/>
  </r>
  <r>
    <s v="ORD-00084"/>
    <x v="74"/>
    <s v="CUST-0078"/>
    <s v="PROD-008"/>
    <s v="R026"/>
    <n v="1"/>
    <n v="2660"/>
    <n v="21"/>
    <n v="2101.4"/>
    <s v="Completed"/>
    <s v="Delhi"/>
    <x v="2"/>
    <x v="4"/>
    <x v="2"/>
    <n v="1259"/>
    <n v="2660"/>
  </r>
  <r>
    <s v="ORD-00085"/>
    <x v="75"/>
    <s v="CUST-0032"/>
    <s v="PROD-045"/>
    <s v="R012"/>
    <n v="5"/>
    <n v="3020"/>
    <n v="22.2"/>
    <n v="11747.8"/>
    <s v="Completed"/>
    <s v="Hyderabad"/>
    <x v="5"/>
    <x v="5"/>
    <x v="1"/>
    <n v="1626"/>
    <n v="3020"/>
  </r>
  <r>
    <s v="ORD-00086"/>
    <x v="76"/>
    <s v="CUST-0006"/>
    <s v="PROD-016"/>
    <s v="R030"/>
    <n v="9"/>
    <n v="620"/>
    <n v="23.3"/>
    <n v="4279.8599999999997"/>
    <s v="Completed"/>
    <s v="Pune"/>
    <x v="0"/>
    <x v="0"/>
    <x v="2"/>
    <n v="396"/>
    <n v="620"/>
  </r>
  <r>
    <s v="ORD-00087"/>
    <x v="77"/>
    <s v="CUST-0084"/>
    <s v="PROD-053"/>
    <s v="R026"/>
    <n v="2"/>
    <n v="470"/>
    <n v="5.4"/>
    <n v="889.24"/>
    <s v="Completed"/>
    <s v="Chennai"/>
    <x v="1"/>
    <x v="1"/>
    <x v="2"/>
    <n v="302"/>
    <n v="470"/>
  </r>
  <r>
    <s v="ORD-00088"/>
    <x v="78"/>
    <s v="CUST-0107"/>
    <s v="PROD-007"/>
    <s v="R010"/>
    <n v="3"/>
    <n v="1430"/>
    <n v="6.5"/>
    <n v="4011.15"/>
    <s v="Completed"/>
    <s v="Pune"/>
    <x v="0"/>
    <x v="4"/>
    <x v="1"/>
    <n v="861"/>
    <n v="1430"/>
  </r>
  <r>
    <s v="ORD-00089"/>
    <x v="79"/>
    <s v="CUST-0108"/>
    <s v="PROD-016"/>
    <s v="R004"/>
    <n v="6"/>
    <n v="620"/>
    <n v="2.6"/>
    <n v="3623.28"/>
    <s v="Completed"/>
    <s v="Bengaluru"/>
    <x v="4"/>
    <x v="0"/>
    <x v="0"/>
    <n v="396"/>
    <n v="620"/>
  </r>
  <r>
    <s v="ORD-00090"/>
    <x v="80"/>
    <s v="CUST-0139"/>
    <s v="PROD-003"/>
    <s v="R012"/>
    <n v="4"/>
    <n v="3570"/>
    <n v="4.5"/>
    <n v="13637.4"/>
    <s v="Pending"/>
    <s v="Hyderabad"/>
    <x v="5"/>
    <x v="4"/>
    <x v="1"/>
    <n v="1665"/>
    <n v="3570"/>
  </r>
  <r>
    <s v="ORD-00091"/>
    <x v="81"/>
    <s v="CUST-0200"/>
    <s v="PROD-022"/>
    <s v="R010"/>
    <n v="6"/>
    <n v="2270"/>
    <n v="2"/>
    <n v="13347.6"/>
    <s v="Completed"/>
    <s v="Hyderabad"/>
    <x v="5"/>
    <x v="2"/>
    <x v="1"/>
    <n v="1412"/>
    <n v="2270"/>
  </r>
  <r>
    <s v="ORD-00092"/>
    <x v="60"/>
    <s v="CUST-0208"/>
    <s v="PROD-015"/>
    <s v="R014"/>
    <n v="7"/>
    <n v="2720"/>
    <n v="15.4"/>
    <n v="16107.84"/>
    <s v="Completed"/>
    <s v="Mumbai"/>
    <x v="3"/>
    <x v="0"/>
    <x v="1"/>
    <n v="1962"/>
    <n v="2720"/>
  </r>
  <r>
    <s v="ORD-00093"/>
    <x v="82"/>
    <s v="CUST-0161"/>
    <s v="PROD-029"/>
    <s v="R001"/>
    <n v="9"/>
    <n v="2210"/>
    <n v="12.4"/>
    <n v="17423.64"/>
    <s v="Completed"/>
    <s v="Chennai"/>
    <x v="1"/>
    <x v="2"/>
    <x v="0"/>
    <n v="1010"/>
    <n v="2210"/>
  </r>
  <r>
    <s v="ORD-00094"/>
    <x v="83"/>
    <s v="CUST-0042"/>
    <s v="PROD-060"/>
    <s v="R026"/>
    <n v="6"/>
    <n v="190"/>
    <n v="19.2"/>
    <n v="921.12"/>
    <s v="Completed"/>
    <s v="Pune"/>
    <x v="0"/>
    <x v="1"/>
    <x v="2"/>
    <n v="147"/>
    <n v="190"/>
  </r>
  <r>
    <s v="ORD-00095"/>
    <x v="84"/>
    <s v="CUST-0133"/>
    <s v="PROD-048"/>
    <s v="R027"/>
    <n v="10"/>
    <n v="5100"/>
    <n v="25.4"/>
    <n v="38046"/>
    <s v="Refunded"/>
    <s v="Chennai"/>
    <x v="1"/>
    <x v="5"/>
    <x v="2"/>
    <n v="2237"/>
    <n v="5100"/>
  </r>
  <r>
    <s v="ORD-00096"/>
    <x v="85"/>
    <s v="CUST-0219"/>
    <s v="PROD-054"/>
    <s v="R016"/>
    <n v="5"/>
    <n v="1010"/>
    <n v="1.6"/>
    <n v="4969.2"/>
    <s v="Completed"/>
    <s v="Chennai"/>
    <x v="1"/>
    <x v="1"/>
    <x v="1"/>
    <n v="516"/>
    <n v="1010"/>
  </r>
  <r>
    <s v="ORD-00097"/>
    <x v="60"/>
    <s v="CUST-0031"/>
    <s v="PROD-031"/>
    <s v="R025"/>
    <n v="1"/>
    <n v="3730"/>
    <n v="22.7"/>
    <n v="2883.29"/>
    <s v="Completed"/>
    <s v="Hyderabad"/>
    <x v="5"/>
    <x v="3"/>
    <x v="2"/>
    <n v="2135"/>
    <n v="3730"/>
  </r>
  <r>
    <s v="ORD-00098"/>
    <x v="41"/>
    <s v="CUST-0189"/>
    <s v="PROD-002"/>
    <s v="R028"/>
    <n v="10"/>
    <n v="2600"/>
    <n v="20.7"/>
    <n v="20618"/>
    <s v="Completed"/>
    <s v="Chennai"/>
    <x v="1"/>
    <x v="4"/>
    <x v="2"/>
    <n v="1052"/>
    <n v="2600"/>
  </r>
  <r>
    <s v="ORD-00099"/>
    <x v="86"/>
    <s v="CUST-0170"/>
    <s v="PROD-025"/>
    <s v="R006"/>
    <n v="4"/>
    <n v="4060"/>
    <n v="13.9"/>
    <n v="13982.64"/>
    <s v="Completed"/>
    <s v="Mumbai"/>
    <x v="3"/>
    <x v="2"/>
    <x v="0"/>
    <n v="2911"/>
    <n v="4060"/>
  </r>
  <r>
    <s v="ORD-00100"/>
    <x v="87"/>
    <s v="CUST-0164"/>
    <s v="PROD-050"/>
    <s v="R027"/>
    <n v="6"/>
    <n v="6080"/>
    <n v="16.5"/>
    <n v="30460.799999999999"/>
    <s v="Completed"/>
    <s v="Chennai"/>
    <x v="1"/>
    <x v="5"/>
    <x v="2"/>
    <n v="2617"/>
    <n v="6080"/>
  </r>
  <r>
    <s v="ORD-00101"/>
    <x v="88"/>
    <s v="CUST-0006"/>
    <s v="PROD-017"/>
    <s v="R028"/>
    <n v="6"/>
    <n v="2510"/>
    <n v="11.7"/>
    <n v="13297.98"/>
    <s v="Completed"/>
    <s v="Pune"/>
    <x v="0"/>
    <x v="0"/>
    <x v="2"/>
    <n v="1075"/>
    <n v="2510"/>
  </r>
  <r>
    <s v="ORD-00102"/>
    <x v="89"/>
    <s v="CUST-0181"/>
    <s v="PROD-036"/>
    <s v="R026"/>
    <n v="5"/>
    <n v="3250"/>
    <n v="18.399999999999999"/>
    <n v="13260"/>
    <s v="Completed"/>
    <s v="Delhi"/>
    <x v="2"/>
    <x v="3"/>
    <x v="2"/>
    <n v="1556"/>
    <n v="3250"/>
  </r>
  <r>
    <s v="ORD-00103"/>
    <x v="90"/>
    <s v="CUST-0131"/>
    <s v="PROD-052"/>
    <s v="R005"/>
    <n v="4"/>
    <n v="5410"/>
    <n v="9.8000000000000007"/>
    <n v="19519.28"/>
    <s v="Cancelled"/>
    <s v="Delhi"/>
    <x v="2"/>
    <x v="1"/>
    <x v="0"/>
    <n v="2265"/>
    <n v="5410"/>
  </r>
  <r>
    <s v="ORD-00104"/>
    <x v="91"/>
    <s v="CUST-0255"/>
    <s v="PROD-003"/>
    <s v="R018"/>
    <n v="8"/>
    <n v="3570"/>
    <n v="11.1"/>
    <n v="25389.84"/>
    <s v="Completed"/>
    <s v="Chennai"/>
    <x v="1"/>
    <x v="4"/>
    <x v="3"/>
    <n v="1665"/>
    <n v="3570"/>
  </r>
  <r>
    <s v="ORD-00105"/>
    <x v="92"/>
    <s v="CUST-0170"/>
    <s v="PROD-001"/>
    <s v="R003"/>
    <n v="10"/>
    <n v="5330"/>
    <n v="21.2"/>
    <n v="42000.4"/>
    <s v="Completed"/>
    <s v="Mumbai"/>
    <x v="3"/>
    <x v="4"/>
    <x v="0"/>
    <n v="2405"/>
    <n v="5330"/>
  </r>
  <r>
    <s v="ORD-00106"/>
    <x v="93"/>
    <s v="CUST-0081"/>
    <s v="PROD-023"/>
    <s v="R017"/>
    <n v="4"/>
    <n v="2380"/>
    <n v="26.2"/>
    <n v="7025.76"/>
    <s v="Completed"/>
    <s v="Mumbai"/>
    <x v="3"/>
    <x v="2"/>
    <x v="3"/>
    <n v="1182"/>
    <n v="2380"/>
  </r>
  <r>
    <s v="ORD-00107"/>
    <x v="94"/>
    <s v="CUST-0102"/>
    <s v="PROD-054"/>
    <s v="R027"/>
    <n v="1"/>
    <n v="1010"/>
    <n v="19.5"/>
    <n v="813.05"/>
    <s v="Cancelled"/>
    <s v="Chennai"/>
    <x v="1"/>
    <x v="1"/>
    <x v="2"/>
    <n v="516"/>
    <n v="1010"/>
  </r>
  <r>
    <s v="ORD-00108"/>
    <x v="85"/>
    <s v="CUST-0070"/>
    <s v="PROD-028"/>
    <s v="R025"/>
    <n v="1"/>
    <n v="3660"/>
    <n v="1.3"/>
    <n v="3612.42"/>
    <s v="Completed"/>
    <s v="Mumbai"/>
    <x v="3"/>
    <x v="2"/>
    <x v="2"/>
    <n v="2214"/>
    <n v="3660"/>
  </r>
  <r>
    <s v="ORD-00109"/>
    <x v="95"/>
    <s v="CUST-0012"/>
    <s v="PROD-026"/>
    <s v="R013"/>
    <n v="2"/>
    <n v="4070"/>
    <n v="29"/>
    <n v="5779.4"/>
    <s v="Cancelled"/>
    <s v="Pune"/>
    <x v="0"/>
    <x v="2"/>
    <x v="1"/>
    <n v="2027"/>
    <n v="4070"/>
  </r>
  <r>
    <s v="ORD-00110"/>
    <x v="96"/>
    <s v="CUST-0086"/>
    <s v="PROD-037"/>
    <s v="R029"/>
    <n v="6"/>
    <n v="660"/>
    <n v="20.2"/>
    <n v="3160.08"/>
    <s v="Pending"/>
    <s v="Hyderabad"/>
    <x v="5"/>
    <x v="3"/>
    <x v="2"/>
    <n v="329"/>
    <n v="660"/>
  </r>
  <r>
    <s v="ORD-00111"/>
    <x v="97"/>
    <s v="CUST-0145"/>
    <s v="PROD-040"/>
    <s v="R024"/>
    <n v="3"/>
    <n v="1080"/>
    <n v="29.7"/>
    <n v="2277.7199999999998"/>
    <s v="Completed"/>
    <s v="Bengaluru"/>
    <x v="4"/>
    <x v="3"/>
    <x v="2"/>
    <n v="519"/>
    <n v="1080"/>
  </r>
  <r>
    <s v="ORD-00112"/>
    <x v="98"/>
    <s v="CUST-0287"/>
    <s v="PROD-020"/>
    <s v="R006"/>
    <n v="7"/>
    <n v="820"/>
    <n v="13.5"/>
    <n v="4965.1000000000004"/>
    <s v="Cancelled"/>
    <s v="Chennai"/>
    <x v="1"/>
    <x v="0"/>
    <x v="0"/>
    <n v="391"/>
    <n v="820"/>
  </r>
  <r>
    <s v="ORD-00113"/>
    <x v="18"/>
    <s v="CUST-0280"/>
    <s v="PROD-049"/>
    <s v="R027"/>
    <n v="4"/>
    <n v="960"/>
    <n v="26"/>
    <n v="2841.6"/>
    <s v="Completed"/>
    <s v="Delhi"/>
    <x v="2"/>
    <x v="5"/>
    <x v="2"/>
    <n v="675"/>
    <n v="960"/>
  </r>
  <r>
    <s v="ORD-00114"/>
    <x v="99"/>
    <s v="CUST-0096"/>
    <s v="PROD-002"/>
    <s v="R014"/>
    <n v="3"/>
    <n v="2600"/>
    <n v="18.2"/>
    <n v="6380.4"/>
    <s v="Completed"/>
    <s v="Delhi"/>
    <x v="2"/>
    <x v="4"/>
    <x v="1"/>
    <n v="1052"/>
    <n v="2600"/>
  </r>
  <r>
    <s v="ORD-00115"/>
    <x v="43"/>
    <s v="CUST-0184"/>
    <s v="PROD-033"/>
    <s v="R029"/>
    <n v="9"/>
    <n v="2030"/>
    <n v="26.1"/>
    <n v="13501.53"/>
    <s v="Completed"/>
    <s v="Pune"/>
    <x v="0"/>
    <x v="3"/>
    <x v="2"/>
    <n v="1143"/>
    <n v="2030"/>
  </r>
  <r>
    <s v="ORD-00116"/>
    <x v="100"/>
    <s v="CUST-0025"/>
    <s v="PROD-042"/>
    <s v="R028"/>
    <n v="8"/>
    <n v="2290"/>
    <n v="20.8"/>
    <n v="14509.44"/>
    <s v="Completed"/>
    <s v="Bengaluru"/>
    <x v="4"/>
    <x v="5"/>
    <x v="2"/>
    <n v="1219"/>
    <n v="2290"/>
  </r>
  <r>
    <s v="ORD-00117"/>
    <x v="101"/>
    <s v="CUST-0149"/>
    <s v="PROD-031"/>
    <s v="R029"/>
    <n v="3"/>
    <n v="3730"/>
    <n v="7.9"/>
    <n v="10305.99"/>
    <s v="Completed"/>
    <s v="Hyderabad"/>
    <x v="5"/>
    <x v="3"/>
    <x v="2"/>
    <n v="2135"/>
    <n v="3730"/>
  </r>
  <r>
    <s v="ORD-00118"/>
    <x v="102"/>
    <s v="CUST-0018"/>
    <s v="PROD-005"/>
    <s v="R014"/>
    <n v="1"/>
    <n v="300"/>
    <n v="16.899999999999999"/>
    <n v="249.3"/>
    <s v="Pending"/>
    <s v="Pune"/>
    <x v="0"/>
    <x v="4"/>
    <x v="1"/>
    <n v="128"/>
    <n v="300"/>
  </r>
  <r>
    <s v="ORD-00119"/>
    <x v="103"/>
    <s v="CUST-0216"/>
    <s v="PROD-005"/>
    <s v="R012"/>
    <n v="3"/>
    <n v="300"/>
    <n v="0.6"/>
    <n v="894.6"/>
    <s v="Completed"/>
    <s v="Mumbai"/>
    <x v="3"/>
    <x v="4"/>
    <x v="1"/>
    <n v="128"/>
    <n v="300"/>
  </r>
  <r>
    <s v="ORD-00120"/>
    <x v="90"/>
    <s v="CUST-0092"/>
    <s v="PROD-043"/>
    <s v="R007"/>
    <n v="6"/>
    <n v="3350"/>
    <n v="2.2999999999999998"/>
    <n v="19637.7"/>
    <s v="Cancelled"/>
    <s v="Bengaluru"/>
    <x v="4"/>
    <x v="5"/>
    <x v="0"/>
    <n v="1728"/>
    <n v="3350"/>
  </r>
  <r>
    <s v="ORD-00121"/>
    <x v="104"/>
    <s v="CUST-0056"/>
    <s v="PROD-001"/>
    <s v="R003"/>
    <n v="4"/>
    <n v="5330"/>
    <n v="29.3"/>
    <n v="15073.24"/>
    <s v="Completed"/>
    <s v="Bengaluru"/>
    <x v="4"/>
    <x v="4"/>
    <x v="0"/>
    <n v="2405"/>
    <n v="5330"/>
  </r>
  <r>
    <s v="ORD-00122"/>
    <x v="105"/>
    <s v="CUST-0113"/>
    <s v="PROD-014"/>
    <s v="R002"/>
    <n v="6"/>
    <n v="3620"/>
    <n v="10.8"/>
    <n v="19374.240000000002"/>
    <s v="Completed"/>
    <s v="Delhi"/>
    <x v="2"/>
    <x v="0"/>
    <x v="0"/>
    <n v="2509"/>
    <n v="3620"/>
  </r>
  <r>
    <s v="ORD-00123"/>
    <x v="106"/>
    <s v="CUST-0253"/>
    <s v="PROD-014"/>
    <s v="R005"/>
    <n v="6"/>
    <n v="3620"/>
    <n v="21.7"/>
    <n v="17006.759999999998"/>
    <s v="Completed"/>
    <s v="Delhi"/>
    <x v="2"/>
    <x v="0"/>
    <x v="0"/>
    <n v="2509"/>
    <n v="3620"/>
  </r>
  <r>
    <s v="ORD-00124"/>
    <x v="107"/>
    <s v="CUST-0187"/>
    <s v="PROD-057"/>
    <s v="R008"/>
    <n v="8"/>
    <n v="960"/>
    <n v="27.9"/>
    <n v="5537.28"/>
    <s v="Completed"/>
    <s v="Chennai"/>
    <x v="1"/>
    <x v="1"/>
    <x v="0"/>
    <n v="705"/>
    <n v="960"/>
  </r>
  <r>
    <s v="ORD-00125"/>
    <x v="108"/>
    <s v="CUST-0028"/>
    <s v="PROD-044"/>
    <s v="R025"/>
    <n v="5"/>
    <n v="1650"/>
    <n v="4.9000000000000004"/>
    <n v="7845.75"/>
    <s v="Completed"/>
    <s v="Bengaluru"/>
    <x v="4"/>
    <x v="5"/>
    <x v="2"/>
    <n v="1222"/>
    <n v="1650"/>
  </r>
  <r>
    <s v="ORD-00126"/>
    <x v="95"/>
    <s v="CUST-0224"/>
    <s v="PROD-049"/>
    <s v="R010"/>
    <n v="9"/>
    <n v="960"/>
    <n v="25.1"/>
    <n v="6471.36"/>
    <s v="Refunded"/>
    <s v="Chennai"/>
    <x v="1"/>
    <x v="5"/>
    <x v="1"/>
    <n v="675"/>
    <n v="960"/>
  </r>
  <r>
    <s v="ORD-00127"/>
    <x v="99"/>
    <s v="CUST-0150"/>
    <s v="PROD-006"/>
    <s v="R003"/>
    <n v="7"/>
    <n v="3970"/>
    <n v="13.8"/>
    <n v="23954.98"/>
    <s v="Pending"/>
    <s v="Pune"/>
    <x v="0"/>
    <x v="4"/>
    <x v="0"/>
    <n v="2865"/>
    <n v="3970"/>
  </r>
  <r>
    <s v="ORD-00128"/>
    <x v="109"/>
    <s v="CUST-0129"/>
    <s v="PROD-030"/>
    <s v="R005"/>
    <n v="7"/>
    <n v="970"/>
    <n v="21.6"/>
    <n v="5323.36"/>
    <s v="Pending"/>
    <s v="Hyderabad"/>
    <x v="5"/>
    <x v="2"/>
    <x v="0"/>
    <n v="434"/>
    <n v="970"/>
  </r>
  <r>
    <s v="ORD-00129"/>
    <x v="110"/>
    <s v="CUST-0239"/>
    <s v="PROD-033"/>
    <s v="R001"/>
    <n v="10"/>
    <n v="2030"/>
    <n v="1.2"/>
    <n v="20056.400000000001"/>
    <s v="Completed"/>
    <s v="Mumbai"/>
    <x v="3"/>
    <x v="3"/>
    <x v="0"/>
    <n v="1143"/>
    <n v="2030"/>
  </r>
  <r>
    <s v="ORD-00130"/>
    <x v="93"/>
    <s v="CUST-0106"/>
    <s v="PROD-024"/>
    <s v="R021"/>
    <n v="9"/>
    <n v="2270"/>
    <n v="13.2"/>
    <n v="17733.240000000002"/>
    <s v="Pending"/>
    <s v="Pune"/>
    <x v="0"/>
    <x v="2"/>
    <x v="3"/>
    <n v="1203"/>
    <n v="2270"/>
  </r>
  <r>
    <s v="ORD-00131"/>
    <x v="111"/>
    <s v="CUST-0273"/>
    <s v="PROD-046"/>
    <s v="R003"/>
    <n v="8"/>
    <n v="4880"/>
    <n v="13.4"/>
    <n v="33808.639999999999"/>
    <s v="Completed"/>
    <s v="Hyderabad"/>
    <x v="5"/>
    <x v="5"/>
    <x v="0"/>
    <n v="2768"/>
    <n v="4880"/>
  </r>
  <r>
    <s v="ORD-00132"/>
    <x v="112"/>
    <s v="CUST-0114"/>
    <s v="PROD-004"/>
    <s v="R011"/>
    <n v="10"/>
    <n v="3870"/>
    <n v="23.9"/>
    <n v="29450.7"/>
    <s v="Completed"/>
    <s v="Bengaluru"/>
    <x v="4"/>
    <x v="4"/>
    <x v="1"/>
    <n v="1559"/>
    <n v="3870"/>
  </r>
  <r>
    <s v="ORD-00133"/>
    <x v="113"/>
    <s v="CUST-0146"/>
    <s v="PROD-042"/>
    <s v="R002"/>
    <n v="4"/>
    <n v="2290"/>
    <n v="15.2"/>
    <n v="7767.68"/>
    <s v="Completed"/>
    <s v="Hyderabad"/>
    <x v="5"/>
    <x v="5"/>
    <x v="0"/>
    <n v="1219"/>
    <n v="2290"/>
  </r>
  <r>
    <s v="ORD-00134"/>
    <x v="68"/>
    <s v="CUST-0298"/>
    <s v="PROD-023"/>
    <s v="R020"/>
    <n v="8"/>
    <n v="2380"/>
    <n v="4.2"/>
    <n v="18240.32"/>
    <s v="Completed"/>
    <s v="Delhi"/>
    <x v="2"/>
    <x v="2"/>
    <x v="3"/>
    <n v="1182"/>
    <n v="2380"/>
  </r>
  <r>
    <s v="ORD-00135"/>
    <x v="114"/>
    <s v="CUST-0111"/>
    <s v="PROD-029"/>
    <s v="R013"/>
    <n v="8"/>
    <n v="2210"/>
    <n v="11.5"/>
    <n v="15646.8"/>
    <s v="Completed"/>
    <s v="Chennai"/>
    <x v="1"/>
    <x v="2"/>
    <x v="1"/>
    <n v="1010"/>
    <n v="2210"/>
  </r>
  <r>
    <s v="ORD-01445"/>
    <x v="107"/>
    <s v="CUST-0291"/>
    <s v="PROD-001"/>
    <s v="R022"/>
    <n v="4"/>
    <n v="5330"/>
    <n v="22.6"/>
    <n v="16501.68"/>
    <s v="Pending"/>
    <s v="Pune"/>
    <x v="0"/>
    <x v="4"/>
    <x v="3"/>
    <n v="2405"/>
    <n v="5330"/>
  </r>
  <r>
    <s v="ORD-00137"/>
    <x v="115"/>
    <s v="CUST-0024"/>
    <s v="PROD-006"/>
    <s v="R022"/>
    <n v="8"/>
    <n v="3970"/>
    <n v="21.8"/>
    <n v="24836.32"/>
    <s v="Completed"/>
    <s v="Chennai"/>
    <x v="1"/>
    <x v="4"/>
    <x v="3"/>
    <n v="2865"/>
    <n v="3970"/>
  </r>
  <r>
    <s v="ORD-00138"/>
    <x v="14"/>
    <s v="CUST-0210"/>
    <s v="PROD-012"/>
    <s v="R020"/>
    <n v="10"/>
    <n v="3160"/>
    <n v="16.100000000000001"/>
    <n v="26512.400000000001"/>
    <s v="Cancelled"/>
    <s v="Pune"/>
    <x v="0"/>
    <x v="0"/>
    <x v="3"/>
    <n v="1886"/>
    <n v="3160"/>
  </r>
  <r>
    <s v="ORD-00139"/>
    <x v="54"/>
    <s v="CUST-0192"/>
    <s v="PROD-060"/>
    <s v="R009"/>
    <n v="5"/>
    <n v="190"/>
    <n v="14.8"/>
    <n v="809.4"/>
    <s v="Completed"/>
    <s v="Bengaluru"/>
    <x v="4"/>
    <x v="1"/>
    <x v="1"/>
    <n v="147"/>
    <n v="190"/>
  </r>
  <r>
    <s v="ORD-00140"/>
    <x v="116"/>
    <s v="CUST-0078"/>
    <s v="PROD-021"/>
    <s v="R007"/>
    <n v="6"/>
    <n v="2760"/>
    <n v="19.8"/>
    <n v="13281.12"/>
    <s v="Completed"/>
    <s v="Delhi"/>
    <x v="2"/>
    <x v="2"/>
    <x v="0"/>
    <n v="1435"/>
    <n v="2760"/>
  </r>
  <r>
    <s v="ORD-00141"/>
    <x v="117"/>
    <s v="CUST-0070"/>
    <s v="PROD-022"/>
    <s v="R019"/>
    <n v="9"/>
    <n v="2270"/>
    <n v="20.8"/>
    <n v="16180.56"/>
    <s v="Cancelled"/>
    <s v="Mumbai"/>
    <x v="3"/>
    <x v="2"/>
    <x v="3"/>
    <n v="1412"/>
    <n v="2270"/>
  </r>
  <r>
    <s v="ORD-00142"/>
    <x v="60"/>
    <s v="CUST-0159"/>
    <s v="PROD-052"/>
    <s v="R001"/>
    <n v="8"/>
    <n v="5410"/>
    <n v="12.9"/>
    <n v="37696.879999999997"/>
    <s v="Completed"/>
    <s v="Hyderabad"/>
    <x v="5"/>
    <x v="1"/>
    <x v="0"/>
    <n v="2265"/>
    <n v="5410"/>
  </r>
  <r>
    <s v="ORD-00143"/>
    <x v="118"/>
    <s v="CUST-0294"/>
    <s v="PROD-024"/>
    <s v="R009"/>
    <n v="9"/>
    <n v="2270"/>
    <n v="6.8"/>
    <n v="19040.759999999998"/>
    <s v="Completed"/>
    <s v="Delhi"/>
    <x v="2"/>
    <x v="2"/>
    <x v="1"/>
    <n v="1203"/>
    <n v="2270"/>
  </r>
  <r>
    <s v="ORD-00144"/>
    <x v="119"/>
    <s v="CUST-0280"/>
    <s v="PROD-012"/>
    <s v="R001"/>
    <n v="3"/>
    <n v="3160"/>
    <n v="12.8"/>
    <n v="8266.56"/>
    <s v="Completed"/>
    <s v="Delhi"/>
    <x v="2"/>
    <x v="0"/>
    <x v="0"/>
    <n v="1886"/>
    <n v="3160"/>
  </r>
  <r>
    <s v="ORD-00145"/>
    <x v="120"/>
    <s v="CUST-0291"/>
    <s v="PROD-025"/>
    <s v="R028"/>
    <n v="8"/>
    <n v="4060"/>
    <n v="20.9"/>
    <n v="25691.68"/>
    <s v="Completed"/>
    <s v="Pune"/>
    <x v="0"/>
    <x v="2"/>
    <x v="2"/>
    <n v="2911"/>
    <n v="4060"/>
  </r>
  <r>
    <s v="ORD-00146"/>
    <x v="121"/>
    <s v="CUST-9657"/>
    <s v="PROD-020"/>
    <s v="R018"/>
    <n v="5"/>
    <n v="820"/>
    <n v="9.1"/>
    <n v="3726.9"/>
    <s v="Refunded"/>
    <s v="Pune"/>
    <x v="0"/>
    <x v="0"/>
    <x v="3"/>
    <n v="391"/>
    <n v="820"/>
  </r>
  <r>
    <s v="ORD-00147"/>
    <x v="122"/>
    <s v="CUST-0080"/>
    <s v="PROD-032"/>
    <s v="R007"/>
    <n v="5"/>
    <n v="370"/>
    <n v="11.5"/>
    <n v="1637.25"/>
    <s v="Completed"/>
    <s v="Pune"/>
    <x v="0"/>
    <x v="3"/>
    <x v="0"/>
    <n v="288"/>
    <n v="370"/>
  </r>
  <r>
    <s v="ORD-00148"/>
    <x v="123"/>
    <s v="CUST-0172"/>
    <s v="PROD-034"/>
    <s v="R002"/>
    <n v="9"/>
    <n v="5080"/>
    <n v="27.5"/>
    <n v="33147"/>
    <s v="Completed"/>
    <s v="Pune"/>
    <x v="0"/>
    <x v="3"/>
    <x v="0"/>
    <n v="2459"/>
    <n v="5080"/>
  </r>
  <r>
    <s v="ORD-00149"/>
    <x v="124"/>
    <s v="CUST-0051"/>
    <s v="PROD-026"/>
    <s v="R012"/>
    <n v="6"/>
    <n v="4070"/>
    <n v="12.5"/>
    <n v="21367.5"/>
    <s v="Completed"/>
    <s v="Pune"/>
    <x v="0"/>
    <x v="2"/>
    <x v="1"/>
    <n v="2027"/>
    <n v="4070"/>
  </r>
  <r>
    <s v="ORD-00150"/>
    <x v="63"/>
    <s v="CUST-0080"/>
    <s v="PROD-005"/>
    <s v="R024"/>
    <n v="5"/>
    <n v="300"/>
    <n v="25.8"/>
    <n v="1113"/>
    <s v="Completed"/>
    <s v="Pune"/>
    <x v="0"/>
    <x v="4"/>
    <x v="2"/>
    <n v="128"/>
    <n v="300"/>
  </r>
  <r>
    <s v="ORD-00151"/>
    <x v="125"/>
    <s v="CUST-0137"/>
    <s v="PROD-048"/>
    <s v="R011"/>
    <n v="7"/>
    <n v="5100"/>
    <n v="28.8"/>
    <n v="25418.400000000001"/>
    <s v="Completed"/>
    <s v="Mumbai"/>
    <x v="3"/>
    <x v="5"/>
    <x v="1"/>
    <n v="2237"/>
    <n v="5100"/>
  </r>
  <r>
    <s v="ORD-00152"/>
    <x v="126"/>
    <s v="CUST-0222"/>
    <s v="PROD-038"/>
    <s v="R012"/>
    <n v="2"/>
    <n v="5490"/>
    <n v="5.5"/>
    <n v="10376.1"/>
    <s v="Completed"/>
    <s v="Chennai"/>
    <x v="1"/>
    <x v="3"/>
    <x v="1"/>
    <n v="2549"/>
    <n v="5490"/>
  </r>
  <r>
    <s v="ORD-00153"/>
    <x v="127"/>
    <s v="CUST-0117"/>
    <s v="PROD-011"/>
    <s v="R015"/>
    <n v="2"/>
    <n v="3450"/>
    <n v="1.2"/>
    <n v="6817.2"/>
    <s v="Completed"/>
    <s v="Delhi"/>
    <x v="2"/>
    <x v="0"/>
    <x v="1"/>
    <n v="1748"/>
    <n v="3450"/>
  </r>
  <r>
    <s v="ORD-00154"/>
    <x v="21"/>
    <s v="CUST-0104"/>
    <s v="PROD-029"/>
    <s v="R002"/>
    <n v="10"/>
    <n v="2210"/>
    <n v="18.8"/>
    <n v="17945.2"/>
    <s v="Completed"/>
    <s v="Hyderabad"/>
    <x v="5"/>
    <x v="2"/>
    <x v="0"/>
    <n v="1010"/>
    <n v="2210"/>
  </r>
  <r>
    <s v="ORD-00155"/>
    <x v="128"/>
    <s v="CUST-0082"/>
    <s v="PROD-036"/>
    <s v="R013"/>
    <n v="2"/>
    <n v="3250"/>
    <n v="26.2"/>
    <n v="4797"/>
    <s v="Completed"/>
    <s v="Hyderabad"/>
    <x v="5"/>
    <x v="3"/>
    <x v="1"/>
    <n v="1556"/>
    <n v="3250"/>
  </r>
  <r>
    <s v="ORD-00156"/>
    <x v="129"/>
    <s v="CUST-0165"/>
    <s v="PROD-012"/>
    <s v="R001"/>
    <n v="5"/>
    <n v="3160"/>
    <n v="0.9"/>
    <n v="15657.8"/>
    <s v="Completed"/>
    <s v="Pune"/>
    <x v="0"/>
    <x v="0"/>
    <x v="0"/>
    <n v="1886"/>
    <n v="3160"/>
  </r>
  <r>
    <s v="ORD-00157"/>
    <x v="130"/>
    <s v="CUST-0150"/>
    <s v="PROD-004"/>
    <s v="R030"/>
    <n v="4"/>
    <n v="3870"/>
    <n v="29.6"/>
    <n v="10897.92"/>
    <s v="Cancelled"/>
    <s v="Pune"/>
    <x v="0"/>
    <x v="4"/>
    <x v="2"/>
    <n v="1559"/>
    <n v="3870"/>
  </r>
  <r>
    <s v="ORD-00158"/>
    <x v="131"/>
    <s v="CUST-0228"/>
    <s v="PROD-059"/>
    <s v="R022"/>
    <n v="4"/>
    <n v="3780"/>
    <n v="3.5"/>
    <n v="14590.8"/>
    <s v="Cancelled"/>
    <s v="Pune"/>
    <x v="0"/>
    <x v="1"/>
    <x v="3"/>
    <n v="1860"/>
    <n v="3780"/>
  </r>
  <r>
    <s v="ORD-00159"/>
    <x v="49"/>
    <s v="CUST-0197"/>
    <s v="PROD-045"/>
    <s v="R021"/>
    <n v="4"/>
    <n v="3020"/>
    <n v="18.899999999999999"/>
    <n v="9796.8799999999992"/>
    <s v="Completed"/>
    <s v="Bengaluru"/>
    <x v="4"/>
    <x v="5"/>
    <x v="3"/>
    <n v="1626"/>
    <n v="3020"/>
  </r>
  <r>
    <s v="ORD-00160"/>
    <x v="132"/>
    <s v="CUST-0009"/>
    <s v="PROD-031"/>
    <s v="R015"/>
    <n v="1"/>
    <n v="3730"/>
    <n v="10.8"/>
    <n v="3327.16"/>
    <s v="Refunded"/>
    <s v="Mumbai"/>
    <x v="3"/>
    <x v="3"/>
    <x v="1"/>
    <n v="2135"/>
    <n v="3730"/>
  </r>
  <r>
    <s v="ORD-00161"/>
    <x v="18"/>
    <s v="CUST-0139"/>
    <s v="PROD-046"/>
    <s v="R018"/>
    <n v="8"/>
    <n v="4880"/>
    <n v="20.3"/>
    <n v="31114.880000000001"/>
    <s v="Completed"/>
    <s v="Hyderabad"/>
    <x v="5"/>
    <x v="5"/>
    <x v="3"/>
    <n v="2768"/>
    <n v="4880"/>
  </r>
  <r>
    <s v="ORD-00162"/>
    <x v="133"/>
    <s v="CUST-0184"/>
    <s v="PROD-030"/>
    <s v="R026"/>
    <n v="9"/>
    <n v="970"/>
    <n v="18.2"/>
    <n v="7141.14"/>
    <s v="Completed"/>
    <s v="Pune"/>
    <x v="0"/>
    <x v="2"/>
    <x v="2"/>
    <n v="434"/>
    <n v="970"/>
  </r>
  <r>
    <s v="ORD-00163"/>
    <x v="33"/>
    <s v="CUST-0119"/>
    <s v="PROD-008"/>
    <s v="R017"/>
    <n v="8"/>
    <n v="2660"/>
    <n v="17.600000000000001"/>
    <n v="17534.72"/>
    <s v="Completed"/>
    <s v="Bengaluru"/>
    <x v="4"/>
    <x v="4"/>
    <x v="3"/>
    <n v="1259"/>
    <n v="2660"/>
  </r>
  <r>
    <s v="ORD-00164"/>
    <x v="85"/>
    <s v="CUST-0280"/>
    <s v="PROD-020"/>
    <s v="R015"/>
    <n v="2"/>
    <n v="820"/>
    <n v="18.100000000000001"/>
    <n v="1343.16"/>
    <s v="Cancelled"/>
    <s v="Delhi"/>
    <x v="2"/>
    <x v="0"/>
    <x v="1"/>
    <n v="391"/>
    <n v="820"/>
  </r>
  <r>
    <s v="ORD-00165"/>
    <x v="134"/>
    <s v="CUST-0240"/>
    <s v="PROD-033"/>
    <s v="R009"/>
    <n v="7"/>
    <n v="2030"/>
    <n v="23.7"/>
    <n v="10842.23"/>
    <s v="Pending"/>
    <s v="Chennai"/>
    <x v="1"/>
    <x v="3"/>
    <x v="1"/>
    <n v="1143"/>
    <n v="2030"/>
  </r>
  <r>
    <s v="ORD-00166"/>
    <x v="80"/>
    <s v="CUST-0067"/>
    <s v="PROD-016"/>
    <s v="R009"/>
    <n v="5"/>
    <n v="620"/>
    <n v="13.8"/>
    <n v="2672.2"/>
    <s v="Completed"/>
    <s v="Delhi"/>
    <x v="2"/>
    <x v="0"/>
    <x v="1"/>
    <n v="396"/>
    <n v="620"/>
  </r>
  <r>
    <s v="ORD-00167"/>
    <x v="135"/>
    <s v="CUST-0117"/>
    <s v="PROD-022"/>
    <s v="R022"/>
    <n v="7"/>
    <n v="2270"/>
    <n v="5.5"/>
    <n v="15016.05"/>
    <s v="Completed"/>
    <s v="Delhi"/>
    <x v="2"/>
    <x v="2"/>
    <x v="3"/>
    <n v="1412"/>
    <n v="2270"/>
  </r>
  <r>
    <s v="ORD-00168"/>
    <x v="136"/>
    <s v="CUST-0101"/>
    <s v="PROD-053"/>
    <s v="R016"/>
    <n v="1"/>
    <n v="470"/>
    <n v="13.7"/>
    <n v="405.61"/>
    <s v="Pending"/>
    <s v="Hyderabad"/>
    <x v="5"/>
    <x v="1"/>
    <x v="1"/>
    <n v="302"/>
    <n v="470"/>
  </r>
  <r>
    <s v="ORD-00169"/>
    <x v="131"/>
    <s v="CUST-0184"/>
    <s v="PROD-001"/>
    <s v="R007"/>
    <n v="6"/>
    <n v="5330"/>
    <n v="17.899999999999999"/>
    <n v="26255.58"/>
    <s v="Completed"/>
    <s v="Pune"/>
    <x v="0"/>
    <x v="4"/>
    <x v="0"/>
    <n v="2405"/>
    <n v="5330"/>
  </r>
  <r>
    <s v="ORD-00170"/>
    <x v="137"/>
    <s v="CUST-0087"/>
    <s v="PROD-050"/>
    <s v="R002"/>
    <n v="1"/>
    <n v="6080"/>
    <n v="25.5"/>
    <n v="4529.6000000000004"/>
    <s v="Completed"/>
    <s v="Pune"/>
    <x v="0"/>
    <x v="5"/>
    <x v="0"/>
    <n v="2617"/>
    <n v="6080"/>
  </r>
  <r>
    <s v="ORD-00171"/>
    <x v="138"/>
    <s v="CUST-0261"/>
    <s v="PROD-027"/>
    <s v="R022"/>
    <n v="5"/>
    <n v="3780"/>
    <n v="28.6"/>
    <n v="13494.6"/>
    <s v="Completed"/>
    <s v="Delhi"/>
    <x v="2"/>
    <x v="2"/>
    <x v="3"/>
    <n v="2436"/>
    <n v="3780"/>
  </r>
  <r>
    <s v="ORD-00172"/>
    <x v="139"/>
    <s v="CUST-0027"/>
    <s v="PROD-016"/>
    <s v="R010"/>
    <n v="5"/>
    <n v="620"/>
    <n v="6.9"/>
    <n v="2886.1"/>
    <s v="Cancelled"/>
    <s v="Hyderabad"/>
    <x v="5"/>
    <x v="0"/>
    <x v="1"/>
    <n v="396"/>
    <n v="620"/>
  </r>
  <r>
    <s v="ORD-00173"/>
    <x v="140"/>
    <s v="CUST-0210"/>
    <s v="PROD-017"/>
    <s v="R027"/>
    <n v="8"/>
    <n v="2510"/>
    <n v="0.7"/>
    <n v="19939.439999999999"/>
    <s v="Completed"/>
    <s v="Pune"/>
    <x v="0"/>
    <x v="0"/>
    <x v="2"/>
    <n v="1075"/>
    <n v="2510"/>
  </r>
  <r>
    <s v="ORD-00174"/>
    <x v="141"/>
    <s v="CUST-0163"/>
    <s v="PROD-015"/>
    <s v="R020"/>
    <n v="1"/>
    <n v="2720"/>
    <n v="13.7"/>
    <n v="2347.36"/>
    <s v="Completed"/>
    <s v="Pune"/>
    <x v="0"/>
    <x v="0"/>
    <x v="3"/>
    <n v="1962"/>
    <n v="2720"/>
  </r>
  <r>
    <s v="ORD-00175"/>
    <x v="14"/>
    <s v="CUST-0059"/>
    <s v="PROD-053"/>
    <s v="R018"/>
    <n v="9"/>
    <n v="470"/>
    <n v="23.6"/>
    <n v="3231.72"/>
    <s v="Completed"/>
    <s v="Pune"/>
    <x v="0"/>
    <x v="1"/>
    <x v="3"/>
    <n v="302"/>
    <n v="470"/>
  </r>
  <r>
    <s v="ORD-00176"/>
    <x v="142"/>
    <s v="CUST-0020"/>
    <s v="PROD-036"/>
    <s v="R018"/>
    <n v="10"/>
    <n v="3250"/>
    <n v="21"/>
    <n v="25675"/>
    <s v="Cancelled"/>
    <s v="Hyderabad"/>
    <x v="5"/>
    <x v="3"/>
    <x v="3"/>
    <n v="1556"/>
    <n v="3250"/>
  </r>
  <r>
    <s v="ORD-00177"/>
    <x v="51"/>
    <s v="CUST-0048"/>
    <s v="PROD-034"/>
    <s v="R028"/>
    <n v="6"/>
    <n v="5080"/>
    <n v="16.8"/>
    <n v="25359.360000000001"/>
    <s v="Pending"/>
    <s v="Delhi"/>
    <x v="2"/>
    <x v="3"/>
    <x v="2"/>
    <n v="2459"/>
    <n v="5080"/>
  </r>
  <r>
    <s v="ORD-00178"/>
    <x v="42"/>
    <s v="CUST-0172"/>
    <s v="PROD-003"/>
    <s v="R012"/>
    <n v="2"/>
    <n v="3570"/>
    <n v="6.7"/>
    <n v="6661.62"/>
    <s v="Cancelled"/>
    <s v="Pune"/>
    <x v="0"/>
    <x v="4"/>
    <x v="1"/>
    <n v="1665"/>
    <n v="3570"/>
  </r>
  <r>
    <s v="ORD-00179"/>
    <x v="143"/>
    <s v="CUST-0124"/>
    <s v="PROD-013"/>
    <s v="R012"/>
    <n v="4"/>
    <n v="3640"/>
    <n v="18.399999999999999"/>
    <n v="11880.96"/>
    <s v="Completed"/>
    <s v="Pune"/>
    <x v="0"/>
    <x v="0"/>
    <x v="1"/>
    <n v="2611"/>
    <n v="3640"/>
  </r>
  <r>
    <s v="ORD-00180"/>
    <x v="111"/>
    <s v="CUST-0184"/>
    <s v="PROD-026"/>
    <s v="R001"/>
    <n v="8"/>
    <n v="4070"/>
    <n v="6.6"/>
    <n v="30411.040000000001"/>
    <s v="Completed"/>
    <s v="Pune"/>
    <x v="0"/>
    <x v="2"/>
    <x v="0"/>
    <n v="2027"/>
    <n v="4070"/>
  </r>
  <r>
    <s v="ORD-00181"/>
    <x v="40"/>
    <s v="CUST-0259"/>
    <s v="PROD-011"/>
    <s v="R012"/>
    <n v="6"/>
    <n v="3450"/>
    <n v="14.4"/>
    <n v="17719.2"/>
    <s v="Pending"/>
    <s v="Mumbai"/>
    <x v="3"/>
    <x v="0"/>
    <x v="1"/>
    <n v="1748"/>
    <n v="3450"/>
  </r>
  <r>
    <s v="ORD-00182"/>
    <x v="68"/>
    <s v="CUST-0204"/>
    <s v="PROD-034"/>
    <s v="R029"/>
    <n v="7"/>
    <n v="5080"/>
    <n v="25.4"/>
    <n v="26527.759999999998"/>
    <s v="Pending"/>
    <s v="Hyderabad"/>
    <x v="5"/>
    <x v="3"/>
    <x v="2"/>
    <n v="2459"/>
    <n v="5080"/>
  </r>
  <r>
    <s v="ORD-00183"/>
    <x v="144"/>
    <s v="CUST-0032"/>
    <s v="PROD-021"/>
    <s v="R028"/>
    <n v="10"/>
    <n v="2760"/>
    <n v="20.100000000000001"/>
    <n v="22052.400000000001"/>
    <s v="Completed"/>
    <s v="Hyderabad"/>
    <x v="5"/>
    <x v="2"/>
    <x v="2"/>
    <n v="1435"/>
    <n v="2760"/>
  </r>
  <r>
    <s v="ORD-00184"/>
    <x v="145"/>
    <s v="CUST-0239"/>
    <s v="PROD-044"/>
    <s v="R016"/>
    <n v="6"/>
    <n v="1650"/>
    <n v="11.3"/>
    <n v="8781.2999999999993"/>
    <s v="Pending"/>
    <s v="Mumbai"/>
    <x v="3"/>
    <x v="5"/>
    <x v="1"/>
    <n v="1222"/>
    <n v="1650"/>
  </r>
  <r>
    <s v="ORD-00185"/>
    <x v="146"/>
    <s v="CUST-0191"/>
    <s v="PROD-004"/>
    <s v="R007"/>
    <n v="9"/>
    <n v="3870"/>
    <n v="27.5"/>
    <n v="25251.75"/>
    <s v="Completed"/>
    <s v="Hyderabad"/>
    <x v="5"/>
    <x v="4"/>
    <x v="0"/>
    <n v="1559"/>
    <n v="3870"/>
  </r>
  <r>
    <s v="ORD-00186"/>
    <x v="147"/>
    <s v="CUST-0284"/>
    <s v="PROD-035"/>
    <s v="R022"/>
    <n v="2"/>
    <n v="1090"/>
    <n v="18.7"/>
    <n v="1772.34"/>
    <s v="Refunded"/>
    <s v="Hyderabad"/>
    <x v="5"/>
    <x v="3"/>
    <x v="3"/>
    <n v="464"/>
    <n v="1090"/>
  </r>
  <r>
    <s v="ORD-00187"/>
    <x v="148"/>
    <s v="CUST-0274"/>
    <s v="PROD-049"/>
    <s v="R025"/>
    <n v="4"/>
    <n v="960"/>
    <n v="23.4"/>
    <n v="2941.44"/>
    <s v="Completed"/>
    <s v="Bengaluru"/>
    <x v="4"/>
    <x v="5"/>
    <x v="2"/>
    <n v="675"/>
    <n v="960"/>
  </r>
  <r>
    <s v="ORD-00188"/>
    <x v="149"/>
    <s v="CUST-0234"/>
    <s v="PROD-043"/>
    <s v="R021"/>
    <n v="3"/>
    <n v="3350"/>
    <n v="17.899999999999999"/>
    <n v="8251.0499999999993"/>
    <s v="Completed"/>
    <s v="Bengaluru"/>
    <x v="4"/>
    <x v="5"/>
    <x v="3"/>
    <n v="1728"/>
    <n v="3350"/>
  </r>
  <r>
    <s v="ORD-00189"/>
    <x v="150"/>
    <s v="CUST-0264"/>
    <s v="PROD-022"/>
    <s v="R005"/>
    <n v="4"/>
    <n v="2270"/>
    <n v="29"/>
    <n v="6446.8"/>
    <s v="Completed"/>
    <s v="Pune"/>
    <x v="0"/>
    <x v="2"/>
    <x v="0"/>
    <n v="1412"/>
    <n v="2270"/>
  </r>
  <r>
    <s v="ORD-00190"/>
    <x v="151"/>
    <s v="CUST-0192"/>
    <s v="PROD-039"/>
    <s v="R023"/>
    <n v="9"/>
    <n v="4610"/>
    <n v="28.3"/>
    <n v="29748.33"/>
    <s v="Pending"/>
    <s v="Bengaluru"/>
    <x v="4"/>
    <x v="3"/>
    <x v="3"/>
    <n v="1850"/>
    <n v="4610"/>
  </r>
  <r>
    <s v="ORD-00191"/>
    <x v="152"/>
    <s v="CUST-0041"/>
    <s v="PROD-012"/>
    <s v="R009"/>
    <n v="3"/>
    <n v="3160"/>
    <n v="7.3"/>
    <n v="8787.9599999999991"/>
    <s v="Completed"/>
    <s v="Bengaluru"/>
    <x v="4"/>
    <x v="0"/>
    <x v="1"/>
    <n v="1886"/>
    <n v="3160"/>
  </r>
  <r>
    <s v="ORD-00192"/>
    <x v="52"/>
    <s v="CUST-0043"/>
    <s v="PROD-022"/>
    <s v="R004"/>
    <n v="8"/>
    <n v="2270"/>
    <n v="15.6"/>
    <n v="15327.04"/>
    <s v="Completed"/>
    <s v="Hyderabad"/>
    <x v="5"/>
    <x v="2"/>
    <x v="0"/>
    <n v="1412"/>
    <n v="2270"/>
  </r>
  <r>
    <s v="ORD-00193"/>
    <x v="64"/>
    <s v="CUST-0147"/>
    <s v="PROD-045"/>
    <s v="R028"/>
    <n v="8"/>
    <n v="3020"/>
    <n v="16.3"/>
    <n v="20221.919999999998"/>
    <s v="Cancelled"/>
    <s v="Pune"/>
    <x v="0"/>
    <x v="5"/>
    <x v="2"/>
    <n v="1626"/>
    <n v="3020"/>
  </r>
  <r>
    <s v="ORD-00194"/>
    <x v="7"/>
    <s v="CUST-0056"/>
    <s v="PROD-056"/>
    <s v="R030"/>
    <n v="7"/>
    <n v="6940"/>
    <n v="8.5"/>
    <n v="44450.7"/>
    <s v="Completed"/>
    <s v="Bengaluru"/>
    <x v="4"/>
    <x v="1"/>
    <x v="2"/>
    <n v="2827"/>
    <n v="6940"/>
  </r>
  <r>
    <s v="ORD-00195"/>
    <x v="14"/>
    <s v="CUST-0059"/>
    <s v="PROD-041"/>
    <s v="R012"/>
    <n v="8"/>
    <n v="1540"/>
    <n v="21"/>
    <n v="9732.7999999999993"/>
    <s v="Completed"/>
    <s v="Pune"/>
    <x v="0"/>
    <x v="5"/>
    <x v="1"/>
    <n v="647"/>
    <n v="1540"/>
  </r>
  <r>
    <s v="ORD-00196"/>
    <x v="82"/>
    <s v="CUST-0047"/>
    <s v="PROD-019"/>
    <s v="R029"/>
    <n v="6"/>
    <n v="2480"/>
    <n v="27.9"/>
    <n v="10728.48"/>
    <s v="Completed"/>
    <s v="Pune"/>
    <x v="0"/>
    <x v="0"/>
    <x v="2"/>
    <n v="1173"/>
    <n v="2480"/>
  </r>
  <r>
    <s v="ORD-00197"/>
    <x v="153"/>
    <s v="CUST-0162"/>
    <s v="PROD-060"/>
    <s v="R022"/>
    <n v="4"/>
    <n v="190"/>
    <n v="21.5"/>
    <n v="596.6"/>
    <s v="Completed"/>
    <s v="Mumbai"/>
    <x v="3"/>
    <x v="1"/>
    <x v="3"/>
    <n v="147"/>
    <n v="190"/>
  </r>
  <r>
    <s v="ORD-00198"/>
    <x v="36"/>
    <s v="CUST-0121"/>
    <s v="PROD-055"/>
    <s v="R014"/>
    <n v="1"/>
    <n v="2860"/>
    <n v="15.3"/>
    <n v="2422.42"/>
    <s v="Completed"/>
    <s v="Delhi"/>
    <x v="2"/>
    <x v="1"/>
    <x v="1"/>
    <n v="2028"/>
    <n v="2860"/>
  </r>
  <r>
    <s v="ORD-00199"/>
    <x v="154"/>
    <s v="CUST-0075"/>
    <s v="PROD-017"/>
    <s v="R015"/>
    <n v="4"/>
    <n v="2510"/>
    <n v="10.1"/>
    <n v="9025.9599999999991"/>
    <s v="Refunded"/>
    <s v="Mumbai"/>
    <x v="3"/>
    <x v="0"/>
    <x v="1"/>
    <n v="1075"/>
    <n v="2510"/>
  </r>
  <r>
    <s v="ORD-00200"/>
    <x v="78"/>
    <s v="CUST-0025"/>
    <s v="PROD-003"/>
    <s v="R003"/>
    <n v="2"/>
    <n v="3570"/>
    <n v="11.6"/>
    <n v="6311.76"/>
    <s v="Pending"/>
    <s v="Bengaluru"/>
    <x v="4"/>
    <x v="4"/>
    <x v="0"/>
    <n v="1665"/>
    <n v="3570"/>
  </r>
  <r>
    <s v="ORD-00201"/>
    <x v="112"/>
    <s v="CUST-0048"/>
    <s v="PROD-031"/>
    <s v="R016"/>
    <n v="7"/>
    <n v="3730"/>
    <n v="2.5"/>
    <n v="25457.25"/>
    <s v="Cancelled"/>
    <s v="Delhi"/>
    <x v="2"/>
    <x v="3"/>
    <x v="1"/>
    <n v="2135"/>
    <n v="3730"/>
  </r>
  <r>
    <s v="ORD-00202"/>
    <x v="155"/>
    <s v="CUST-0251"/>
    <s v="PROD-032"/>
    <s v="R030"/>
    <n v="6"/>
    <n v="370"/>
    <n v="9.9"/>
    <n v="2000.22"/>
    <s v="Completed"/>
    <s v="Mumbai"/>
    <x v="3"/>
    <x v="3"/>
    <x v="2"/>
    <n v="288"/>
    <n v="370"/>
  </r>
  <r>
    <s v="ORD-00203"/>
    <x v="156"/>
    <s v="CUST-0125"/>
    <s v="PROD-008"/>
    <s v="R014"/>
    <n v="4"/>
    <n v="2660"/>
    <n v="29.7"/>
    <n v="7479.92"/>
    <s v="Completed"/>
    <s v="Delhi"/>
    <x v="2"/>
    <x v="4"/>
    <x v="1"/>
    <n v="1259"/>
    <n v="2660"/>
  </r>
  <r>
    <s v="ORD-00204"/>
    <x v="152"/>
    <s v="CUST-0025"/>
    <s v="PROD-021"/>
    <s v="R015"/>
    <n v="6"/>
    <n v="2760"/>
    <n v="0.9"/>
    <n v="16410.96"/>
    <s v="Completed"/>
    <s v="Bengaluru"/>
    <x v="4"/>
    <x v="2"/>
    <x v="1"/>
    <n v="1435"/>
    <n v="2760"/>
  </r>
  <r>
    <s v="ORD-00205"/>
    <x v="157"/>
    <s v="CUST-0068"/>
    <s v="PROD-043"/>
    <s v="R009"/>
    <n v="6"/>
    <n v="3350"/>
    <n v="17.899999999999999"/>
    <n v="16502.099999999999"/>
    <s v="Completed"/>
    <s v="Delhi"/>
    <x v="2"/>
    <x v="5"/>
    <x v="1"/>
    <n v="1728"/>
    <n v="3350"/>
  </r>
  <r>
    <s v="ORD-00206"/>
    <x v="158"/>
    <s v="CUST-0080"/>
    <s v="PROD-005"/>
    <s v="R017"/>
    <n v="8"/>
    <n v="300"/>
    <n v="20.6"/>
    <n v="1905.6"/>
    <s v="Refunded"/>
    <s v="Pune"/>
    <x v="0"/>
    <x v="4"/>
    <x v="3"/>
    <n v="128"/>
    <n v="300"/>
  </r>
  <r>
    <s v="ORD-00207"/>
    <x v="159"/>
    <s v="CUST-0251"/>
    <s v="PROD-015"/>
    <s v="R002"/>
    <n v="5"/>
    <n v="2720"/>
    <n v="17.100000000000001"/>
    <n v="11274.4"/>
    <s v="Pending"/>
    <s v="Mumbai"/>
    <x v="3"/>
    <x v="0"/>
    <x v="0"/>
    <n v="1962"/>
    <n v="2720"/>
  </r>
  <r>
    <s v="ORD-00208"/>
    <x v="160"/>
    <s v="CUST-0077"/>
    <s v="PROD-004"/>
    <s v="R015"/>
    <n v="1"/>
    <n v="3870"/>
    <n v="23.5"/>
    <n v="2960.55"/>
    <s v="Pending"/>
    <s v="Hyderabad"/>
    <x v="5"/>
    <x v="4"/>
    <x v="1"/>
    <n v="1559"/>
    <n v="3870"/>
  </r>
  <r>
    <s v="ORD-00209"/>
    <x v="161"/>
    <s v="CUST-0232"/>
    <s v="PROD-031"/>
    <s v="R012"/>
    <n v="3"/>
    <n v="3730"/>
    <n v="0.7"/>
    <n v="11111.67"/>
    <s v="Pending"/>
    <s v="Hyderabad"/>
    <x v="5"/>
    <x v="3"/>
    <x v="1"/>
    <n v="2135"/>
    <n v="3730"/>
  </r>
  <r>
    <s v="ORD-00210"/>
    <x v="162"/>
    <s v="CUST-0277"/>
    <s v="PROD-019"/>
    <s v="R012"/>
    <n v="8"/>
    <n v="2480"/>
    <n v="18.2"/>
    <n v="16229.12"/>
    <s v="Cancelled"/>
    <s v="Chennai"/>
    <x v="1"/>
    <x v="0"/>
    <x v="1"/>
    <n v="1173"/>
    <n v="2480"/>
  </r>
  <r>
    <s v="ORD-00211"/>
    <x v="163"/>
    <s v="CUST-0149"/>
    <s v="PROD-057"/>
    <s v="R019"/>
    <n v="2"/>
    <n v="960"/>
    <n v="2.2000000000000002"/>
    <n v="1877.76"/>
    <s v="Completed"/>
    <s v="Hyderabad"/>
    <x v="5"/>
    <x v="1"/>
    <x v="3"/>
    <n v="705"/>
    <n v="960"/>
  </r>
  <r>
    <s v="ORD-00212"/>
    <x v="164"/>
    <s v="CUST-0178"/>
    <s v="PROD-046"/>
    <s v="R018"/>
    <n v="8"/>
    <n v="4880"/>
    <n v="11.9"/>
    <n v="34394.239999999998"/>
    <s v="Completed"/>
    <s v="Hyderabad"/>
    <x v="5"/>
    <x v="5"/>
    <x v="3"/>
    <n v="2768"/>
    <n v="4880"/>
  </r>
  <r>
    <s v="ORD-00213"/>
    <x v="165"/>
    <s v="CUST-0246"/>
    <s v="PROD-014"/>
    <s v="R030"/>
    <n v="2"/>
    <n v="3620"/>
    <n v="1.1000000000000001"/>
    <n v="7160.36"/>
    <s v="Pending"/>
    <s v="Delhi"/>
    <x v="2"/>
    <x v="0"/>
    <x v="2"/>
    <n v="2509"/>
    <n v="3620"/>
  </r>
  <r>
    <s v="ORD-00214"/>
    <x v="52"/>
    <s v="CUST-0033"/>
    <s v="PROD-006"/>
    <s v="R008"/>
    <n v="8"/>
    <n v="3970"/>
    <n v="18.100000000000001"/>
    <n v="26011.439999999999"/>
    <s v="Completed"/>
    <s v="Delhi"/>
    <x v="2"/>
    <x v="4"/>
    <x v="0"/>
    <n v="2865"/>
    <n v="3970"/>
  </r>
  <r>
    <s v="ORD-00215"/>
    <x v="166"/>
    <s v="CUST-0159"/>
    <s v="PROD-022"/>
    <s v="R026"/>
    <n v="8"/>
    <n v="2270"/>
    <n v="19.600000000000001"/>
    <n v="14600.64"/>
    <s v="Completed"/>
    <s v="Hyderabad"/>
    <x v="5"/>
    <x v="2"/>
    <x v="2"/>
    <n v="1412"/>
    <n v="2270"/>
  </r>
  <r>
    <s v="ORD-00216"/>
    <x v="167"/>
    <s v="CUST-0175"/>
    <s v="PROD-027"/>
    <s v="R013"/>
    <n v="1"/>
    <n v="3780"/>
    <n v="22.6"/>
    <n v="2925.72"/>
    <s v="Completed"/>
    <s v="Delhi"/>
    <x v="2"/>
    <x v="2"/>
    <x v="1"/>
    <n v="2436"/>
    <n v="3780"/>
  </r>
  <r>
    <s v="ORD-00217"/>
    <x v="168"/>
    <s v="CUST-0079"/>
    <s v="PROD-026"/>
    <s v="R022"/>
    <n v="9"/>
    <n v="4070"/>
    <n v="28.2"/>
    <n v="26300.34"/>
    <s v="Completed"/>
    <s v="Mumbai"/>
    <x v="3"/>
    <x v="2"/>
    <x v="3"/>
    <n v="2027"/>
    <n v="4070"/>
  </r>
  <r>
    <s v="ORD-00218"/>
    <x v="75"/>
    <s v="CUST-0173"/>
    <s v="PROD-008"/>
    <s v="R006"/>
    <n v="9"/>
    <n v="2660"/>
    <n v="13.1"/>
    <n v="20803.86"/>
    <s v="Pending"/>
    <s v="Mumbai"/>
    <x v="3"/>
    <x v="4"/>
    <x v="0"/>
    <n v="1259"/>
    <n v="2660"/>
  </r>
  <r>
    <s v="ORD-00219"/>
    <x v="169"/>
    <s v="CUST-0050"/>
    <s v="PROD-003"/>
    <s v="R004"/>
    <n v="4"/>
    <n v="3570"/>
    <n v="1.5"/>
    <n v="14065.8"/>
    <s v="Cancelled"/>
    <s v="Mumbai"/>
    <x v="3"/>
    <x v="4"/>
    <x v="0"/>
    <n v="1665"/>
    <n v="3570"/>
  </r>
  <r>
    <s v="ORD-00220"/>
    <x v="101"/>
    <s v="CUST-0097"/>
    <s v="PROD-049"/>
    <s v="R001"/>
    <n v="2"/>
    <n v="960"/>
    <n v="18.600000000000001"/>
    <n v="1562.88"/>
    <s v="Completed"/>
    <s v="Mumbai"/>
    <x v="3"/>
    <x v="5"/>
    <x v="0"/>
    <n v="675"/>
    <n v="960"/>
  </r>
  <r>
    <s v="ORD-00221"/>
    <x v="14"/>
    <s v="CUST-0026"/>
    <s v="PROD-047"/>
    <s v="R018"/>
    <n v="2"/>
    <n v="3450"/>
    <n v="3.7"/>
    <n v="6644.7"/>
    <s v="Completed"/>
    <s v="Pune"/>
    <x v="0"/>
    <x v="5"/>
    <x v="3"/>
    <n v="2420"/>
    <n v="3450"/>
  </r>
  <r>
    <s v="ORD-00222"/>
    <x v="170"/>
    <s v="CUST-0185"/>
    <s v="PROD-048"/>
    <s v="R007"/>
    <n v="6"/>
    <n v="5100"/>
    <n v="1.2"/>
    <n v="30232.799999999999"/>
    <s v="Completed"/>
    <s v="Hyderabad"/>
    <x v="5"/>
    <x v="5"/>
    <x v="0"/>
    <n v="2237"/>
    <n v="5100"/>
  </r>
  <r>
    <s v="ORD-00223"/>
    <x v="105"/>
    <s v="CUST-0135"/>
    <s v="PROD-005"/>
    <s v="R005"/>
    <n v="9"/>
    <n v="300"/>
    <n v="25.4"/>
    <n v="2014.2"/>
    <s v="Cancelled"/>
    <s v="Pune"/>
    <x v="0"/>
    <x v="4"/>
    <x v="0"/>
    <n v="128"/>
    <n v="300"/>
  </r>
  <r>
    <s v="ORD-00224"/>
    <x v="171"/>
    <s v="CUST-0010"/>
    <s v="PROD-046"/>
    <s v="R020"/>
    <n v="7"/>
    <n v="4880"/>
    <n v="16.899999999999999"/>
    <n v="28386.959999999999"/>
    <s v="Pending"/>
    <s v="Mumbai"/>
    <x v="3"/>
    <x v="5"/>
    <x v="3"/>
    <n v="2768"/>
    <n v="4880"/>
  </r>
  <r>
    <s v="ORD-00225"/>
    <x v="172"/>
    <s v="CUST-0271"/>
    <s v="PROD-036"/>
    <s v="R023"/>
    <n v="9"/>
    <n v="3250"/>
    <n v="10.8"/>
    <n v="26091"/>
    <s v="Cancelled"/>
    <s v="Bengaluru"/>
    <x v="4"/>
    <x v="3"/>
    <x v="3"/>
    <n v="1556"/>
    <n v="3250"/>
  </r>
  <r>
    <s v="ORD-00226"/>
    <x v="129"/>
    <s v="CUST-0172"/>
    <s v="PROD-047"/>
    <s v="R006"/>
    <n v="3"/>
    <n v="3450"/>
    <n v="5.4"/>
    <n v="9791.1"/>
    <s v="Pending"/>
    <s v="Pune"/>
    <x v="0"/>
    <x v="5"/>
    <x v="0"/>
    <n v="2420"/>
    <n v="3450"/>
  </r>
  <r>
    <s v="ORD-00227"/>
    <x v="63"/>
    <s v="CUST-0296"/>
    <s v="PROD-050"/>
    <s v="R021"/>
    <n v="5"/>
    <n v="6080"/>
    <n v="18"/>
    <n v="24928"/>
    <s v="Completed"/>
    <s v="Delhi"/>
    <x v="2"/>
    <x v="5"/>
    <x v="3"/>
    <n v="2617"/>
    <n v="6080"/>
  </r>
  <r>
    <s v="ORD-00228"/>
    <x v="173"/>
    <s v="CUST-0080"/>
    <s v="PROD-050"/>
    <s v="R022"/>
    <n v="7"/>
    <n v="6080"/>
    <n v="9.1999999999999993"/>
    <n v="38644.480000000003"/>
    <s v="Completed"/>
    <s v="Pune"/>
    <x v="0"/>
    <x v="5"/>
    <x v="3"/>
    <n v="2617"/>
    <n v="6080"/>
  </r>
  <r>
    <s v="ORD-00229"/>
    <x v="65"/>
    <s v="CUST-0232"/>
    <s v="PROD-024"/>
    <s v="R014"/>
    <n v="5"/>
    <n v="2270"/>
    <n v="0.4"/>
    <n v="11304.6"/>
    <s v="Cancelled"/>
    <s v="Hyderabad"/>
    <x v="5"/>
    <x v="2"/>
    <x v="1"/>
    <n v="1203"/>
    <n v="2270"/>
  </r>
  <r>
    <s v="ORD-00230"/>
    <x v="41"/>
    <s v="CUST-0070"/>
    <s v="PROD-046"/>
    <s v="R016"/>
    <n v="10"/>
    <n v="4880"/>
    <n v="24.5"/>
    <n v="36844"/>
    <s v="Refunded"/>
    <s v="Mumbai"/>
    <x v="3"/>
    <x v="5"/>
    <x v="1"/>
    <n v="2768"/>
    <n v="4880"/>
  </r>
  <r>
    <s v="ORD-00231"/>
    <x v="174"/>
    <s v="CUST-0142"/>
    <s v="PROD-023"/>
    <s v="R002"/>
    <n v="2"/>
    <n v="2380"/>
    <n v="2.2999999999999998"/>
    <n v="4650.5200000000004"/>
    <s v="Completed"/>
    <s v="Chennai"/>
    <x v="1"/>
    <x v="2"/>
    <x v="0"/>
    <n v="1182"/>
    <n v="2380"/>
  </r>
  <r>
    <s v="ORD-00232"/>
    <x v="71"/>
    <s v="CUST-0161"/>
    <s v="PROD-054"/>
    <s v="R025"/>
    <n v="1"/>
    <n v="1010"/>
    <n v="29.9"/>
    <n v="708.01"/>
    <s v="Completed"/>
    <s v="Chennai"/>
    <x v="1"/>
    <x v="1"/>
    <x v="2"/>
    <n v="516"/>
    <n v="1010"/>
  </r>
  <r>
    <s v="ORD-00233"/>
    <x v="175"/>
    <s v="CUST-0020"/>
    <s v="PROD-056"/>
    <s v="R029"/>
    <n v="7"/>
    <n v="6940"/>
    <n v="25.8"/>
    <n v="36046.36"/>
    <s v="Completed"/>
    <s v="Hyderabad"/>
    <x v="5"/>
    <x v="1"/>
    <x v="2"/>
    <n v="2827"/>
    <n v="6940"/>
  </r>
  <r>
    <s v="ORD-00234"/>
    <x v="176"/>
    <s v="CUST-0173"/>
    <s v="PROD-042"/>
    <s v="R024"/>
    <n v="6"/>
    <n v="2290"/>
    <n v="25.9"/>
    <n v="10181.34"/>
    <s v="Pending"/>
    <s v="Mumbai"/>
    <x v="3"/>
    <x v="5"/>
    <x v="2"/>
    <n v="1219"/>
    <n v="2290"/>
  </r>
  <r>
    <s v="ORD-00235"/>
    <x v="118"/>
    <s v="CUST-0280"/>
    <s v="PROD-032"/>
    <s v="R014"/>
    <n v="2"/>
    <n v="370"/>
    <n v="3.9"/>
    <n v="711.14"/>
    <s v="Completed"/>
    <s v="Delhi"/>
    <x v="2"/>
    <x v="3"/>
    <x v="1"/>
    <n v="288"/>
    <n v="370"/>
  </r>
  <r>
    <s v="ORD-00236"/>
    <x v="177"/>
    <s v="CUST-0073"/>
    <s v="PROD-022"/>
    <s v="R020"/>
    <n v="1"/>
    <n v="2270"/>
    <n v="25.3"/>
    <n v="1695.69"/>
    <s v="Completed"/>
    <s v="Pune"/>
    <x v="0"/>
    <x v="2"/>
    <x v="3"/>
    <n v="1412"/>
    <n v="2270"/>
  </r>
  <r>
    <s v="ORD-00237"/>
    <x v="112"/>
    <s v="CUST-0242"/>
    <s v="PROD-050"/>
    <s v="R002"/>
    <n v="4"/>
    <n v="6080"/>
    <n v="28.8"/>
    <n v="17315.84"/>
    <s v="Pending"/>
    <s v="Chennai"/>
    <x v="1"/>
    <x v="5"/>
    <x v="0"/>
    <n v="2617"/>
    <n v="6080"/>
  </r>
  <r>
    <s v="ORD-00238"/>
    <x v="44"/>
    <s v="CUST-0234"/>
    <s v="PROD-001"/>
    <s v="R018"/>
    <n v="2"/>
    <n v="5330"/>
    <n v="23.8"/>
    <n v="8122.92"/>
    <s v="Pending"/>
    <s v="Bengaluru"/>
    <x v="4"/>
    <x v="4"/>
    <x v="3"/>
    <n v="2405"/>
    <n v="5330"/>
  </r>
  <r>
    <s v="ORD-00239"/>
    <x v="112"/>
    <s v="CUST-0085"/>
    <s v="PROD-026"/>
    <s v="R024"/>
    <n v="2"/>
    <n v="4070"/>
    <n v="4.3"/>
    <n v="7789.98"/>
    <s v="Completed"/>
    <s v="Chennai"/>
    <x v="1"/>
    <x v="2"/>
    <x v="2"/>
    <n v="2027"/>
    <n v="4070"/>
  </r>
  <r>
    <s v="ORD-00240"/>
    <x v="178"/>
    <s v="CUST-0228"/>
    <s v="PROD-005"/>
    <s v="R004"/>
    <n v="6"/>
    <n v="300"/>
    <n v="17.399999999999999"/>
    <n v="1486.8"/>
    <s v="Cancelled"/>
    <s v="Pune"/>
    <x v="0"/>
    <x v="4"/>
    <x v="0"/>
    <n v="128"/>
    <n v="300"/>
  </r>
  <r>
    <s v="ORD-00241"/>
    <x v="56"/>
    <s v="CUST-0147"/>
    <s v="PROD-046"/>
    <s v="R014"/>
    <n v="1"/>
    <n v="4880"/>
    <n v="17.5"/>
    <n v="4026"/>
    <s v="Completed"/>
    <s v="Pune"/>
    <x v="0"/>
    <x v="5"/>
    <x v="1"/>
    <n v="2768"/>
    <n v="4880"/>
  </r>
  <r>
    <s v="ORD-00242"/>
    <x v="179"/>
    <s v="CUST-0171"/>
    <s v="PROD-055"/>
    <s v="R027"/>
    <n v="3"/>
    <n v="2860"/>
    <n v="20.100000000000001"/>
    <n v="6855.42"/>
    <s v="Completed"/>
    <s v="Chennai"/>
    <x v="1"/>
    <x v="1"/>
    <x v="2"/>
    <n v="2028"/>
    <n v="2860"/>
  </r>
  <r>
    <s v="ORD-00243"/>
    <x v="180"/>
    <s v="CUST-0051"/>
    <s v="PROD-041"/>
    <s v="R002"/>
    <n v="3"/>
    <n v="1540"/>
    <n v="20.9"/>
    <n v="3654.42"/>
    <s v="Completed"/>
    <s v="Pune"/>
    <x v="0"/>
    <x v="5"/>
    <x v="0"/>
    <n v="647"/>
    <n v="1540"/>
  </r>
  <r>
    <s v="ORD-00244"/>
    <x v="31"/>
    <s v="CUST-0285"/>
    <s v="PROD-010"/>
    <s v="R010"/>
    <n v="10"/>
    <n v="2640"/>
    <n v="11.2"/>
    <n v="23443.200000000001"/>
    <s v="Pending"/>
    <s v="Hyderabad"/>
    <x v="5"/>
    <x v="4"/>
    <x v="1"/>
    <n v="1149"/>
    <n v="2640"/>
  </r>
  <r>
    <s v="ORD-00245"/>
    <x v="58"/>
    <s v="CUST-0114"/>
    <s v="PROD-012"/>
    <s v="R013"/>
    <n v="1"/>
    <n v="3160"/>
    <n v="11.5"/>
    <n v="2796.6"/>
    <s v="Completed"/>
    <s v="Bengaluru"/>
    <x v="4"/>
    <x v="0"/>
    <x v="1"/>
    <n v="1886"/>
    <n v="3160"/>
  </r>
  <r>
    <s v="ORD-00246"/>
    <x v="181"/>
    <s v="CUST-0295"/>
    <s v="PROD-040"/>
    <s v="R007"/>
    <n v="4"/>
    <n v="1080"/>
    <n v="20.7"/>
    <n v="3425.76"/>
    <s v="Pending"/>
    <s v="Delhi"/>
    <x v="2"/>
    <x v="3"/>
    <x v="0"/>
    <n v="519"/>
    <n v="1080"/>
  </r>
  <r>
    <s v="ORD-00247"/>
    <x v="65"/>
    <s v="CUST-0218"/>
    <s v="PROD-054"/>
    <s v="R013"/>
    <n v="4"/>
    <n v="1010"/>
    <n v="29.5"/>
    <n v="2848.2"/>
    <s v="Pending"/>
    <s v="Mumbai"/>
    <x v="3"/>
    <x v="1"/>
    <x v="1"/>
    <n v="516"/>
    <n v="1010"/>
  </r>
  <r>
    <s v="ORD-00248"/>
    <x v="182"/>
    <s v="CUST-0090"/>
    <s v="PROD-002"/>
    <s v="R027"/>
    <n v="7"/>
    <n v="2600"/>
    <n v="6.6"/>
    <n v="16998.8"/>
    <s v="Completed"/>
    <s v="Bengaluru"/>
    <x v="4"/>
    <x v="4"/>
    <x v="2"/>
    <n v="1052"/>
    <n v="2600"/>
  </r>
  <r>
    <s v="ORD-00249"/>
    <x v="183"/>
    <s v="CUST-0194"/>
    <s v="PROD-017"/>
    <s v="R009"/>
    <n v="4"/>
    <n v="2510"/>
    <n v="1"/>
    <n v="9939.6"/>
    <s v="Completed"/>
    <s v="Delhi"/>
    <x v="2"/>
    <x v="0"/>
    <x v="1"/>
    <n v="1075"/>
    <n v="2510"/>
  </r>
  <r>
    <s v="ORD-00250"/>
    <x v="184"/>
    <s v="CUST-0231"/>
    <s v="PROD-026"/>
    <s v="R022"/>
    <n v="9"/>
    <n v="4070"/>
    <n v="6.7"/>
    <n v="34175.79"/>
    <s v="Cancelled"/>
    <s v="Chennai"/>
    <x v="1"/>
    <x v="2"/>
    <x v="3"/>
    <n v="2027"/>
    <n v="4070"/>
  </r>
  <r>
    <s v="ORD-00251"/>
    <x v="109"/>
    <s v="CUST-0055"/>
    <s v="PROD-020"/>
    <s v="R010"/>
    <n v="6"/>
    <n v="820"/>
    <n v="14"/>
    <n v="4231.2"/>
    <s v="Completed"/>
    <s v="Bengaluru"/>
    <x v="4"/>
    <x v="0"/>
    <x v="1"/>
    <n v="391"/>
    <n v="820"/>
  </r>
  <r>
    <s v="ORD-00252"/>
    <x v="185"/>
    <s v="CUST-0262"/>
    <s v="PROD-030"/>
    <s v="R005"/>
    <n v="2"/>
    <n v="970"/>
    <n v="23.8"/>
    <n v="1478.28"/>
    <s v="Completed"/>
    <s v="Mumbai"/>
    <x v="3"/>
    <x v="2"/>
    <x v="0"/>
    <n v="434"/>
    <n v="970"/>
  </r>
  <r>
    <s v="ORD-00253"/>
    <x v="186"/>
    <s v="CUST-0155"/>
    <s v="PROD-026"/>
    <s v="R012"/>
    <n v="4"/>
    <n v="4070"/>
    <n v="19"/>
    <n v="13186.8"/>
    <s v="Pending"/>
    <s v="Pune"/>
    <x v="0"/>
    <x v="2"/>
    <x v="1"/>
    <n v="2027"/>
    <n v="4070"/>
  </r>
  <r>
    <s v="ORD-00254"/>
    <x v="144"/>
    <s v="CUST-0169"/>
    <s v="PROD-047"/>
    <s v="R017"/>
    <n v="3"/>
    <n v="3450"/>
    <n v="4.4000000000000004"/>
    <n v="9894.6"/>
    <s v="Cancelled"/>
    <s v="Bengaluru"/>
    <x v="4"/>
    <x v="5"/>
    <x v="3"/>
    <n v="2420"/>
    <n v="3450"/>
  </r>
  <r>
    <s v="ORD-00255"/>
    <x v="187"/>
    <s v="CUST-0208"/>
    <s v="PROD-027"/>
    <s v="R010"/>
    <n v="5"/>
    <n v="3780"/>
    <n v="13.5"/>
    <n v="16348.5"/>
    <s v="Completed"/>
    <s v="Mumbai"/>
    <x v="3"/>
    <x v="2"/>
    <x v="1"/>
    <n v="2436"/>
    <n v="3780"/>
  </r>
  <r>
    <s v="ORD-00256"/>
    <x v="127"/>
    <s v="CUST-0249"/>
    <s v="PROD-057"/>
    <s v="R004"/>
    <n v="1"/>
    <n v="960"/>
    <n v="29.2"/>
    <n v="679.68"/>
    <s v="Completed"/>
    <s v="Mumbai"/>
    <x v="3"/>
    <x v="1"/>
    <x v="0"/>
    <n v="705"/>
    <n v="960"/>
  </r>
  <r>
    <s v="ORD-00257"/>
    <x v="188"/>
    <s v="CUST-0151"/>
    <s v="PROD-003"/>
    <s v="R022"/>
    <n v="10"/>
    <n v="3570"/>
    <n v="10.7"/>
    <n v="31880.1"/>
    <s v="Completed"/>
    <s v="Mumbai"/>
    <x v="3"/>
    <x v="4"/>
    <x v="3"/>
    <n v="1665"/>
    <n v="3570"/>
  </r>
  <r>
    <s v="ORD-00258"/>
    <x v="187"/>
    <s v="CUST-0115"/>
    <s v="PROD-003"/>
    <s v="R024"/>
    <n v="7"/>
    <n v="3570"/>
    <n v="12.2"/>
    <n v="21941.22"/>
    <s v="Completed"/>
    <s v="Mumbai"/>
    <x v="3"/>
    <x v="4"/>
    <x v="2"/>
    <n v="1665"/>
    <n v="3570"/>
  </r>
  <r>
    <s v="ORD-00259"/>
    <x v="189"/>
    <s v="CUST-0041"/>
    <s v="PROD-040"/>
    <s v="R014"/>
    <n v="6"/>
    <n v="1080"/>
    <n v="19.8"/>
    <n v="5196.96"/>
    <s v="Completed"/>
    <s v="Bengaluru"/>
    <x v="4"/>
    <x v="3"/>
    <x v="1"/>
    <n v="519"/>
    <n v="1080"/>
  </r>
  <r>
    <s v="ORD-00260"/>
    <x v="51"/>
    <s v="CUST-0101"/>
    <s v="PROD-011"/>
    <s v="R010"/>
    <n v="8"/>
    <n v="3450"/>
    <n v="19"/>
    <n v="22356"/>
    <s v="Completed"/>
    <s v="Hyderabad"/>
    <x v="5"/>
    <x v="0"/>
    <x v="1"/>
    <n v="1748"/>
    <n v="3450"/>
  </r>
  <r>
    <s v="ORD-00261"/>
    <x v="2"/>
    <s v="CUST-0198"/>
    <s v="PROD-008"/>
    <s v="R023"/>
    <n v="4"/>
    <n v="2660"/>
    <n v="18.8"/>
    <n v="8639.68"/>
    <s v="Pending"/>
    <s v="Chennai"/>
    <x v="1"/>
    <x v="4"/>
    <x v="3"/>
    <n v="1259"/>
    <n v="2660"/>
  </r>
  <r>
    <s v="ORD-00262"/>
    <x v="190"/>
    <s v="CUST-0200"/>
    <s v="PROD-058"/>
    <s v="R009"/>
    <n v="4"/>
    <n v="2400"/>
    <n v="5.6"/>
    <n v="9062.4"/>
    <s v="Completed"/>
    <s v="Hyderabad"/>
    <x v="5"/>
    <x v="1"/>
    <x v="1"/>
    <n v="974"/>
    <n v="2400"/>
  </r>
  <r>
    <s v="ORD-00263"/>
    <x v="191"/>
    <s v="CUST-0110"/>
    <s v="PROD-002"/>
    <s v="R003"/>
    <n v="10"/>
    <n v="2600"/>
    <n v="24.7"/>
    <n v="19578"/>
    <s v="Completed"/>
    <s v="Pune"/>
    <x v="0"/>
    <x v="4"/>
    <x v="0"/>
    <n v="1052"/>
    <n v="2600"/>
  </r>
  <r>
    <s v="ORD-00264"/>
    <x v="191"/>
    <s v="CUST-0134"/>
    <s v="PROD-025"/>
    <s v="R004"/>
    <n v="3"/>
    <n v="4060"/>
    <n v="6.9"/>
    <n v="11339.58"/>
    <s v="Completed"/>
    <s v="Delhi"/>
    <x v="2"/>
    <x v="2"/>
    <x v="0"/>
    <n v="2911"/>
    <n v="4060"/>
  </r>
  <r>
    <s v="ORD-00265"/>
    <x v="57"/>
    <s v="CUST-0141"/>
    <s v="PROD-038"/>
    <s v="R023"/>
    <n v="6"/>
    <n v="5490"/>
    <n v="8.4"/>
    <n v="30173.040000000001"/>
    <s v="Completed"/>
    <s v="Hyderabad"/>
    <x v="5"/>
    <x v="3"/>
    <x v="3"/>
    <n v="2549"/>
    <n v="5490"/>
  </r>
  <r>
    <s v="ORD-00266"/>
    <x v="192"/>
    <s v="CUST-0163"/>
    <s v="PROD-032"/>
    <s v="R018"/>
    <n v="6"/>
    <n v="370"/>
    <n v="15.1"/>
    <n v="1884.78"/>
    <s v="Completed"/>
    <s v="Pune"/>
    <x v="0"/>
    <x v="3"/>
    <x v="3"/>
    <n v="288"/>
    <n v="370"/>
  </r>
  <r>
    <s v="ORD-00267"/>
    <x v="171"/>
    <s v="CUST-0181"/>
    <s v="PROD-016"/>
    <s v="R023"/>
    <n v="5"/>
    <n v="620"/>
    <n v="13.1"/>
    <n v="2693.9"/>
    <s v="Cancelled"/>
    <s v="Delhi"/>
    <x v="2"/>
    <x v="0"/>
    <x v="3"/>
    <n v="396"/>
    <n v="620"/>
  </r>
  <r>
    <s v="ORD-00268"/>
    <x v="10"/>
    <s v="CUST-0133"/>
    <s v="PROD-036"/>
    <s v="R029"/>
    <n v="9"/>
    <n v="3250"/>
    <n v="16.5"/>
    <n v="24423.75"/>
    <s v="Completed"/>
    <s v="Chennai"/>
    <x v="1"/>
    <x v="3"/>
    <x v="2"/>
    <n v="1556"/>
    <n v="3250"/>
  </r>
  <r>
    <s v="ORD-00269"/>
    <x v="193"/>
    <s v="CUST-0095"/>
    <s v="PROD-050"/>
    <s v="R011"/>
    <n v="1"/>
    <n v="6080"/>
    <n v="0.1"/>
    <n v="6073.92"/>
    <s v="Completed"/>
    <s v="Mumbai"/>
    <x v="3"/>
    <x v="5"/>
    <x v="1"/>
    <n v="2617"/>
    <n v="6080"/>
  </r>
  <r>
    <s v="ORD-00270"/>
    <x v="194"/>
    <s v="CUST-0171"/>
    <s v="PROD-013"/>
    <s v="R014"/>
    <n v="8"/>
    <n v="3640"/>
    <n v="13.5"/>
    <n v="25188.799999999999"/>
    <s v="Completed"/>
    <s v="Chennai"/>
    <x v="1"/>
    <x v="0"/>
    <x v="1"/>
    <n v="2611"/>
    <n v="3640"/>
  </r>
  <r>
    <s v="ORD-00271"/>
    <x v="22"/>
    <s v="CUST-0238"/>
    <s v="PROD-012"/>
    <s v="R005"/>
    <n v="9"/>
    <n v="3160"/>
    <n v="29.7"/>
    <n v="19993.32"/>
    <s v="Completed"/>
    <s v="Delhi"/>
    <x v="2"/>
    <x v="0"/>
    <x v="0"/>
    <n v="1886"/>
    <n v="3160"/>
  </r>
  <r>
    <s v="ORD-00272"/>
    <x v="49"/>
    <s v="CUST-0185"/>
    <s v="PROD-004"/>
    <s v="R007"/>
    <n v="2"/>
    <n v="3870"/>
    <n v="18.100000000000001"/>
    <n v="6339.06"/>
    <s v="Cancelled"/>
    <s v="Hyderabad"/>
    <x v="5"/>
    <x v="4"/>
    <x v="0"/>
    <n v="1559"/>
    <n v="3870"/>
  </r>
  <r>
    <s v="ORD-00273"/>
    <x v="195"/>
    <s v="CUST-0167"/>
    <s v="PROD-037"/>
    <s v="R030"/>
    <n v="3"/>
    <n v="660"/>
    <n v="9.1999999999999993"/>
    <n v="1797.84"/>
    <s v="Completed"/>
    <s v="Delhi"/>
    <x v="2"/>
    <x v="3"/>
    <x v="2"/>
    <n v="329"/>
    <n v="660"/>
  </r>
  <r>
    <s v="ORD-00274"/>
    <x v="196"/>
    <s v="CUST-0224"/>
    <s v="PROD-025"/>
    <s v="R013"/>
    <n v="4"/>
    <n v="4060"/>
    <n v="28"/>
    <n v="11692.8"/>
    <s v="Completed"/>
    <s v="Chennai"/>
    <x v="1"/>
    <x v="2"/>
    <x v="1"/>
    <n v="2911"/>
    <n v="4060"/>
  </r>
  <r>
    <s v="ORD-00275"/>
    <x v="107"/>
    <s v="CUST-0181"/>
    <s v="PROD-034"/>
    <s v="R016"/>
    <n v="2"/>
    <n v="5080"/>
    <n v="7.7"/>
    <n v="9377.68"/>
    <s v="Refunded"/>
    <s v="Delhi"/>
    <x v="2"/>
    <x v="3"/>
    <x v="1"/>
    <n v="2459"/>
    <n v="5080"/>
  </r>
  <r>
    <s v="ORD-00276"/>
    <x v="197"/>
    <s v="CUST-0020"/>
    <s v="PROD-003"/>
    <s v="R005"/>
    <n v="3"/>
    <n v="3570"/>
    <n v="9.5"/>
    <n v="9692.5499999999993"/>
    <s v="Completed"/>
    <s v="Hyderabad"/>
    <x v="5"/>
    <x v="4"/>
    <x v="0"/>
    <n v="1665"/>
    <n v="3570"/>
  </r>
  <r>
    <s v="ORD-00277"/>
    <x v="151"/>
    <s v="CUST-0183"/>
    <s v="PROD-016"/>
    <s v="R020"/>
    <n v="2"/>
    <n v="620"/>
    <n v="29.5"/>
    <n v="874.2"/>
    <s v="Completed"/>
    <s v="Mumbai"/>
    <x v="3"/>
    <x v="0"/>
    <x v="3"/>
    <n v="396"/>
    <n v="620"/>
  </r>
  <r>
    <s v="ORD-00278"/>
    <x v="198"/>
    <s v="CUST-0028"/>
    <s v="PROD-011"/>
    <s v="R013"/>
    <n v="3"/>
    <n v="3450"/>
    <n v="3"/>
    <n v="10039.5"/>
    <s v="Completed"/>
    <s v="Bengaluru"/>
    <x v="4"/>
    <x v="0"/>
    <x v="1"/>
    <n v="1748"/>
    <n v="3450"/>
  </r>
  <r>
    <s v="ORD-00279"/>
    <x v="199"/>
    <s v="CUST-0121"/>
    <s v="PROD-048"/>
    <s v="R006"/>
    <n v="7"/>
    <n v="5100"/>
    <n v="4.3"/>
    <n v="34164.9"/>
    <s v="Completed"/>
    <s v="Delhi"/>
    <x v="2"/>
    <x v="5"/>
    <x v="0"/>
    <n v="2237"/>
    <n v="5100"/>
  </r>
  <r>
    <s v="ORD-00280"/>
    <x v="110"/>
    <s v="CUST-0192"/>
    <s v="PROD-004"/>
    <s v="R003"/>
    <n v="9"/>
    <n v="3870"/>
    <n v="4.8"/>
    <n v="33158.160000000003"/>
    <s v="Completed"/>
    <s v="Bengaluru"/>
    <x v="4"/>
    <x v="4"/>
    <x v="0"/>
    <n v="1559"/>
    <n v="3870"/>
  </r>
  <r>
    <s v="ORD-00281"/>
    <x v="142"/>
    <s v="CUST-0155"/>
    <s v="PROD-009"/>
    <s v="R029"/>
    <n v="5"/>
    <n v="1220"/>
    <n v="4"/>
    <n v="5856"/>
    <s v="Cancelled"/>
    <s v="Pune"/>
    <x v="0"/>
    <x v="4"/>
    <x v="2"/>
    <n v="517"/>
    <n v="1220"/>
  </r>
  <r>
    <s v="ORD-00282"/>
    <x v="200"/>
    <s v="CUST-0159"/>
    <s v="PROD-038"/>
    <s v="R023"/>
    <n v="5"/>
    <n v="5490"/>
    <n v="19.8"/>
    <n v="22014.9"/>
    <s v="Completed"/>
    <s v="Hyderabad"/>
    <x v="5"/>
    <x v="3"/>
    <x v="3"/>
    <n v="2549"/>
    <n v="5490"/>
  </r>
  <r>
    <s v="ORD-00283"/>
    <x v="201"/>
    <s v="CUST-0025"/>
    <s v="PROD-044"/>
    <s v="R001"/>
    <n v="1"/>
    <n v="1650"/>
    <n v="26.2"/>
    <n v="1217.7"/>
    <s v="Completed"/>
    <s v="Bengaluru"/>
    <x v="4"/>
    <x v="5"/>
    <x v="0"/>
    <n v="1222"/>
    <n v="1650"/>
  </r>
  <r>
    <s v="ORD-00284"/>
    <x v="151"/>
    <s v="CUST-0297"/>
    <s v="PROD-008"/>
    <s v="R003"/>
    <n v="1"/>
    <n v="2660"/>
    <n v="21"/>
    <n v="2101.4"/>
    <s v="Completed"/>
    <s v="Hyderabad"/>
    <x v="5"/>
    <x v="4"/>
    <x v="0"/>
    <n v="1259"/>
    <n v="2660"/>
  </r>
  <r>
    <s v="ORD-00285"/>
    <x v="67"/>
    <s v="CUST-0108"/>
    <s v="PROD-029"/>
    <s v="R003"/>
    <n v="6"/>
    <n v="2210"/>
    <n v="9.8000000000000007"/>
    <n v="11960.52"/>
    <s v="Pending"/>
    <s v="Bengaluru"/>
    <x v="4"/>
    <x v="2"/>
    <x v="0"/>
    <n v="1010"/>
    <n v="2210"/>
  </r>
  <r>
    <s v="ORD-00286"/>
    <x v="202"/>
    <s v="CUST-0121"/>
    <s v="PROD-002"/>
    <s v="R001"/>
    <n v="9"/>
    <n v="2600"/>
    <n v="15.7"/>
    <n v="19726.2"/>
    <s v="Completed"/>
    <s v="Delhi"/>
    <x v="2"/>
    <x v="4"/>
    <x v="0"/>
    <n v="1052"/>
    <n v="2600"/>
  </r>
  <r>
    <s v="ORD-00287"/>
    <x v="203"/>
    <s v="CUST-0160"/>
    <s v="PROD-045"/>
    <s v="R025"/>
    <n v="3"/>
    <n v="3020"/>
    <n v="22.6"/>
    <n v="7012.44"/>
    <s v="Completed"/>
    <s v="Hyderabad"/>
    <x v="5"/>
    <x v="5"/>
    <x v="2"/>
    <n v="1626"/>
    <n v="3020"/>
  </r>
  <r>
    <s v="ORD-00288"/>
    <x v="61"/>
    <s v="CUST-0230"/>
    <s v="PROD-032"/>
    <s v="R005"/>
    <n v="6"/>
    <n v="370"/>
    <n v="12.4"/>
    <n v="1944.72"/>
    <s v="Completed"/>
    <s v="Pune"/>
    <x v="0"/>
    <x v="3"/>
    <x v="0"/>
    <n v="288"/>
    <n v="370"/>
  </r>
  <r>
    <s v="ORD-00289"/>
    <x v="42"/>
    <s v="CUST-0151"/>
    <s v="PROD-001"/>
    <s v="R006"/>
    <n v="8"/>
    <n v="5330"/>
    <n v="16.2"/>
    <n v="35732.32"/>
    <s v="Completed"/>
    <s v="Mumbai"/>
    <x v="3"/>
    <x v="4"/>
    <x v="0"/>
    <n v="2405"/>
    <n v="5330"/>
  </r>
  <r>
    <s v="ORD-00290"/>
    <x v="66"/>
    <s v="CUST-0222"/>
    <s v="PROD-018"/>
    <s v="R030"/>
    <n v="4"/>
    <n v="3560"/>
    <n v="10.5"/>
    <n v="12744.8"/>
    <s v="Completed"/>
    <s v="Chennai"/>
    <x v="1"/>
    <x v="0"/>
    <x v="2"/>
    <n v="2629"/>
    <n v="3560"/>
  </r>
  <r>
    <s v="ORD-00291"/>
    <x v="44"/>
    <s v="CUST-0055"/>
    <s v="PROD-054"/>
    <s v="R030"/>
    <n v="10"/>
    <n v="1010"/>
    <n v="10.8"/>
    <n v="9009.2000000000007"/>
    <s v="Completed"/>
    <s v="Bengaluru"/>
    <x v="4"/>
    <x v="1"/>
    <x v="2"/>
    <n v="516"/>
    <n v="1010"/>
  </r>
  <r>
    <s v="ORD-00292"/>
    <x v="204"/>
    <s v="CUST-0011"/>
    <s v="PROD-056"/>
    <s v="R006"/>
    <n v="8"/>
    <n v="6940"/>
    <n v="3.2"/>
    <n v="53743.360000000001"/>
    <s v="Cancelled"/>
    <s v="Chennai"/>
    <x v="1"/>
    <x v="1"/>
    <x v="0"/>
    <n v="2827"/>
    <n v="6940"/>
  </r>
  <r>
    <s v="ORD-00335"/>
    <x v="7"/>
    <s v="CUST-0020"/>
    <s v="PROD-012"/>
    <s v="R015"/>
    <n v="7"/>
    <n v="3160"/>
    <n v="3.6"/>
    <n v="21323.68"/>
    <s v="Completed"/>
    <s v="Hyderabad"/>
    <x v="5"/>
    <x v="0"/>
    <x v="1"/>
    <n v="1886"/>
    <n v="3160"/>
  </r>
  <r>
    <s v="ORD-00294"/>
    <x v="93"/>
    <s v="CUST-0163"/>
    <s v="PROD-028"/>
    <s v="R008"/>
    <n v="2"/>
    <n v="3660"/>
    <n v="30"/>
    <n v="5124"/>
    <s v="Pending"/>
    <s v="Pune"/>
    <x v="0"/>
    <x v="2"/>
    <x v="0"/>
    <n v="2214"/>
    <n v="3660"/>
  </r>
  <r>
    <s v="ORD-00295"/>
    <x v="24"/>
    <s v="CUST-0081"/>
    <s v="PROD-024"/>
    <s v="R005"/>
    <n v="1"/>
    <n v="2270"/>
    <n v="4.8"/>
    <n v="2161.04"/>
    <s v="Cancelled"/>
    <s v="Mumbai"/>
    <x v="3"/>
    <x v="2"/>
    <x v="0"/>
    <n v="1203"/>
    <n v="2270"/>
  </r>
  <r>
    <s v="ORD-00296"/>
    <x v="171"/>
    <s v="CUST-0053"/>
    <s v="PROD-059"/>
    <s v="R025"/>
    <n v="8"/>
    <n v="3780"/>
    <n v="13"/>
    <n v="26308.799999999999"/>
    <s v="Completed"/>
    <s v="Delhi"/>
    <x v="2"/>
    <x v="1"/>
    <x v="2"/>
    <n v="1860"/>
    <n v="3780"/>
  </r>
  <r>
    <s v="ORD-01770"/>
    <x v="205"/>
    <s v="CUST-0115"/>
    <s v="PROD-013"/>
    <s v="R012"/>
    <n v="1"/>
    <n v="3640"/>
    <n v="15.3"/>
    <n v="3083.08"/>
    <s v="Pending"/>
    <s v="Mumbai"/>
    <x v="3"/>
    <x v="0"/>
    <x v="1"/>
    <n v="2611"/>
    <n v="3640"/>
  </r>
  <r>
    <s v="ORD-00298"/>
    <x v="206"/>
    <s v="CUST-0166"/>
    <s v="PROD-009"/>
    <s v="R009"/>
    <n v="8"/>
    <n v="1220"/>
    <n v="28.2"/>
    <n v="7007.68"/>
    <s v="Completed"/>
    <s v="Hyderabad"/>
    <x v="5"/>
    <x v="4"/>
    <x v="1"/>
    <n v="517"/>
    <n v="1220"/>
  </r>
  <r>
    <s v="ORD-00299"/>
    <x v="207"/>
    <s v="CUST-0263"/>
    <s v="PROD-017"/>
    <s v="R030"/>
    <n v="3"/>
    <n v="2510"/>
    <n v="17.399999999999999"/>
    <n v="6219.78"/>
    <s v="Completed"/>
    <s v="Mumbai"/>
    <x v="3"/>
    <x v="0"/>
    <x v="2"/>
    <n v="1075"/>
    <n v="2510"/>
  </r>
  <r>
    <s v="ORD-00300"/>
    <x v="208"/>
    <s v="CUST-0010"/>
    <s v="PROD-040"/>
    <s v="R004"/>
    <n v="1"/>
    <n v="1080"/>
    <n v="13.9"/>
    <n v="929.88"/>
    <s v="Completed"/>
    <s v="Mumbai"/>
    <x v="3"/>
    <x v="3"/>
    <x v="0"/>
    <n v="519"/>
    <n v="1080"/>
  </r>
  <r>
    <s v="ORD-00301"/>
    <x v="183"/>
    <s v="CUST-0036"/>
    <s v="PROD-033"/>
    <s v="R016"/>
    <n v="7"/>
    <n v="2030"/>
    <n v="29.2"/>
    <n v="10060.68"/>
    <s v="Completed"/>
    <s v="Mumbai"/>
    <x v="3"/>
    <x v="3"/>
    <x v="1"/>
    <n v="1143"/>
    <n v="2030"/>
  </r>
  <r>
    <s v="ORD-00302"/>
    <x v="209"/>
    <s v="CUST-0259"/>
    <s v="PROD-059"/>
    <s v="R020"/>
    <n v="6"/>
    <n v="3780"/>
    <n v="20.9"/>
    <n v="17939.88"/>
    <s v="Refunded"/>
    <s v="Mumbai"/>
    <x v="3"/>
    <x v="1"/>
    <x v="3"/>
    <n v="1860"/>
    <n v="3780"/>
  </r>
  <r>
    <s v="ORD-00303"/>
    <x v="168"/>
    <s v="CUST-0247"/>
    <s v="PROD-012"/>
    <s v="R016"/>
    <n v="1"/>
    <n v="3160"/>
    <n v="10.7"/>
    <n v="2821.88"/>
    <s v="Completed"/>
    <s v="Pune"/>
    <x v="0"/>
    <x v="0"/>
    <x v="1"/>
    <n v="1886"/>
    <n v="3160"/>
  </r>
  <r>
    <s v="ORD-00881"/>
    <x v="148"/>
    <s v="CUST-0191"/>
    <s v="PROD-046"/>
    <s v="R010"/>
    <n v="5"/>
    <n v="4880"/>
    <n v="11.4"/>
    <n v="21618.400000000001"/>
    <s v="Completed"/>
    <s v="Hyderabad"/>
    <x v="5"/>
    <x v="5"/>
    <x v="1"/>
    <n v="2768"/>
    <n v="4880"/>
  </r>
  <r>
    <s v="ORD-00305"/>
    <x v="142"/>
    <s v="CUST-0167"/>
    <s v="PROD-031"/>
    <s v="R009"/>
    <n v="9"/>
    <n v="3730"/>
    <n v="10"/>
    <n v="30213"/>
    <s v="Completed"/>
    <s v="Delhi"/>
    <x v="2"/>
    <x v="3"/>
    <x v="1"/>
    <n v="2135"/>
    <n v="3730"/>
  </r>
  <r>
    <s v="ORD-00306"/>
    <x v="119"/>
    <s v="CUST-0196"/>
    <s v="PROD-034"/>
    <s v="R004"/>
    <n v="5"/>
    <n v="5080"/>
    <n v="15.3"/>
    <n v="21513.8"/>
    <s v="Completed"/>
    <s v="Chennai"/>
    <x v="1"/>
    <x v="3"/>
    <x v="0"/>
    <n v="2459"/>
    <n v="5080"/>
  </r>
  <r>
    <s v="ORD-00307"/>
    <x v="210"/>
    <s v="CUST-0182"/>
    <s v="PROD-042"/>
    <s v="R013"/>
    <n v="9"/>
    <n v="2290"/>
    <n v="3.3"/>
    <n v="19929.87"/>
    <s v="Pending"/>
    <s v="Mumbai"/>
    <x v="3"/>
    <x v="5"/>
    <x v="1"/>
    <n v="1219"/>
    <n v="2290"/>
  </r>
  <r>
    <s v="ORD-00308"/>
    <x v="211"/>
    <s v="CUST-0246"/>
    <s v="PROD-008"/>
    <s v="R010"/>
    <n v="5"/>
    <n v="2660"/>
    <n v="8.3000000000000007"/>
    <n v="12196.1"/>
    <s v="Completed"/>
    <s v="Delhi"/>
    <x v="2"/>
    <x v="4"/>
    <x v="1"/>
    <n v="1259"/>
    <n v="2660"/>
  </r>
  <r>
    <s v="ORD-00309"/>
    <x v="201"/>
    <s v="CUST-0132"/>
    <s v="PROD-027"/>
    <s v="R025"/>
    <n v="6"/>
    <n v="3780"/>
    <n v="28.3"/>
    <n v="16261.56"/>
    <s v="Completed"/>
    <s v="Delhi"/>
    <x v="2"/>
    <x v="2"/>
    <x v="2"/>
    <n v="2436"/>
    <n v="3780"/>
  </r>
  <r>
    <s v="ORD-00310"/>
    <x v="212"/>
    <s v="CUST-0153"/>
    <s v="PROD-021"/>
    <s v="R028"/>
    <n v="5"/>
    <n v="2760"/>
    <n v="4.9000000000000004"/>
    <n v="13123.8"/>
    <s v="Completed"/>
    <s v="Mumbai"/>
    <x v="3"/>
    <x v="2"/>
    <x v="2"/>
    <n v="1435"/>
    <n v="2760"/>
  </r>
  <r>
    <s v="ORD-00311"/>
    <x v="213"/>
    <s v="CUST-0139"/>
    <s v="PROD-041"/>
    <s v="R006"/>
    <n v="8"/>
    <n v="1540"/>
    <n v="29.4"/>
    <n v="8697.92"/>
    <s v="Cancelled"/>
    <s v="Hyderabad"/>
    <x v="5"/>
    <x v="5"/>
    <x v="0"/>
    <n v="647"/>
    <n v="1540"/>
  </r>
  <r>
    <s v="ORD-00312"/>
    <x v="163"/>
    <s v="CUST-0256"/>
    <s v="PROD-046"/>
    <s v="R022"/>
    <n v="1"/>
    <n v="4880"/>
    <n v="18.100000000000001"/>
    <n v="3996.72"/>
    <s v="Completed"/>
    <s v="Hyderabad"/>
    <x v="5"/>
    <x v="5"/>
    <x v="3"/>
    <n v="2768"/>
    <n v="4880"/>
  </r>
  <r>
    <s v="ORD-00313"/>
    <x v="95"/>
    <s v="CUST-0027"/>
    <s v="PROD-024"/>
    <s v="R015"/>
    <n v="8"/>
    <n v="2270"/>
    <n v="19.8"/>
    <n v="14564.32"/>
    <s v="Pending"/>
    <s v="Hyderabad"/>
    <x v="5"/>
    <x v="2"/>
    <x v="1"/>
    <n v="1203"/>
    <n v="2270"/>
  </r>
  <r>
    <s v="ORD-00314"/>
    <x v="118"/>
    <s v="CUST-0151"/>
    <s v="PROD-019"/>
    <s v="R010"/>
    <n v="10"/>
    <n v="2480"/>
    <n v="24.4"/>
    <n v="18748.8"/>
    <s v="Pending"/>
    <s v="Mumbai"/>
    <x v="3"/>
    <x v="0"/>
    <x v="1"/>
    <n v="1173"/>
    <n v="2480"/>
  </r>
  <r>
    <s v="ORD-00315"/>
    <x v="214"/>
    <s v="CUST-0204"/>
    <s v="PROD-045"/>
    <s v="R014"/>
    <n v="8"/>
    <n v="3020"/>
    <n v="15.2"/>
    <n v="20487.68"/>
    <s v="Pending"/>
    <s v="Hyderabad"/>
    <x v="5"/>
    <x v="5"/>
    <x v="1"/>
    <n v="1626"/>
    <n v="3020"/>
  </r>
  <r>
    <s v="ORD-00316"/>
    <x v="25"/>
    <s v="CUST-0084"/>
    <s v="PROD-041"/>
    <s v="R019"/>
    <n v="10"/>
    <n v="1540"/>
    <n v="0.6"/>
    <n v="15307.6"/>
    <s v="Completed"/>
    <s v="Chennai"/>
    <x v="1"/>
    <x v="5"/>
    <x v="3"/>
    <n v="647"/>
    <n v="1540"/>
  </r>
  <r>
    <s v="ORD-00317"/>
    <x v="215"/>
    <s v="CUST-0048"/>
    <s v="PROD-012"/>
    <s v="R001"/>
    <n v="7"/>
    <n v="3160"/>
    <n v="8.9"/>
    <n v="20151.32"/>
    <s v="Completed"/>
    <s v="Delhi"/>
    <x v="2"/>
    <x v="0"/>
    <x v="0"/>
    <n v="1886"/>
    <n v="3160"/>
  </r>
  <r>
    <s v="ORD-00318"/>
    <x v="95"/>
    <s v="CUST-0013"/>
    <s v="PROD-054"/>
    <s v="R013"/>
    <n v="6"/>
    <n v="1010"/>
    <n v="12.9"/>
    <n v="5278.26"/>
    <s v="Completed"/>
    <s v="Delhi"/>
    <x v="2"/>
    <x v="1"/>
    <x v="1"/>
    <n v="516"/>
    <n v="1010"/>
  </r>
  <r>
    <s v="ORD-00319"/>
    <x v="216"/>
    <s v="CUST-0245"/>
    <s v="PROD-039"/>
    <s v="R020"/>
    <n v="4"/>
    <n v="4610"/>
    <n v="18.2"/>
    <n v="15083.92"/>
    <s v="Completed"/>
    <s v="Hyderabad"/>
    <x v="5"/>
    <x v="3"/>
    <x v="3"/>
    <n v="1850"/>
    <n v="4610"/>
  </r>
  <r>
    <s v="ORD-00320"/>
    <x v="30"/>
    <s v="CUST-0031"/>
    <s v="PROD-025"/>
    <s v="R029"/>
    <n v="6"/>
    <n v="4060"/>
    <n v="24.3"/>
    <n v="18440.52"/>
    <s v="Completed"/>
    <s v="Hyderabad"/>
    <x v="5"/>
    <x v="2"/>
    <x v="2"/>
    <n v="2911"/>
    <n v="4060"/>
  </r>
  <r>
    <s v="ORD-00321"/>
    <x v="89"/>
    <s v="CUST-0212"/>
    <s v="PROD-016"/>
    <s v="R001"/>
    <n v="5"/>
    <n v="620"/>
    <n v="10.7"/>
    <n v="2768.3"/>
    <s v="Refunded"/>
    <s v="Chennai"/>
    <x v="1"/>
    <x v="0"/>
    <x v="0"/>
    <n v="396"/>
    <n v="620"/>
  </r>
  <r>
    <s v="ORD-00322"/>
    <x v="191"/>
    <s v="CUST-0104"/>
    <s v="PROD-018"/>
    <s v="R003"/>
    <n v="3"/>
    <n v="3560"/>
    <n v="4.0999999999999996"/>
    <n v="10242.120000000001"/>
    <s v="Completed"/>
    <s v="Hyderabad"/>
    <x v="5"/>
    <x v="0"/>
    <x v="0"/>
    <n v="2629"/>
    <n v="3560"/>
  </r>
  <r>
    <s v="ORD-00323"/>
    <x v="66"/>
    <s v="CUST-0157"/>
    <s v="PROD-058"/>
    <s v="R012"/>
    <n v="2"/>
    <n v="2400"/>
    <n v="13"/>
    <n v="4176"/>
    <s v="Completed"/>
    <s v="Pune"/>
    <x v="0"/>
    <x v="1"/>
    <x v="1"/>
    <n v="974"/>
    <n v="2400"/>
  </r>
  <r>
    <s v="ORD-00324"/>
    <x v="192"/>
    <s v="CUST-0004"/>
    <s v="PROD-056"/>
    <s v="R006"/>
    <n v="9"/>
    <n v="6940"/>
    <n v="26.2"/>
    <n v="46095.48"/>
    <s v="Completed"/>
    <s v="Delhi"/>
    <x v="2"/>
    <x v="1"/>
    <x v="0"/>
    <n v="2827"/>
    <n v="6940"/>
  </r>
  <r>
    <s v="ORD-00325"/>
    <x v="217"/>
    <s v="CUST-0003"/>
    <s v="PROD-023"/>
    <s v="R025"/>
    <n v="9"/>
    <n v="2380"/>
    <n v="22.7"/>
    <n v="16557.66"/>
    <s v="Completed"/>
    <s v="Mumbai"/>
    <x v="3"/>
    <x v="2"/>
    <x v="2"/>
    <n v="1182"/>
    <n v="2380"/>
  </r>
  <r>
    <s v="ORD-00326"/>
    <x v="176"/>
    <s v="CUST-0175"/>
    <s v="PROD-014"/>
    <s v="R028"/>
    <n v="6"/>
    <n v="3620"/>
    <n v="9.1999999999999993"/>
    <n v="19721.759999999998"/>
    <s v="Completed"/>
    <s v="Delhi"/>
    <x v="2"/>
    <x v="0"/>
    <x v="2"/>
    <n v="2509"/>
    <n v="3620"/>
  </r>
  <r>
    <s v="ORD-00327"/>
    <x v="124"/>
    <s v="CUST-0104"/>
    <s v="PROD-050"/>
    <s v="R004"/>
    <n v="1"/>
    <n v="6080"/>
    <n v="29.4"/>
    <n v="4292.4799999999996"/>
    <s v="Cancelled"/>
    <s v="Hyderabad"/>
    <x v="5"/>
    <x v="5"/>
    <x v="0"/>
    <n v="2617"/>
    <n v="6080"/>
  </r>
  <r>
    <s v="ORD-00328"/>
    <x v="30"/>
    <s v="CUST-0196"/>
    <s v="PROD-020"/>
    <s v="R018"/>
    <n v="6"/>
    <n v="820"/>
    <n v="29.1"/>
    <n v="3488.28"/>
    <s v="Completed"/>
    <s v="Chennai"/>
    <x v="1"/>
    <x v="0"/>
    <x v="3"/>
    <n v="391"/>
    <n v="820"/>
  </r>
  <r>
    <s v="ORD-00329"/>
    <x v="34"/>
    <s v="CUST-0299"/>
    <s v="PROD-045"/>
    <s v="R024"/>
    <n v="9"/>
    <n v="3020"/>
    <n v="7.9"/>
    <n v="25032.78"/>
    <s v="Completed"/>
    <s v="Mumbai"/>
    <x v="3"/>
    <x v="5"/>
    <x v="2"/>
    <n v="1626"/>
    <n v="3020"/>
  </r>
  <r>
    <s v="ORD-00330"/>
    <x v="218"/>
    <s v="CUST-0066"/>
    <s v="PROD-004"/>
    <s v="R029"/>
    <n v="8"/>
    <n v="3870"/>
    <n v="11.9"/>
    <n v="27275.759999999998"/>
    <s v="Completed"/>
    <s v="Delhi"/>
    <x v="2"/>
    <x v="4"/>
    <x v="2"/>
    <n v="1559"/>
    <n v="3870"/>
  </r>
  <r>
    <s v="ORD-00331"/>
    <x v="72"/>
    <s v="CUST-0080"/>
    <s v="PROD-047"/>
    <s v="R030"/>
    <n v="6"/>
    <n v="3450"/>
    <n v="13.9"/>
    <n v="17822.7"/>
    <s v="Completed"/>
    <s v="Pune"/>
    <x v="0"/>
    <x v="5"/>
    <x v="2"/>
    <n v="2420"/>
    <n v="3450"/>
  </r>
  <r>
    <s v="ORD-00332"/>
    <x v="219"/>
    <s v="CUST-0138"/>
    <s v="PROD-048"/>
    <s v="R008"/>
    <n v="9"/>
    <n v="5100"/>
    <n v="2.1"/>
    <n v="44936.1"/>
    <s v="Completed"/>
    <s v="Chennai"/>
    <x v="1"/>
    <x v="5"/>
    <x v="0"/>
    <n v="2237"/>
    <n v="5100"/>
  </r>
  <r>
    <s v="ORD-00333"/>
    <x v="79"/>
    <s v="CUST-0253"/>
    <s v="PROD-026"/>
    <s v="R008"/>
    <n v="2"/>
    <n v="4070"/>
    <n v="28.6"/>
    <n v="5811.96"/>
    <s v="Completed"/>
    <s v="Delhi"/>
    <x v="2"/>
    <x v="2"/>
    <x v="0"/>
    <n v="2027"/>
    <n v="4070"/>
  </r>
  <r>
    <s v="ORD-00334"/>
    <x v="220"/>
    <s v="CUST-0247"/>
    <s v="PROD-001"/>
    <s v="R007"/>
    <n v="9"/>
    <n v="5330"/>
    <n v="6.2"/>
    <n v="44995.86"/>
    <s v="Completed"/>
    <s v="Pune"/>
    <x v="0"/>
    <x v="4"/>
    <x v="0"/>
    <n v="2405"/>
    <n v="5330"/>
  </r>
  <r>
    <s v="ORD-00335"/>
    <x v="158"/>
    <s v="CUST-0269"/>
    <s v="PROD-024"/>
    <s v="R020"/>
    <n v="6"/>
    <n v="2270"/>
    <n v="23.7"/>
    <n v="10392.06"/>
    <s v="Completed"/>
    <s v="Pune"/>
    <x v="0"/>
    <x v="2"/>
    <x v="3"/>
    <n v="1203"/>
    <n v="2270"/>
  </r>
  <r>
    <s v="ORD-00336"/>
    <x v="221"/>
    <s v="CUST-0008"/>
    <s v="PROD-017"/>
    <s v="R024"/>
    <n v="5"/>
    <n v="2510"/>
    <n v="25"/>
    <n v="9412.5"/>
    <s v="Completed"/>
    <s v="Pune"/>
    <x v="0"/>
    <x v="0"/>
    <x v="2"/>
    <n v="1075"/>
    <n v="2510"/>
  </r>
  <r>
    <s v="ORD-00337"/>
    <x v="164"/>
    <s v="CUST-0134"/>
    <s v="PROD-023"/>
    <s v="R019"/>
    <n v="9"/>
    <n v="2380"/>
    <n v="16.8"/>
    <n v="17821.439999999999"/>
    <s v="Completed"/>
    <s v="Delhi"/>
    <x v="2"/>
    <x v="2"/>
    <x v="3"/>
    <n v="1182"/>
    <n v="2380"/>
  </r>
  <r>
    <s v="ORD-00338"/>
    <x v="103"/>
    <s v="CUST-0016"/>
    <s v="PROD-011"/>
    <s v="R008"/>
    <n v="1"/>
    <n v="3450"/>
    <n v="1.5"/>
    <n v="3398.25"/>
    <s v="Refunded"/>
    <s v="Delhi"/>
    <x v="2"/>
    <x v="0"/>
    <x v="0"/>
    <n v="1748"/>
    <n v="3450"/>
  </r>
  <r>
    <s v="ORD-00339"/>
    <x v="146"/>
    <s v="CUST-0281"/>
    <s v="PROD-003"/>
    <s v="R002"/>
    <n v="5"/>
    <n v="3570"/>
    <n v="12.8"/>
    <n v="15565.2"/>
    <s v="Completed"/>
    <s v="Bengaluru"/>
    <x v="4"/>
    <x v="4"/>
    <x v="0"/>
    <n v="1665"/>
    <n v="3570"/>
  </r>
  <r>
    <s v="ORD-00340"/>
    <x v="222"/>
    <s v="CUST-0267"/>
    <s v="PROD-001"/>
    <s v="R029"/>
    <n v="3"/>
    <n v="5330"/>
    <n v="16.2"/>
    <n v="13399.62"/>
    <s v="Completed"/>
    <s v="Hyderabad"/>
    <x v="5"/>
    <x v="4"/>
    <x v="2"/>
    <n v="2405"/>
    <n v="5330"/>
  </r>
  <r>
    <s v="ORD-00341"/>
    <x v="123"/>
    <s v="CUST-0279"/>
    <s v="PROD-028"/>
    <s v="R027"/>
    <n v="3"/>
    <n v="3660"/>
    <n v="25.3"/>
    <n v="8202.06"/>
    <s v="Completed"/>
    <s v="Mumbai"/>
    <x v="3"/>
    <x v="2"/>
    <x v="2"/>
    <n v="2214"/>
    <n v="3660"/>
  </r>
  <r>
    <s v="ORD-00342"/>
    <x v="77"/>
    <s v="CUST-0036"/>
    <s v="PROD-054"/>
    <s v="R015"/>
    <n v="2"/>
    <n v="1010"/>
    <n v="29.2"/>
    <n v="1430.16"/>
    <s v="Completed"/>
    <s v="Mumbai"/>
    <x v="3"/>
    <x v="1"/>
    <x v="1"/>
    <n v="516"/>
    <n v="1010"/>
  </r>
  <r>
    <s v="ORD-00343"/>
    <x v="47"/>
    <s v="CUST-0295"/>
    <s v="PROD-040"/>
    <s v="R015"/>
    <n v="1"/>
    <n v="1080"/>
    <n v="1.8"/>
    <n v="1060.56"/>
    <s v="Completed"/>
    <s v="Delhi"/>
    <x v="2"/>
    <x v="3"/>
    <x v="1"/>
    <n v="519"/>
    <n v="1080"/>
  </r>
  <r>
    <s v="ORD-00344"/>
    <x v="85"/>
    <s v="CUST-0106"/>
    <s v="PROD-051"/>
    <s v="R010"/>
    <n v="8"/>
    <n v="3450"/>
    <n v="20.399999999999999"/>
    <n v="21969.599999999999"/>
    <s v="Completed"/>
    <s v="Pune"/>
    <x v="0"/>
    <x v="1"/>
    <x v="1"/>
    <n v="2467"/>
    <n v="3450"/>
  </r>
  <r>
    <s v="ORD-00593"/>
    <x v="223"/>
    <s v="CUST-0070"/>
    <s v="PROD-056"/>
    <s v="R015"/>
    <n v="8"/>
    <n v="6940"/>
    <n v="19.399999999999999"/>
    <n v="44749.120000000003"/>
    <s v="Completed"/>
    <s v="Mumbai"/>
    <x v="3"/>
    <x v="1"/>
    <x v="1"/>
    <n v="2827"/>
    <n v="6940"/>
  </r>
  <r>
    <s v="ORD-00346"/>
    <x v="224"/>
    <s v="CUST-0062"/>
    <s v="PROD-041"/>
    <s v="R003"/>
    <n v="2"/>
    <n v="1540"/>
    <n v="9.3000000000000007"/>
    <n v="2793.56"/>
    <s v="Completed"/>
    <s v="Pune"/>
    <x v="0"/>
    <x v="5"/>
    <x v="0"/>
    <n v="647"/>
    <n v="1540"/>
  </r>
  <r>
    <s v="ORD-00347"/>
    <x v="225"/>
    <s v="CUST-0241"/>
    <s v="PROD-010"/>
    <s v="R015"/>
    <n v="4"/>
    <n v="2640"/>
    <n v="23.2"/>
    <n v="8110.08"/>
    <s v="Refunded"/>
    <s v="Pune"/>
    <x v="0"/>
    <x v="4"/>
    <x v="1"/>
    <n v="1149"/>
    <n v="2640"/>
  </r>
  <r>
    <s v="ORD-00348"/>
    <x v="17"/>
    <s v="CUST-0001"/>
    <s v="PROD-052"/>
    <s v="R024"/>
    <n v="6"/>
    <n v="5410"/>
    <n v="29.4"/>
    <n v="22916.76"/>
    <s v="Completed"/>
    <s v="Pune"/>
    <x v="0"/>
    <x v="1"/>
    <x v="2"/>
    <n v="2265"/>
    <n v="5410"/>
  </r>
  <r>
    <s v="ORD-00349"/>
    <x v="61"/>
    <s v="CUST-0181"/>
    <s v="PROD-003"/>
    <s v="R027"/>
    <n v="1"/>
    <n v="3570"/>
    <n v="4.3"/>
    <n v="3416.49"/>
    <s v="Completed"/>
    <s v="Delhi"/>
    <x v="2"/>
    <x v="4"/>
    <x v="2"/>
    <n v="1665"/>
    <n v="3570"/>
  </r>
  <r>
    <s v="ORD-00350"/>
    <x v="226"/>
    <s v="CUST-0044"/>
    <s v="PROD-032"/>
    <s v="R028"/>
    <n v="2"/>
    <n v="370"/>
    <n v="7.2"/>
    <n v="686.72"/>
    <s v="Completed"/>
    <s v="Hyderabad"/>
    <x v="5"/>
    <x v="3"/>
    <x v="2"/>
    <n v="288"/>
    <n v="370"/>
  </r>
  <r>
    <s v="ORD-00351"/>
    <x v="203"/>
    <s v="CUST-0218"/>
    <s v="PROD-017"/>
    <s v="R017"/>
    <n v="1"/>
    <n v="2510"/>
    <n v="2.4"/>
    <n v="2449.7600000000002"/>
    <s v="Completed"/>
    <s v="Mumbai"/>
    <x v="3"/>
    <x v="0"/>
    <x v="3"/>
    <n v="1075"/>
    <n v="2510"/>
  </r>
  <r>
    <s v="ORD-00352"/>
    <x v="178"/>
    <s v="CUST-0061"/>
    <s v="PROD-013"/>
    <s v="R022"/>
    <n v="8"/>
    <n v="3640"/>
    <n v="28.7"/>
    <n v="20762.560000000001"/>
    <s v="Pending"/>
    <s v="Hyderabad"/>
    <x v="5"/>
    <x v="0"/>
    <x v="3"/>
    <n v="2611"/>
    <n v="3640"/>
  </r>
  <r>
    <s v="ORD-00353"/>
    <x v="226"/>
    <s v="CUST-0143"/>
    <s v="PROD-044"/>
    <s v="R029"/>
    <n v="5"/>
    <n v="1650"/>
    <n v="13.4"/>
    <n v="7144.5"/>
    <s v="Pending"/>
    <s v="Chennai"/>
    <x v="1"/>
    <x v="5"/>
    <x v="2"/>
    <n v="1222"/>
    <n v="1650"/>
  </r>
  <r>
    <s v="ORD-00354"/>
    <x v="107"/>
    <s v="CUST-0164"/>
    <s v="PROD-049"/>
    <s v="R024"/>
    <n v="9"/>
    <n v="960"/>
    <n v="28.6"/>
    <n v="6168.96"/>
    <s v="Pending"/>
    <s v="Chennai"/>
    <x v="1"/>
    <x v="5"/>
    <x v="2"/>
    <n v="675"/>
    <n v="960"/>
  </r>
  <r>
    <s v="ORD-00355"/>
    <x v="97"/>
    <s v="CUST-0152"/>
    <s v="PROD-027"/>
    <s v="R021"/>
    <n v="4"/>
    <n v="3780"/>
    <n v="25.3"/>
    <n v="11294.64"/>
    <s v="Completed"/>
    <s v="Bengaluru"/>
    <x v="4"/>
    <x v="2"/>
    <x v="3"/>
    <n v="2436"/>
    <n v="3780"/>
  </r>
  <r>
    <s v="ORD-00356"/>
    <x v="227"/>
    <s v="CUST-0143"/>
    <s v="PROD-044"/>
    <s v="R014"/>
    <n v="4"/>
    <n v="1650"/>
    <n v="13.7"/>
    <n v="5695.8"/>
    <s v="Cancelled"/>
    <s v="Chennai"/>
    <x v="1"/>
    <x v="5"/>
    <x v="1"/>
    <n v="1222"/>
    <n v="1650"/>
  </r>
  <r>
    <s v="ORD-00357"/>
    <x v="228"/>
    <s v="CUST-0232"/>
    <s v="PROD-014"/>
    <s v="R012"/>
    <n v="6"/>
    <n v="3620"/>
    <n v="21.3"/>
    <n v="17093.64"/>
    <s v="Pending"/>
    <s v="Hyderabad"/>
    <x v="5"/>
    <x v="0"/>
    <x v="1"/>
    <n v="2509"/>
    <n v="3620"/>
  </r>
  <r>
    <s v="ORD-00358"/>
    <x v="42"/>
    <s v="CUST-0067"/>
    <s v="PROD-022"/>
    <s v="R030"/>
    <n v="10"/>
    <n v="2270"/>
    <n v="17.7"/>
    <n v="18682.099999999999"/>
    <s v="Completed"/>
    <s v="Delhi"/>
    <x v="2"/>
    <x v="2"/>
    <x v="2"/>
    <n v="1412"/>
    <n v="2270"/>
  </r>
  <r>
    <s v="ORD-00359"/>
    <x v="130"/>
    <s v="CUST-0292"/>
    <s v="PROD-041"/>
    <s v="R013"/>
    <n v="9"/>
    <n v="1540"/>
    <n v="10.7"/>
    <n v="12376.98"/>
    <s v="Completed"/>
    <s v="Bengaluru"/>
    <x v="4"/>
    <x v="5"/>
    <x v="1"/>
    <n v="647"/>
    <n v="1540"/>
  </r>
  <r>
    <s v="ORD-00360"/>
    <x v="84"/>
    <s v="CUST-0118"/>
    <s v="PROD-055"/>
    <s v="R021"/>
    <n v="9"/>
    <n v="2860"/>
    <n v="12.9"/>
    <n v="22419.54"/>
    <s v="Completed"/>
    <s v="Hyderabad"/>
    <x v="5"/>
    <x v="1"/>
    <x v="3"/>
    <n v="2028"/>
    <n v="2860"/>
  </r>
  <r>
    <s v="ORD-00361"/>
    <x v="229"/>
    <s v="CUST-0212"/>
    <s v="PROD-029"/>
    <s v="R016"/>
    <n v="5"/>
    <n v="2210"/>
    <n v="5.0999999999999996"/>
    <n v="10486.45"/>
    <s v="Completed"/>
    <s v="Chennai"/>
    <x v="1"/>
    <x v="2"/>
    <x v="1"/>
    <n v="1010"/>
    <n v="2210"/>
  </r>
  <r>
    <s v="ORD-00362"/>
    <x v="157"/>
    <s v="CUST-0287"/>
    <s v="PROD-009"/>
    <s v="R029"/>
    <n v="1"/>
    <n v="1220"/>
    <n v="16.100000000000001"/>
    <n v="1023.58"/>
    <s v="Completed"/>
    <s v="Chennai"/>
    <x v="1"/>
    <x v="4"/>
    <x v="2"/>
    <n v="517"/>
    <n v="1220"/>
  </r>
  <r>
    <s v="ORD-00363"/>
    <x v="230"/>
    <s v="CUST-0030"/>
    <s v="PROD-003"/>
    <s v="R006"/>
    <n v="2"/>
    <n v="3570"/>
    <n v="1.1000000000000001"/>
    <n v="7061.46"/>
    <s v="Completed"/>
    <s v="Bengaluru"/>
    <x v="4"/>
    <x v="4"/>
    <x v="0"/>
    <n v="1665"/>
    <n v="3570"/>
  </r>
  <r>
    <s v="ORD-00364"/>
    <x v="231"/>
    <s v="CUST-0270"/>
    <s v="PROD-011"/>
    <s v="R016"/>
    <n v="10"/>
    <n v="3450"/>
    <n v="12.6"/>
    <n v="30153"/>
    <s v="Completed"/>
    <s v="Bengaluru"/>
    <x v="4"/>
    <x v="0"/>
    <x v="1"/>
    <n v="1748"/>
    <n v="3450"/>
  </r>
  <r>
    <s v="ORD-00365"/>
    <x v="232"/>
    <s v="CUST-0001"/>
    <s v="PROD-029"/>
    <s v="R021"/>
    <n v="4"/>
    <n v="2210"/>
    <n v="5.4"/>
    <n v="8362.64"/>
    <s v="Completed"/>
    <s v="Pune"/>
    <x v="0"/>
    <x v="2"/>
    <x v="3"/>
    <n v="1010"/>
    <n v="2210"/>
  </r>
  <r>
    <s v="ORD-00366"/>
    <x v="233"/>
    <s v="CUST-0215"/>
    <s v="PROD-035"/>
    <s v="R014"/>
    <n v="6"/>
    <n v="1090"/>
    <n v="2.9"/>
    <n v="6350.34"/>
    <s v="Cancelled"/>
    <s v="Hyderabad"/>
    <x v="5"/>
    <x v="3"/>
    <x v="1"/>
    <n v="464"/>
    <n v="1090"/>
  </r>
  <r>
    <s v="ORD-00367"/>
    <x v="234"/>
    <s v="CUST-0225"/>
    <s v="PROD-041"/>
    <s v="R017"/>
    <n v="8"/>
    <n v="1540"/>
    <n v="17.899999999999999"/>
    <n v="10114.719999999999"/>
    <s v="Pending"/>
    <s v="Chennai"/>
    <x v="1"/>
    <x v="5"/>
    <x v="3"/>
    <n v="647"/>
    <n v="1540"/>
  </r>
  <r>
    <s v="ORD-00368"/>
    <x v="2"/>
    <s v="CUST-0163"/>
    <s v="PROD-002"/>
    <s v="R028"/>
    <n v="9"/>
    <n v="2600"/>
    <n v="4.0999999999999996"/>
    <n v="22440.6"/>
    <s v="Completed"/>
    <s v="Pune"/>
    <x v="0"/>
    <x v="4"/>
    <x v="2"/>
    <n v="1052"/>
    <n v="2600"/>
  </r>
  <r>
    <s v="ORD-00369"/>
    <x v="235"/>
    <s v="CUST-0196"/>
    <s v="PROD-060"/>
    <s v="R007"/>
    <n v="2"/>
    <n v="190"/>
    <n v="4.8"/>
    <n v="361.76"/>
    <s v="Completed"/>
    <s v="Chennai"/>
    <x v="1"/>
    <x v="1"/>
    <x v="0"/>
    <n v="147"/>
    <n v="190"/>
  </r>
  <r>
    <s v="ORD-00370"/>
    <x v="236"/>
    <s v="CUST-0002"/>
    <s v="PROD-019"/>
    <s v="R014"/>
    <n v="9"/>
    <n v="2480"/>
    <n v="28.3"/>
    <n v="16003.44"/>
    <s v="Completed"/>
    <s v="Pune"/>
    <x v="0"/>
    <x v="0"/>
    <x v="1"/>
    <n v="1173"/>
    <n v="2480"/>
  </r>
  <r>
    <s v="ORD-00371"/>
    <x v="33"/>
    <s v="CUST-0057"/>
    <s v="PROD-042"/>
    <s v="R006"/>
    <n v="7"/>
    <n v="2290"/>
    <n v="25"/>
    <n v="12022.5"/>
    <s v="Cancelled"/>
    <s v="Pune"/>
    <x v="0"/>
    <x v="5"/>
    <x v="0"/>
    <n v="1219"/>
    <n v="2290"/>
  </r>
  <r>
    <s v="ORD-00372"/>
    <x v="237"/>
    <s v="CUST-0112"/>
    <s v="PROD-041"/>
    <s v="R015"/>
    <n v="9"/>
    <n v="1540"/>
    <n v="23.3"/>
    <n v="10630.62"/>
    <s v="Completed"/>
    <s v="Hyderabad"/>
    <x v="5"/>
    <x v="5"/>
    <x v="1"/>
    <n v="647"/>
    <n v="1540"/>
  </r>
  <r>
    <s v="ORD-00373"/>
    <x v="168"/>
    <s v="CUST-0131"/>
    <s v="PROD-034"/>
    <s v="R025"/>
    <n v="2"/>
    <n v="5080"/>
    <n v="2.5"/>
    <n v="9906"/>
    <s v="Cancelled"/>
    <s v="Delhi"/>
    <x v="2"/>
    <x v="3"/>
    <x v="2"/>
    <n v="2459"/>
    <n v="5080"/>
  </r>
  <r>
    <s v="ORD-00374"/>
    <x v="238"/>
    <s v="CUST-0124"/>
    <s v="PROD-017"/>
    <s v="R016"/>
    <n v="4"/>
    <n v="2510"/>
    <n v="23.6"/>
    <n v="7670.56"/>
    <s v="Completed"/>
    <s v="Pune"/>
    <x v="0"/>
    <x v="0"/>
    <x v="1"/>
    <n v="1075"/>
    <n v="2510"/>
  </r>
  <r>
    <s v="ORD-00375"/>
    <x v="10"/>
    <s v="CUST-0131"/>
    <s v="PROD-042"/>
    <s v="R011"/>
    <n v="5"/>
    <n v="2290"/>
    <n v="17"/>
    <n v="9503.5"/>
    <s v="Completed"/>
    <s v="Delhi"/>
    <x v="2"/>
    <x v="5"/>
    <x v="1"/>
    <n v="1219"/>
    <n v="2290"/>
  </r>
  <r>
    <s v="ORD-00376"/>
    <x v="1"/>
    <s v="CUST-0084"/>
    <s v="PROD-053"/>
    <s v="R006"/>
    <n v="8"/>
    <n v="470"/>
    <n v="9.3000000000000007"/>
    <n v="3410.32"/>
    <s v="Completed"/>
    <s v="Chennai"/>
    <x v="1"/>
    <x v="1"/>
    <x v="0"/>
    <n v="302"/>
    <n v="470"/>
  </r>
  <r>
    <s v="ORD-00377"/>
    <x v="148"/>
    <s v="CUST-0082"/>
    <s v="PROD-048"/>
    <s v="R009"/>
    <n v="8"/>
    <n v="5100"/>
    <n v="4.5999999999999996"/>
    <n v="38923.199999999997"/>
    <s v="Completed"/>
    <s v="Hyderabad"/>
    <x v="5"/>
    <x v="5"/>
    <x v="1"/>
    <n v="2237"/>
    <n v="5100"/>
  </r>
  <r>
    <s v="ORD-00378"/>
    <x v="197"/>
    <s v="CUST-0242"/>
    <s v="PROD-001"/>
    <s v="R010"/>
    <n v="7"/>
    <n v="5330"/>
    <n v="2.5"/>
    <n v="36377.25"/>
    <s v="Completed"/>
    <s v="Chennai"/>
    <x v="1"/>
    <x v="4"/>
    <x v="1"/>
    <n v="2405"/>
    <n v="5330"/>
  </r>
  <r>
    <s v="ORD-00379"/>
    <x v="234"/>
    <s v="CUST-0074"/>
    <s v="PROD-033"/>
    <s v="R028"/>
    <n v="10"/>
    <n v="2030"/>
    <n v="8.5"/>
    <n v="18574.5"/>
    <s v="Completed"/>
    <s v="Bengaluru"/>
    <x v="4"/>
    <x v="3"/>
    <x v="2"/>
    <n v="1143"/>
    <n v="2030"/>
  </r>
  <r>
    <s v="ORD-00380"/>
    <x v="9"/>
    <s v="CUST-0221"/>
    <s v="PROD-034"/>
    <s v="R003"/>
    <n v="8"/>
    <n v="5080"/>
    <n v="9.6"/>
    <n v="36738.559999999998"/>
    <s v="Cancelled"/>
    <s v="Delhi"/>
    <x v="2"/>
    <x v="3"/>
    <x v="0"/>
    <n v="2459"/>
    <n v="5080"/>
  </r>
  <r>
    <s v="ORD-00381"/>
    <x v="239"/>
    <s v="CUST-0101"/>
    <s v="PROD-023"/>
    <s v="R014"/>
    <n v="1"/>
    <n v="2380"/>
    <n v="11.6"/>
    <n v="2103.92"/>
    <s v="Pending"/>
    <s v="Hyderabad"/>
    <x v="5"/>
    <x v="2"/>
    <x v="1"/>
    <n v="1182"/>
    <n v="2380"/>
  </r>
  <r>
    <s v="ORD-00382"/>
    <x v="222"/>
    <s v="CUST-0203"/>
    <s v="PROD-041"/>
    <s v="R027"/>
    <n v="8"/>
    <n v="1540"/>
    <n v="27.8"/>
    <n v="8895.0400000000009"/>
    <s v="Completed"/>
    <s v="Chennai"/>
    <x v="1"/>
    <x v="5"/>
    <x v="2"/>
    <n v="647"/>
    <n v="1540"/>
  </r>
  <r>
    <s v="ORD-00383"/>
    <x v="157"/>
    <s v="CUST-0209"/>
    <s v="PROD-024"/>
    <s v="R024"/>
    <n v="1"/>
    <n v="2270"/>
    <n v="6.5"/>
    <n v="2122.4499999999998"/>
    <s v="Pending"/>
    <s v="Pune"/>
    <x v="0"/>
    <x v="2"/>
    <x v="2"/>
    <n v="1203"/>
    <n v="2270"/>
  </r>
  <r>
    <s v="ORD-00384"/>
    <x v="240"/>
    <s v="CUST-0094"/>
    <s v="PROD-019"/>
    <s v="R028"/>
    <n v="6"/>
    <n v="2480"/>
    <n v="25.9"/>
    <n v="11026.08"/>
    <s v="Completed"/>
    <s v="Pune"/>
    <x v="0"/>
    <x v="0"/>
    <x v="2"/>
    <n v="1173"/>
    <n v="2480"/>
  </r>
  <r>
    <s v="ORD-00385"/>
    <x v="170"/>
    <s v="CUST-0248"/>
    <s v="PROD-018"/>
    <s v="R019"/>
    <n v="3"/>
    <n v="3560"/>
    <n v="0.4"/>
    <n v="10637.28"/>
    <s v="Refunded"/>
    <s v="Chennai"/>
    <x v="1"/>
    <x v="0"/>
    <x v="3"/>
    <n v="2629"/>
    <n v="3560"/>
  </r>
  <r>
    <s v="ORD-00386"/>
    <x v="124"/>
    <s v="CUST-0297"/>
    <s v="PROD-008"/>
    <s v="R006"/>
    <n v="4"/>
    <n v="2660"/>
    <n v="19.7"/>
    <n v="8543.92"/>
    <s v="Cancelled"/>
    <s v="Hyderabad"/>
    <x v="5"/>
    <x v="4"/>
    <x v="0"/>
    <n v="1259"/>
    <n v="2660"/>
  </r>
  <r>
    <s v="ORD-00387"/>
    <x v="194"/>
    <s v="CUST-0107"/>
    <s v="PROD-009"/>
    <s v="R013"/>
    <n v="10"/>
    <n v="1220"/>
    <n v="10.1"/>
    <n v="10967.8"/>
    <s v="Cancelled"/>
    <s v="Pune"/>
    <x v="0"/>
    <x v="4"/>
    <x v="1"/>
    <n v="517"/>
    <n v="1220"/>
  </r>
  <r>
    <s v="ORD-00388"/>
    <x v="241"/>
    <s v="CUST-0247"/>
    <s v="PROD-002"/>
    <s v="R014"/>
    <n v="8"/>
    <n v="2600"/>
    <n v="26.7"/>
    <n v="15246.4"/>
    <s v="Completed"/>
    <s v="Pune"/>
    <x v="0"/>
    <x v="4"/>
    <x v="1"/>
    <n v="1052"/>
    <n v="2600"/>
  </r>
  <r>
    <s v="ORD-00389"/>
    <x v="242"/>
    <s v="CUST-0047"/>
    <s v="PROD-011"/>
    <s v="R020"/>
    <n v="10"/>
    <n v="3450"/>
    <n v="20.399999999999999"/>
    <n v="27462"/>
    <s v="Completed"/>
    <s v="Pune"/>
    <x v="0"/>
    <x v="0"/>
    <x v="3"/>
    <n v="1748"/>
    <n v="3450"/>
  </r>
  <r>
    <s v="ORD-00390"/>
    <x v="242"/>
    <s v="CUST-0118"/>
    <s v="PROD-056"/>
    <s v="R019"/>
    <n v="1"/>
    <n v="6940"/>
    <n v="9.6999999999999993"/>
    <n v="6266.82"/>
    <s v="Completed"/>
    <s v="Hyderabad"/>
    <x v="5"/>
    <x v="1"/>
    <x v="3"/>
    <n v="2827"/>
    <n v="6940"/>
  </r>
  <r>
    <s v="ORD-00391"/>
    <x v="243"/>
    <s v="CUST-0019"/>
    <s v="PROD-043"/>
    <s v="R006"/>
    <n v="10"/>
    <n v="3350"/>
    <n v="3.2"/>
    <n v="32428"/>
    <s v="Completed"/>
    <s v="Chennai"/>
    <x v="1"/>
    <x v="5"/>
    <x v="0"/>
    <n v="1728"/>
    <n v="3350"/>
  </r>
  <r>
    <s v="ORD-00392"/>
    <x v="244"/>
    <s v="CUST-0290"/>
    <s v="PROD-041"/>
    <s v="R026"/>
    <n v="7"/>
    <n v="1540"/>
    <n v="0.5"/>
    <n v="10726.1"/>
    <s v="Completed"/>
    <s v="Delhi"/>
    <x v="2"/>
    <x v="5"/>
    <x v="2"/>
    <n v="647"/>
    <n v="1540"/>
  </r>
  <r>
    <s v="ORD-00393"/>
    <x v="219"/>
    <s v="CUST-9557"/>
    <s v="PROD-014"/>
    <s v="R026"/>
    <n v="10"/>
    <n v="3620"/>
    <n v="22"/>
    <n v="28236"/>
    <s v="Completed"/>
    <s v="Pune"/>
    <x v="0"/>
    <x v="0"/>
    <x v="2"/>
    <n v="2509"/>
    <n v="3620"/>
  </r>
  <r>
    <s v="ORD-00394"/>
    <x v="98"/>
    <s v="CUST-0291"/>
    <s v="PROD-053"/>
    <s v="R026"/>
    <n v="2"/>
    <n v="470"/>
    <n v="26.5"/>
    <n v="690.9"/>
    <s v="Pending"/>
    <s v="Pune"/>
    <x v="0"/>
    <x v="1"/>
    <x v="2"/>
    <n v="302"/>
    <n v="470"/>
  </r>
  <r>
    <s v="ORD-00395"/>
    <x v="46"/>
    <s v="CUST-0045"/>
    <s v="PROD-028"/>
    <s v="R010"/>
    <n v="6"/>
    <n v="3660"/>
    <n v="1.5"/>
    <n v="21630.6"/>
    <s v="Completed"/>
    <s v="Chennai"/>
    <x v="1"/>
    <x v="2"/>
    <x v="1"/>
    <n v="2214"/>
    <n v="3660"/>
  </r>
  <r>
    <s v="ORD-00396"/>
    <x v="39"/>
    <s v="CUST-0281"/>
    <s v="PROD-056"/>
    <s v="R017"/>
    <n v="10"/>
    <n v="6940"/>
    <n v="1.9"/>
    <n v="68081.399999999994"/>
    <s v="Completed"/>
    <s v="Bengaluru"/>
    <x v="4"/>
    <x v="1"/>
    <x v="3"/>
    <n v="2827"/>
    <n v="6940"/>
  </r>
  <r>
    <s v="ORD-00397"/>
    <x v="245"/>
    <s v="CUST-0073"/>
    <s v="PROD-042"/>
    <s v="R005"/>
    <n v="8"/>
    <n v="2290"/>
    <n v="27.9"/>
    <n v="13208.72"/>
    <s v="Completed"/>
    <s v="Pune"/>
    <x v="0"/>
    <x v="5"/>
    <x v="0"/>
    <n v="1219"/>
    <n v="2290"/>
  </r>
  <r>
    <s v="ORD-00398"/>
    <x v="52"/>
    <s v="CUST-0043"/>
    <s v="PROD-012"/>
    <s v="R024"/>
    <n v="9"/>
    <n v="3160"/>
    <n v="10.199999999999999"/>
    <n v="25539.119999999999"/>
    <s v="Completed"/>
    <s v="Hyderabad"/>
    <x v="5"/>
    <x v="0"/>
    <x v="2"/>
    <n v="1886"/>
    <n v="3160"/>
  </r>
  <r>
    <s v="ORD-00399"/>
    <x v="246"/>
    <s v="CUST-0154"/>
    <s v="PROD-034"/>
    <s v="R028"/>
    <n v="6"/>
    <n v="5080"/>
    <n v="25.4"/>
    <n v="22738.080000000002"/>
    <s v="Completed"/>
    <s v="Pune"/>
    <x v="0"/>
    <x v="3"/>
    <x v="2"/>
    <n v="2459"/>
    <n v="5080"/>
  </r>
  <r>
    <s v="ORD-00400"/>
    <x v="247"/>
    <s v="CUST-0061"/>
    <s v="PROD-021"/>
    <s v="R012"/>
    <n v="6"/>
    <n v="2760"/>
    <n v="21.3"/>
    <n v="13032.72"/>
    <s v="Completed"/>
    <s v="Hyderabad"/>
    <x v="5"/>
    <x v="2"/>
    <x v="1"/>
    <n v="1435"/>
    <n v="2760"/>
  </r>
  <r>
    <s v="ORD-00401"/>
    <x v="32"/>
    <s v="CUST-9654"/>
    <s v="PROD-009"/>
    <s v="R012"/>
    <n v="5"/>
    <n v="1220"/>
    <n v="7.6"/>
    <n v="5636.4"/>
    <s v="Completed"/>
    <s v="Mumbai"/>
    <x v="3"/>
    <x v="4"/>
    <x v="1"/>
    <n v="517"/>
    <n v="1220"/>
  </r>
  <r>
    <s v="ORD-00402"/>
    <x v="81"/>
    <s v="CUST-0189"/>
    <s v="PROD-046"/>
    <s v="R028"/>
    <n v="5"/>
    <n v="4880"/>
    <n v="8.5"/>
    <n v="22326"/>
    <s v="Completed"/>
    <s v="Chennai"/>
    <x v="1"/>
    <x v="5"/>
    <x v="2"/>
    <n v="2768"/>
    <n v="4880"/>
  </r>
  <r>
    <s v="ORD-00403"/>
    <x v="102"/>
    <s v="CUST-0152"/>
    <s v="PROD-026"/>
    <s v="R022"/>
    <n v="7"/>
    <n v="4070"/>
    <n v="28"/>
    <n v="20512.8"/>
    <s v="Completed"/>
    <s v="Bengaluru"/>
    <x v="4"/>
    <x v="2"/>
    <x v="3"/>
    <n v="2027"/>
    <n v="4070"/>
  </r>
  <r>
    <s v="ORD-00404"/>
    <x v="47"/>
    <s v="CUST-0284"/>
    <s v="PROD-006"/>
    <s v="R028"/>
    <n v="2"/>
    <n v="3970"/>
    <n v="14"/>
    <n v="6828.4"/>
    <s v="Completed"/>
    <s v="Hyderabad"/>
    <x v="5"/>
    <x v="4"/>
    <x v="2"/>
    <n v="2865"/>
    <n v="3970"/>
  </r>
  <r>
    <s v="ORD-00405"/>
    <x v="134"/>
    <s v="CUST-0175"/>
    <s v="PROD-008"/>
    <s v="R018"/>
    <n v="9"/>
    <n v="2660"/>
    <n v="10.1"/>
    <n v="21522.06"/>
    <s v="Completed"/>
    <s v="Delhi"/>
    <x v="2"/>
    <x v="4"/>
    <x v="3"/>
    <n v="1259"/>
    <n v="2660"/>
  </r>
  <r>
    <s v="ORD-00406"/>
    <x v="192"/>
    <s v="CUST-0093"/>
    <s v="PROD-055"/>
    <s v="R022"/>
    <n v="9"/>
    <n v="2860"/>
    <n v="10.1"/>
    <n v="23140.26"/>
    <s v="Refunded"/>
    <s v="Pune"/>
    <x v="0"/>
    <x v="1"/>
    <x v="3"/>
    <n v="2028"/>
    <n v="2860"/>
  </r>
  <r>
    <s v="ORD-00407"/>
    <x v="157"/>
    <s v="CUST-0033"/>
    <s v="PROD-009"/>
    <s v="R007"/>
    <n v="7"/>
    <n v="1220"/>
    <n v="23.5"/>
    <n v="6533.1"/>
    <s v="Refunded"/>
    <s v="Delhi"/>
    <x v="2"/>
    <x v="4"/>
    <x v="0"/>
    <n v="517"/>
    <n v="1220"/>
  </r>
  <r>
    <s v="ORD-00408"/>
    <x v="241"/>
    <s v="CUST-0294"/>
    <s v="PROD-022"/>
    <s v="R026"/>
    <n v="1"/>
    <n v="2270"/>
    <n v="5.8"/>
    <n v="2138.34"/>
    <s v="Cancelled"/>
    <s v="Delhi"/>
    <x v="2"/>
    <x v="2"/>
    <x v="2"/>
    <n v="1412"/>
    <n v="2270"/>
  </r>
  <r>
    <s v="ORD-00409"/>
    <x v="248"/>
    <s v="CUST-0115"/>
    <s v="PROD-037"/>
    <s v="R002"/>
    <n v="2"/>
    <n v="660"/>
    <n v="2.2999999999999998"/>
    <n v="1289.6400000000001"/>
    <s v="Completed"/>
    <s v="Mumbai"/>
    <x v="3"/>
    <x v="3"/>
    <x v="0"/>
    <n v="329"/>
    <n v="660"/>
  </r>
  <r>
    <s v="ORD-00410"/>
    <x v="236"/>
    <s v="CUST-0219"/>
    <s v="PROD-012"/>
    <s v="R014"/>
    <n v="1"/>
    <n v="3160"/>
    <n v="5.6"/>
    <n v="2983.04"/>
    <s v="Completed"/>
    <s v="Chennai"/>
    <x v="1"/>
    <x v="0"/>
    <x v="1"/>
    <n v="1886"/>
    <n v="3160"/>
  </r>
  <r>
    <s v="ORD-00411"/>
    <x v="199"/>
    <s v="CUST-0180"/>
    <s v="PROD-002"/>
    <s v="R013"/>
    <n v="1"/>
    <n v="2600"/>
    <n v="1"/>
    <n v="2574"/>
    <s v="Completed"/>
    <s v="Chennai"/>
    <x v="1"/>
    <x v="4"/>
    <x v="1"/>
    <n v="1052"/>
    <n v="2600"/>
  </r>
  <r>
    <s v="ORD-00412"/>
    <x v="50"/>
    <s v="CUST-0148"/>
    <s v="PROD-039"/>
    <s v="R014"/>
    <n v="4"/>
    <n v="4610"/>
    <n v="18.7"/>
    <n v="14991.72"/>
    <s v="Completed"/>
    <s v="Chennai"/>
    <x v="1"/>
    <x v="3"/>
    <x v="1"/>
    <n v="1850"/>
    <n v="4610"/>
  </r>
  <r>
    <s v="ORD-00413"/>
    <x v="249"/>
    <s v="CUST-0026"/>
    <s v="PROD-013"/>
    <s v="R018"/>
    <n v="3"/>
    <n v="3640"/>
    <n v="9.6999999999999993"/>
    <n v="9860.76"/>
    <s v="Cancelled"/>
    <s v="Pune"/>
    <x v="0"/>
    <x v="0"/>
    <x v="3"/>
    <n v="2611"/>
    <n v="3640"/>
  </r>
  <r>
    <s v="ORD-00414"/>
    <x v="120"/>
    <s v="CUST-0246"/>
    <s v="PROD-015"/>
    <s v="R004"/>
    <n v="6"/>
    <n v="2720"/>
    <n v="13"/>
    <n v="14198.4"/>
    <s v="Pending"/>
    <s v="Delhi"/>
    <x v="2"/>
    <x v="0"/>
    <x v="0"/>
    <n v="1962"/>
    <n v="2720"/>
  </r>
  <r>
    <s v="ORD-00415"/>
    <x v="128"/>
    <s v="CUST-0125"/>
    <s v="PROD-059"/>
    <s v="R008"/>
    <n v="5"/>
    <n v="3780"/>
    <n v="15.2"/>
    <n v="16027.2"/>
    <s v="Completed"/>
    <s v="Delhi"/>
    <x v="2"/>
    <x v="1"/>
    <x v="0"/>
    <n v="1860"/>
    <n v="3780"/>
  </r>
  <r>
    <s v="ORD-00416"/>
    <x v="192"/>
    <s v="CUST-0190"/>
    <s v="PROD-035"/>
    <s v="R030"/>
    <n v="9"/>
    <n v="1090"/>
    <n v="28.5"/>
    <n v="7014.15"/>
    <s v="Completed"/>
    <s v="Hyderabad"/>
    <x v="5"/>
    <x v="3"/>
    <x v="2"/>
    <n v="464"/>
    <n v="1090"/>
  </r>
  <r>
    <s v="ORD-00417"/>
    <x v="248"/>
    <s v="CUST-0085"/>
    <s v="PROD-035"/>
    <s v="R028"/>
    <n v="6"/>
    <n v="1090"/>
    <n v="28.7"/>
    <n v="4663.0200000000004"/>
    <s v="Completed"/>
    <s v="Chennai"/>
    <x v="1"/>
    <x v="3"/>
    <x v="2"/>
    <n v="464"/>
    <n v="1090"/>
  </r>
  <r>
    <s v="ORD-00418"/>
    <x v="250"/>
    <s v="CUST-0249"/>
    <s v="PROD-017"/>
    <s v="R030"/>
    <n v="5"/>
    <n v="2510"/>
    <n v="25"/>
    <n v="9412.5"/>
    <s v="Completed"/>
    <s v="Mumbai"/>
    <x v="3"/>
    <x v="0"/>
    <x v="2"/>
    <n v="1075"/>
    <n v="2510"/>
  </r>
  <r>
    <s v="ORD-00419"/>
    <x v="251"/>
    <s v="CUST-0012"/>
    <s v="PROD-006"/>
    <s v="R010"/>
    <n v="5"/>
    <n v="3970"/>
    <n v="26"/>
    <n v="14689"/>
    <s v="Completed"/>
    <s v="Pune"/>
    <x v="0"/>
    <x v="4"/>
    <x v="1"/>
    <n v="2865"/>
    <n v="3970"/>
  </r>
  <r>
    <s v="ORD-00420"/>
    <x v="144"/>
    <s v="CUST-0251"/>
    <s v="PROD-026"/>
    <s v="R001"/>
    <n v="9"/>
    <n v="4070"/>
    <n v="15.7"/>
    <n v="30879.09"/>
    <s v="Completed"/>
    <s v="Mumbai"/>
    <x v="3"/>
    <x v="2"/>
    <x v="0"/>
    <n v="2027"/>
    <n v="4070"/>
  </r>
  <r>
    <s v="ORD-00421"/>
    <x v="196"/>
    <s v="CUST-0088"/>
    <s v="PROD-038"/>
    <s v="R004"/>
    <n v="6"/>
    <n v="5490"/>
    <n v="8.5"/>
    <n v="30140.1"/>
    <s v="Refunded"/>
    <s v="Chennai"/>
    <x v="1"/>
    <x v="3"/>
    <x v="0"/>
    <n v="2549"/>
    <n v="5490"/>
  </r>
  <r>
    <s v="ORD-00422"/>
    <x v="70"/>
    <s v="CUST-0037"/>
    <s v="PROD-054"/>
    <s v="R022"/>
    <n v="9"/>
    <n v="1010"/>
    <n v="3.6"/>
    <n v="8762.76"/>
    <s v="Completed"/>
    <s v="Bengaluru"/>
    <x v="4"/>
    <x v="1"/>
    <x v="3"/>
    <n v="516"/>
    <n v="1010"/>
  </r>
  <r>
    <s v="ORD-00423"/>
    <x v="252"/>
    <s v="CUST-0039"/>
    <s v="PROD-028"/>
    <s v="R008"/>
    <n v="6"/>
    <n v="3660"/>
    <n v="10.8"/>
    <n v="19588.32"/>
    <s v="Completed"/>
    <s v="Bengaluru"/>
    <x v="4"/>
    <x v="2"/>
    <x v="0"/>
    <n v="2214"/>
    <n v="3660"/>
  </r>
  <r>
    <s v="ORD-00424"/>
    <x v="111"/>
    <s v="CUST-0106"/>
    <s v="PROD-047"/>
    <s v="R016"/>
    <n v="6"/>
    <n v="3450"/>
    <n v="10.7"/>
    <n v="18485.099999999999"/>
    <s v="Completed"/>
    <s v="Pune"/>
    <x v="0"/>
    <x v="5"/>
    <x v="1"/>
    <n v="2420"/>
    <n v="3450"/>
  </r>
  <r>
    <s v="ORD-00425"/>
    <x v="229"/>
    <s v="CUST-0222"/>
    <s v="PROD-026"/>
    <s v="R011"/>
    <n v="10"/>
    <n v="4070"/>
    <n v="23.4"/>
    <n v="31176.2"/>
    <s v="Refunded"/>
    <s v="Chennai"/>
    <x v="1"/>
    <x v="2"/>
    <x v="1"/>
    <n v="2027"/>
    <n v="4070"/>
  </r>
  <r>
    <s v="ORD-00426"/>
    <x v="253"/>
    <s v="CUST-0130"/>
    <s v="PROD-003"/>
    <s v="R025"/>
    <n v="9"/>
    <n v="3570"/>
    <n v="15.2"/>
    <n v="27246.240000000002"/>
    <s v="Completed"/>
    <s v="Bengaluru"/>
    <x v="4"/>
    <x v="4"/>
    <x v="2"/>
    <n v="1665"/>
    <n v="3570"/>
  </r>
  <r>
    <s v="ORD-00427"/>
    <x v="254"/>
    <s v="CUST-0281"/>
    <s v="PROD-056"/>
    <s v="R005"/>
    <n v="10"/>
    <n v="6940"/>
    <n v="21.8"/>
    <n v="54270.8"/>
    <s v="Pending"/>
    <s v="Bengaluru"/>
    <x v="4"/>
    <x v="1"/>
    <x v="0"/>
    <n v="2827"/>
    <n v="6940"/>
  </r>
  <r>
    <s v="ORD-00428"/>
    <x v="135"/>
    <s v="CUST-0094"/>
    <s v="PROD-044"/>
    <s v="R014"/>
    <n v="9"/>
    <n v="1650"/>
    <n v="24.3"/>
    <n v="11241.45"/>
    <s v="Completed"/>
    <s v="Pune"/>
    <x v="0"/>
    <x v="5"/>
    <x v="1"/>
    <n v="1222"/>
    <n v="1650"/>
  </r>
  <r>
    <s v="ORD-00429"/>
    <x v="207"/>
    <s v="CUST-0271"/>
    <s v="PROD-007"/>
    <s v="R014"/>
    <n v="10"/>
    <n v="1430"/>
    <n v="25.2"/>
    <n v="10696.4"/>
    <s v="Completed"/>
    <s v="Bengaluru"/>
    <x v="4"/>
    <x v="4"/>
    <x v="1"/>
    <n v="861"/>
    <n v="1430"/>
  </r>
  <r>
    <s v="ORD-00430"/>
    <x v="178"/>
    <s v="CUST-0110"/>
    <s v="PROD-025"/>
    <s v="R010"/>
    <n v="4"/>
    <n v="4060"/>
    <n v="1.6"/>
    <n v="15980.16"/>
    <s v="Completed"/>
    <s v="Pune"/>
    <x v="0"/>
    <x v="2"/>
    <x v="1"/>
    <n v="2911"/>
    <n v="4060"/>
  </r>
  <r>
    <s v="ORD-00431"/>
    <x v="103"/>
    <s v="CUST-0262"/>
    <s v="PROD-032"/>
    <s v="R005"/>
    <n v="9"/>
    <n v="370"/>
    <n v="17"/>
    <n v="2763.9"/>
    <s v="Completed"/>
    <s v="Mumbai"/>
    <x v="3"/>
    <x v="3"/>
    <x v="0"/>
    <n v="288"/>
    <n v="370"/>
  </r>
  <r>
    <s v="ORD-00432"/>
    <x v="94"/>
    <s v="CUST-0157"/>
    <s v="PROD-041"/>
    <s v="R010"/>
    <n v="1"/>
    <n v="1540"/>
    <n v="24"/>
    <n v="1170.4000000000001"/>
    <s v="Cancelled"/>
    <s v="Pune"/>
    <x v="0"/>
    <x v="5"/>
    <x v="1"/>
    <n v="647"/>
    <n v="1540"/>
  </r>
  <r>
    <s v="ORD-00433"/>
    <x v="143"/>
    <s v="CUST-0135"/>
    <s v="PROD-002"/>
    <s v="R025"/>
    <n v="9"/>
    <n v="2600"/>
    <n v="7.7"/>
    <n v="21598.2"/>
    <s v="Completed"/>
    <s v="Pune"/>
    <x v="0"/>
    <x v="4"/>
    <x v="2"/>
    <n v="1052"/>
    <n v="2600"/>
  </r>
  <r>
    <s v="ORD-00434"/>
    <x v="255"/>
    <s v="CUST-0136"/>
    <s v="PROD-017"/>
    <s v="R015"/>
    <n v="8"/>
    <n v="2510"/>
    <n v="3.7"/>
    <n v="19337.04"/>
    <s v="Completed"/>
    <s v="Chennai"/>
    <x v="1"/>
    <x v="0"/>
    <x v="1"/>
    <n v="1075"/>
    <n v="2510"/>
  </r>
  <r>
    <s v="ORD-00435"/>
    <x v="256"/>
    <s v="CUST-0110"/>
    <s v="PROD-001"/>
    <s v="R003"/>
    <n v="6"/>
    <n v="5330"/>
    <n v="8.4"/>
    <n v="29293.68"/>
    <s v="Completed"/>
    <s v="Pune"/>
    <x v="0"/>
    <x v="4"/>
    <x v="0"/>
    <n v="2405"/>
    <n v="5330"/>
  </r>
  <r>
    <s v="ORD-00436"/>
    <x v="190"/>
    <s v="CUST-0192"/>
    <s v="PROD-034"/>
    <s v="R014"/>
    <n v="5"/>
    <n v="5080"/>
    <n v="10.3"/>
    <n v="22783.8"/>
    <s v="Completed"/>
    <s v="Bengaluru"/>
    <x v="4"/>
    <x v="3"/>
    <x v="1"/>
    <n v="2459"/>
    <n v="5080"/>
  </r>
  <r>
    <s v="ORD-00437"/>
    <x v="257"/>
    <s v="CUST-0169"/>
    <s v="PROD-026"/>
    <s v="R025"/>
    <n v="3"/>
    <n v="4070"/>
    <n v="23.7"/>
    <n v="9316.23"/>
    <s v="Completed"/>
    <s v="Bengaluru"/>
    <x v="4"/>
    <x v="2"/>
    <x v="2"/>
    <n v="2027"/>
    <n v="4070"/>
  </r>
  <r>
    <s v="ORD-00438"/>
    <x v="187"/>
    <s v="CUST-0086"/>
    <s v="PROD-016"/>
    <s v="R013"/>
    <n v="4"/>
    <n v="620"/>
    <n v="18.8"/>
    <n v="2013.76"/>
    <s v="Completed"/>
    <s v="Hyderabad"/>
    <x v="5"/>
    <x v="0"/>
    <x v="1"/>
    <n v="396"/>
    <n v="620"/>
  </r>
  <r>
    <s v="ORD-00439"/>
    <x v="108"/>
    <s v="CUST-0217"/>
    <s v="PROD-010"/>
    <s v="R017"/>
    <n v="10"/>
    <n v="2640"/>
    <n v="12.7"/>
    <n v="23047.200000000001"/>
    <s v="Completed"/>
    <s v="Pune"/>
    <x v="0"/>
    <x v="4"/>
    <x v="3"/>
    <n v="1149"/>
    <n v="2640"/>
  </r>
  <r>
    <s v="ORD-00440"/>
    <x v="179"/>
    <s v="CUST-0119"/>
    <s v="PROD-026"/>
    <s v="R030"/>
    <n v="2"/>
    <n v="4070"/>
    <n v="29"/>
    <n v="5779.4"/>
    <s v="Completed"/>
    <s v="Bengaluru"/>
    <x v="4"/>
    <x v="2"/>
    <x v="2"/>
    <n v="2027"/>
    <n v="4070"/>
  </r>
  <r>
    <s v="ORD-00441"/>
    <x v="230"/>
    <s v="CUST-0011"/>
    <s v="PROD-054"/>
    <s v="R007"/>
    <n v="8"/>
    <n v="1010"/>
    <n v="25.4"/>
    <n v="6027.68"/>
    <s v="Completed"/>
    <s v="Chennai"/>
    <x v="1"/>
    <x v="1"/>
    <x v="0"/>
    <n v="516"/>
    <n v="1010"/>
  </r>
  <r>
    <s v="ORD-00442"/>
    <x v="98"/>
    <s v="CUST-0059"/>
    <s v="PROD-036"/>
    <s v="R005"/>
    <n v="8"/>
    <n v="3250"/>
    <n v="5.4"/>
    <n v="24596"/>
    <s v="Completed"/>
    <s v="Pune"/>
    <x v="0"/>
    <x v="3"/>
    <x v="0"/>
    <n v="1556"/>
    <n v="3250"/>
  </r>
  <r>
    <s v="ORD-00443"/>
    <x v="151"/>
    <s v="CUST-0210"/>
    <s v="PROD-007"/>
    <s v="R009"/>
    <n v="7"/>
    <n v="1430"/>
    <n v="19.3"/>
    <n v="8078.07"/>
    <s v="Completed"/>
    <s v="Pune"/>
    <x v="0"/>
    <x v="4"/>
    <x v="1"/>
    <n v="861"/>
    <n v="1430"/>
  </r>
  <r>
    <s v="ORD-00444"/>
    <x v="100"/>
    <s v="CUST-0145"/>
    <s v="PROD-045"/>
    <s v="R018"/>
    <n v="9"/>
    <n v="3020"/>
    <n v="15"/>
    <n v="23103"/>
    <s v="Completed"/>
    <s v="Bengaluru"/>
    <x v="4"/>
    <x v="5"/>
    <x v="3"/>
    <n v="1626"/>
    <n v="3020"/>
  </r>
  <r>
    <s v="ORD-00445"/>
    <x v="258"/>
    <s v="CUST-9626"/>
    <s v="PROD-008"/>
    <s v="R002"/>
    <n v="2"/>
    <n v="2660"/>
    <n v="21.4"/>
    <n v="4181.5200000000004"/>
    <s v="Completed"/>
    <s v="Chennai"/>
    <x v="1"/>
    <x v="4"/>
    <x v="0"/>
    <n v="1259"/>
    <n v="2660"/>
  </r>
  <r>
    <s v="ORD-00446"/>
    <x v="156"/>
    <s v="CUST-0250"/>
    <s v="PROD-003"/>
    <s v="R019"/>
    <n v="10"/>
    <n v="3570"/>
    <n v="20.3"/>
    <n v="28452.9"/>
    <s v="Completed"/>
    <s v="Delhi"/>
    <x v="2"/>
    <x v="4"/>
    <x v="3"/>
    <n v="1665"/>
    <n v="3570"/>
  </r>
  <r>
    <s v="ORD-00447"/>
    <x v="259"/>
    <s v="CUST-0241"/>
    <s v="PROD-043"/>
    <s v="R010"/>
    <n v="4"/>
    <n v="3350"/>
    <n v="28.1"/>
    <n v="9634.6"/>
    <s v="Completed"/>
    <s v="Pune"/>
    <x v="0"/>
    <x v="5"/>
    <x v="1"/>
    <n v="1728"/>
    <n v="3350"/>
  </r>
  <r>
    <s v="ORD-00448"/>
    <x v="260"/>
    <s v="CUST-0071"/>
    <s v="PROD-019"/>
    <s v="R021"/>
    <n v="1"/>
    <n v="2480"/>
    <n v="13.5"/>
    <n v="2145.1999999999998"/>
    <s v="Completed"/>
    <s v="Delhi"/>
    <x v="2"/>
    <x v="0"/>
    <x v="3"/>
    <n v="1173"/>
    <n v="2480"/>
  </r>
  <r>
    <s v="ORD-00449"/>
    <x v="51"/>
    <s v="CUST-0017"/>
    <s v="PROD-052"/>
    <s v="R015"/>
    <n v="10"/>
    <n v="5410"/>
    <n v="26.1"/>
    <n v="39979.9"/>
    <s v="Completed"/>
    <s v="Delhi"/>
    <x v="2"/>
    <x v="1"/>
    <x v="1"/>
    <n v="2265"/>
    <n v="5410"/>
  </r>
  <r>
    <s v="ORD-00450"/>
    <x v="261"/>
    <s v="CUST-0007"/>
    <s v="PROD-037"/>
    <s v="R023"/>
    <n v="2"/>
    <n v="660"/>
    <n v="5"/>
    <n v="1254"/>
    <s v="Completed"/>
    <s v="Bengaluru"/>
    <x v="4"/>
    <x v="3"/>
    <x v="3"/>
    <n v="329"/>
    <n v="660"/>
  </r>
  <r>
    <s v="ORD-00451"/>
    <x v="262"/>
    <s v="CUST-0054"/>
    <s v="PROD-054"/>
    <s v="R007"/>
    <n v="10"/>
    <n v="1010"/>
    <n v="10"/>
    <n v="9090"/>
    <s v="Completed"/>
    <s v="Mumbai"/>
    <x v="3"/>
    <x v="1"/>
    <x v="0"/>
    <n v="516"/>
    <n v="1010"/>
  </r>
  <r>
    <s v="ORD-00452"/>
    <x v="263"/>
    <s v="CUST-0038"/>
    <s v="PROD-042"/>
    <s v="R001"/>
    <n v="3"/>
    <n v="2290"/>
    <n v="8.9"/>
    <n v="6258.57"/>
    <s v="Completed"/>
    <s v="Mumbai"/>
    <x v="3"/>
    <x v="5"/>
    <x v="0"/>
    <n v="1219"/>
    <n v="2290"/>
  </r>
  <r>
    <s v="ORD-00453"/>
    <x v="264"/>
    <s v="CUST-0066"/>
    <s v="PROD-047"/>
    <s v="R001"/>
    <n v="9"/>
    <n v="3450"/>
    <n v="24.3"/>
    <n v="23504.85"/>
    <s v="Completed"/>
    <s v="Delhi"/>
    <x v="2"/>
    <x v="5"/>
    <x v="0"/>
    <n v="2420"/>
    <n v="3450"/>
  </r>
  <r>
    <s v="ORD-00454"/>
    <x v="44"/>
    <s v="CUST-0161"/>
    <s v="PROD-013"/>
    <s v="R003"/>
    <n v="10"/>
    <n v="3640"/>
    <n v="21.4"/>
    <n v="28610.400000000001"/>
    <s v="Cancelled"/>
    <s v="Chennai"/>
    <x v="1"/>
    <x v="0"/>
    <x v="0"/>
    <n v="2611"/>
    <n v="3640"/>
  </r>
  <r>
    <s v="ORD-00455"/>
    <x v="260"/>
    <s v="CUST-0072"/>
    <s v="PROD-023"/>
    <s v="R015"/>
    <n v="5"/>
    <n v="2380"/>
    <n v="12.2"/>
    <n v="10448.200000000001"/>
    <s v="Completed"/>
    <s v="Mumbai"/>
    <x v="3"/>
    <x v="2"/>
    <x v="1"/>
    <n v="1182"/>
    <n v="2380"/>
  </r>
  <r>
    <s v="ORD-00456"/>
    <x v="265"/>
    <s v="CUST-0232"/>
    <s v="PROD-052"/>
    <s v="R017"/>
    <n v="10"/>
    <n v="5410"/>
    <n v="29.8"/>
    <n v="37978.199999999997"/>
    <s v="Completed"/>
    <s v="Hyderabad"/>
    <x v="5"/>
    <x v="1"/>
    <x v="3"/>
    <n v="2265"/>
    <n v="5410"/>
  </r>
  <r>
    <s v="ORD-00457"/>
    <x v="67"/>
    <s v="CUST-0054"/>
    <s v="PROD-044"/>
    <s v="R021"/>
    <n v="3"/>
    <n v="1650"/>
    <n v="9.4"/>
    <n v="4484.7"/>
    <s v="Cancelled"/>
    <s v="Mumbai"/>
    <x v="3"/>
    <x v="5"/>
    <x v="3"/>
    <n v="1222"/>
    <n v="1650"/>
  </r>
  <r>
    <s v="ORD-00458"/>
    <x v="266"/>
    <s v="CUST-0214"/>
    <s v="PROD-002"/>
    <s v="R022"/>
    <n v="7"/>
    <n v="2600"/>
    <n v="19.899999999999999"/>
    <n v="14578.2"/>
    <s v="Pending"/>
    <s v="Mumbai"/>
    <x v="3"/>
    <x v="4"/>
    <x v="3"/>
    <n v="1052"/>
    <n v="2600"/>
  </r>
  <r>
    <s v="ORD-00135"/>
    <x v="267"/>
    <s v="CUST-0236"/>
    <s v="PROD-039"/>
    <s v="R002"/>
    <n v="4"/>
    <n v="4610"/>
    <n v="13.2"/>
    <n v="16005.92"/>
    <s v="Completed"/>
    <s v="Hyderabad"/>
    <x v="5"/>
    <x v="3"/>
    <x v="0"/>
    <n v="1850"/>
    <n v="4610"/>
  </r>
  <r>
    <s v="ORD-00460"/>
    <x v="268"/>
    <s v="CUST-0031"/>
    <s v="PROD-039"/>
    <s v="R021"/>
    <n v="9"/>
    <n v="4610"/>
    <n v="25.8"/>
    <n v="30785.58"/>
    <s v="Completed"/>
    <s v="Hyderabad"/>
    <x v="5"/>
    <x v="3"/>
    <x v="3"/>
    <n v="1850"/>
    <n v="4610"/>
  </r>
  <r>
    <s v="ORD-00461"/>
    <x v="269"/>
    <s v="CUST-0123"/>
    <s v="PROD-005"/>
    <s v="R014"/>
    <n v="5"/>
    <n v="300"/>
    <n v="11.8"/>
    <n v="1323"/>
    <s v="Completed"/>
    <s v="Chennai"/>
    <x v="1"/>
    <x v="4"/>
    <x v="1"/>
    <n v="128"/>
    <n v="300"/>
  </r>
  <r>
    <s v="ORD-00462"/>
    <x v="270"/>
    <s v="CUST-0019"/>
    <s v="PROD-011"/>
    <s v="R020"/>
    <n v="3"/>
    <n v="3450"/>
    <n v="14.2"/>
    <n v="8880.2999999999993"/>
    <s v="Completed"/>
    <s v="Chennai"/>
    <x v="1"/>
    <x v="0"/>
    <x v="3"/>
    <n v="1748"/>
    <n v="3450"/>
  </r>
  <r>
    <s v="ORD-00463"/>
    <x v="271"/>
    <s v="CUST-0171"/>
    <s v="PROD-015"/>
    <s v="R028"/>
    <n v="2"/>
    <n v="2720"/>
    <n v="14.6"/>
    <n v="4645.76"/>
    <s v="Cancelled"/>
    <s v="Chennai"/>
    <x v="1"/>
    <x v="0"/>
    <x v="2"/>
    <n v="1962"/>
    <n v="2720"/>
  </r>
  <r>
    <s v="ORD-00464"/>
    <x v="17"/>
    <s v="CUST-0166"/>
    <s v="PROD-008"/>
    <s v="R017"/>
    <n v="7"/>
    <n v="2660"/>
    <n v="27.4"/>
    <n v="13518.12"/>
    <s v="Cancelled"/>
    <s v="Hyderabad"/>
    <x v="5"/>
    <x v="4"/>
    <x v="3"/>
    <n v="1259"/>
    <n v="2660"/>
  </r>
  <r>
    <s v="ORD-00465"/>
    <x v="272"/>
    <s v="CUST-0151"/>
    <s v="PROD-051"/>
    <s v="R005"/>
    <n v="8"/>
    <n v="3450"/>
    <n v="20.399999999999999"/>
    <n v="21969.599999999999"/>
    <s v="Completed"/>
    <s v="Mumbai"/>
    <x v="3"/>
    <x v="1"/>
    <x v="0"/>
    <n v="2467"/>
    <n v="3450"/>
  </r>
  <r>
    <s v="ORD-00466"/>
    <x v="273"/>
    <s v="CUST-0027"/>
    <s v="PROD-052"/>
    <s v="R016"/>
    <n v="2"/>
    <n v="5410"/>
    <n v="7.2"/>
    <n v="10040.959999999999"/>
    <s v="Completed"/>
    <s v="Hyderabad"/>
    <x v="5"/>
    <x v="1"/>
    <x v="1"/>
    <n v="2265"/>
    <n v="5410"/>
  </r>
  <r>
    <s v="ORD-00467"/>
    <x v="162"/>
    <s v="CUST-0171"/>
    <s v="PROD-004"/>
    <s v="R013"/>
    <n v="3"/>
    <n v="3870"/>
    <n v="4.2"/>
    <n v="11122.38"/>
    <s v="Completed"/>
    <s v="Chennai"/>
    <x v="1"/>
    <x v="4"/>
    <x v="1"/>
    <n v="1559"/>
    <n v="3870"/>
  </r>
  <r>
    <s v="ORD-00468"/>
    <x v="60"/>
    <s v="CUST-0094"/>
    <s v="PROD-024"/>
    <s v="R005"/>
    <n v="10"/>
    <n v="2270"/>
    <n v="17.3"/>
    <n v="18772.900000000001"/>
    <s v="Completed"/>
    <s v="Pune"/>
    <x v="0"/>
    <x v="2"/>
    <x v="0"/>
    <n v="1203"/>
    <n v="2270"/>
  </r>
  <r>
    <s v="ORD-00469"/>
    <x v="18"/>
    <s v="CUST-0223"/>
    <s v="PROD-001"/>
    <s v="R025"/>
    <n v="1"/>
    <n v="5330"/>
    <n v="24.2"/>
    <n v="4040.14"/>
    <s v="Completed"/>
    <s v="Bengaluru"/>
    <x v="4"/>
    <x v="4"/>
    <x v="2"/>
    <n v="2405"/>
    <n v="5330"/>
  </r>
  <r>
    <s v="ORD-00470"/>
    <x v="85"/>
    <s v="CUST-0281"/>
    <s v="PROD-043"/>
    <s v="R015"/>
    <n v="2"/>
    <n v="3350"/>
    <n v="23.4"/>
    <n v="5132.2"/>
    <s v="Completed"/>
    <s v="Bengaluru"/>
    <x v="4"/>
    <x v="5"/>
    <x v="1"/>
    <n v="1728"/>
    <n v="3350"/>
  </r>
  <r>
    <s v="ORD-00471"/>
    <x v="274"/>
    <s v="CUST-0148"/>
    <s v="PROD-045"/>
    <s v="R006"/>
    <n v="7"/>
    <n v="3020"/>
    <n v="23.7"/>
    <n v="16129.82"/>
    <s v="Completed"/>
    <s v="Chennai"/>
    <x v="1"/>
    <x v="5"/>
    <x v="0"/>
    <n v="1626"/>
    <n v="3020"/>
  </r>
  <r>
    <s v="ORD-00472"/>
    <x v="275"/>
    <s v="CUST-0010"/>
    <s v="PROD-012"/>
    <s v="R020"/>
    <n v="7"/>
    <n v="3160"/>
    <n v="22.8"/>
    <n v="17076.64"/>
    <s v="Completed"/>
    <s v="Mumbai"/>
    <x v="3"/>
    <x v="0"/>
    <x v="3"/>
    <n v="1886"/>
    <n v="3160"/>
  </r>
  <r>
    <s v="ORD-00473"/>
    <x v="110"/>
    <s v="CUST-0254"/>
    <s v="PROD-053"/>
    <s v="R020"/>
    <n v="2"/>
    <n v="470"/>
    <n v="28.8"/>
    <n v="669.28"/>
    <s v="Cancelled"/>
    <s v="Bengaluru"/>
    <x v="4"/>
    <x v="1"/>
    <x v="3"/>
    <n v="302"/>
    <n v="470"/>
  </r>
  <r>
    <s v="ORD-00474"/>
    <x v="253"/>
    <s v="CUST-0126"/>
    <s v="PROD-036"/>
    <s v="R021"/>
    <n v="2"/>
    <n v="3250"/>
    <n v="24.7"/>
    <n v="4894.5"/>
    <s v="Completed"/>
    <s v="Mumbai"/>
    <x v="3"/>
    <x v="3"/>
    <x v="3"/>
    <n v="1556"/>
    <n v="3250"/>
  </r>
  <r>
    <s v="ORD-00475"/>
    <x v="252"/>
    <s v="CUST-0018"/>
    <s v="PROD-054"/>
    <s v="R023"/>
    <n v="2"/>
    <n v="1010"/>
    <n v="5.2"/>
    <n v="1914.96"/>
    <s v="Cancelled"/>
    <s v="Pune"/>
    <x v="0"/>
    <x v="1"/>
    <x v="3"/>
    <n v="516"/>
    <n v="1010"/>
  </r>
  <r>
    <s v="ORD-00476"/>
    <x v="276"/>
    <s v="CUST-0089"/>
    <s v="PROD-005"/>
    <s v="R001"/>
    <n v="9"/>
    <n v="300"/>
    <n v="7.9"/>
    <n v="2486.6999999999998"/>
    <s v="Completed"/>
    <s v="Mumbai"/>
    <x v="3"/>
    <x v="4"/>
    <x v="0"/>
    <n v="128"/>
    <n v="300"/>
  </r>
  <r>
    <s v="ORD-00477"/>
    <x v="277"/>
    <s v="CUST-0157"/>
    <s v="PROD-048"/>
    <s v="R006"/>
    <n v="10"/>
    <n v="5100"/>
    <n v="26.3"/>
    <n v="37587"/>
    <s v="Pending"/>
    <s v="Pune"/>
    <x v="0"/>
    <x v="5"/>
    <x v="0"/>
    <n v="2237"/>
    <n v="5100"/>
  </r>
  <r>
    <s v="ORD-00478"/>
    <x v="278"/>
    <s v="CUST-0201"/>
    <s v="PROD-043"/>
    <s v="R028"/>
    <n v="1"/>
    <n v="3350"/>
    <n v="8.5"/>
    <n v="3065.25"/>
    <s v="Cancelled"/>
    <s v="Hyderabad"/>
    <x v="5"/>
    <x v="5"/>
    <x v="2"/>
    <n v="1728"/>
    <n v="3350"/>
  </r>
  <r>
    <s v="ORD-01195"/>
    <x v="211"/>
    <s v="CUST-0091"/>
    <s v="PROD-036"/>
    <s v="R022"/>
    <n v="2"/>
    <n v="3250"/>
    <n v="25.7"/>
    <n v="4829.5"/>
    <s v="Refunded"/>
    <s v="Delhi"/>
    <x v="2"/>
    <x v="3"/>
    <x v="3"/>
    <n v="1556"/>
    <n v="3250"/>
  </r>
  <r>
    <s v="ORD-00480"/>
    <x v="279"/>
    <s v="CUST-0052"/>
    <s v="PROD-028"/>
    <s v="R008"/>
    <n v="10"/>
    <n v="3660"/>
    <n v="12"/>
    <n v="32208"/>
    <s v="Completed"/>
    <s v="Pune"/>
    <x v="0"/>
    <x v="2"/>
    <x v="0"/>
    <n v="2214"/>
    <n v="3660"/>
  </r>
  <r>
    <s v="ORD-00481"/>
    <x v="126"/>
    <s v="CUST-0069"/>
    <s v="PROD-058"/>
    <s v="R009"/>
    <n v="1"/>
    <n v="2400"/>
    <n v="24.5"/>
    <n v="1812"/>
    <s v="Completed"/>
    <s v="Chennai"/>
    <x v="1"/>
    <x v="1"/>
    <x v="1"/>
    <n v="974"/>
    <n v="2400"/>
  </r>
  <r>
    <s v="ORD-00482"/>
    <x v="263"/>
    <s v="CUST-0294"/>
    <s v="PROD-035"/>
    <s v="R010"/>
    <n v="1"/>
    <n v="1090"/>
    <n v="18.399999999999999"/>
    <n v="889.44"/>
    <s v="Completed"/>
    <s v="Delhi"/>
    <x v="2"/>
    <x v="3"/>
    <x v="1"/>
    <n v="464"/>
    <n v="1090"/>
  </r>
  <r>
    <s v="ORD-00483"/>
    <x v="280"/>
    <s v="CUST-0019"/>
    <s v="PROD-059"/>
    <s v="R015"/>
    <n v="6"/>
    <n v="3780"/>
    <n v="15.9"/>
    <n v="19073.88"/>
    <s v="Completed"/>
    <s v="Chennai"/>
    <x v="1"/>
    <x v="1"/>
    <x v="1"/>
    <n v="1860"/>
    <n v="3780"/>
  </r>
  <r>
    <s v="ORD-00484"/>
    <x v="259"/>
    <s v="CUST-0087"/>
    <s v="PROD-043"/>
    <s v="R019"/>
    <n v="3"/>
    <n v="3350"/>
    <n v="18.8"/>
    <n v="8160.6"/>
    <s v="Refunded"/>
    <s v="Pune"/>
    <x v="0"/>
    <x v="5"/>
    <x v="3"/>
    <n v="1728"/>
    <n v="3350"/>
  </r>
  <r>
    <s v="ORD-00485"/>
    <x v="46"/>
    <s v="CUST-0281"/>
    <s v="PROD-040"/>
    <s v="R030"/>
    <n v="3"/>
    <n v="1080"/>
    <n v="3.4"/>
    <n v="3129.84"/>
    <s v="Completed"/>
    <s v="Bengaluru"/>
    <x v="4"/>
    <x v="3"/>
    <x v="2"/>
    <n v="519"/>
    <n v="1080"/>
  </r>
  <r>
    <s v="ORD-00486"/>
    <x v="281"/>
    <s v="CUST-0248"/>
    <s v="PROD-026"/>
    <s v="R022"/>
    <n v="6"/>
    <n v="4070"/>
    <n v="27.7"/>
    <n v="17655.66"/>
    <s v="Pending"/>
    <s v="Chennai"/>
    <x v="1"/>
    <x v="2"/>
    <x v="3"/>
    <n v="2027"/>
    <n v="4070"/>
  </r>
  <r>
    <s v="ORD-00487"/>
    <x v="282"/>
    <s v="CUST-0019"/>
    <s v="PROD-041"/>
    <s v="R026"/>
    <n v="5"/>
    <n v="1540"/>
    <n v="24.9"/>
    <n v="5782.7"/>
    <s v="Completed"/>
    <s v="Chennai"/>
    <x v="1"/>
    <x v="5"/>
    <x v="2"/>
    <n v="647"/>
    <n v="1540"/>
  </r>
  <r>
    <s v="ORD-00488"/>
    <x v="255"/>
    <s v="CUST-0092"/>
    <s v="PROD-021"/>
    <s v="R028"/>
    <n v="6"/>
    <n v="2760"/>
    <n v="29.9"/>
    <n v="11608.56"/>
    <s v="Completed"/>
    <s v="Bengaluru"/>
    <x v="4"/>
    <x v="2"/>
    <x v="2"/>
    <n v="1435"/>
    <n v="2760"/>
  </r>
  <r>
    <s v="ORD-00489"/>
    <x v="167"/>
    <s v="CUST-0195"/>
    <s v="PROD-006"/>
    <s v="R022"/>
    <n v="8"/>
    <n v="3970"/>
    <n v="23.7"/>
    <n v="24232.880000000001"/>
    <s v="Completed"/>
    <s v="Bengaluru"/>
    <x v="4"/>
    <x v="4"/>
    <x v="3"/>
    <n v="2865"/>
    <n v="3970"/>
  </r>
  <r>
    <s v="ORD-00490"/>
    <x v="254"/>
    <s v="CUST-0126"/>
    <s v="PROD-011"/>
    <s v="R021"/>
    <n v="1"/>
    <n v="3450"/>
    <n v="7.4"/>
    <n v="3194.7"/>
    <s v="Completed"/>
    <s v="Mumbai"/>
    <x v="3"/>
    <x v="0"/>
    <x v="3"/>
    <n v="1748"/>
    <n v="3450"/>
  </r>
  <r>
    <s v="ORD-00491"/>
    <x v="231"/>
    <s v="CUST-0274"/>
    <s v="PROD-018"/>
    <s v="R005"/>
    <n v="3"/>
    <n v="3560"/>
    <n v="15.2"/>
    <n v="9056.64"/>
    <s v="Completed"/>
    <s v="Bengaluru"/>
    <x v="4"/>
    <x v="0"/>
    <x v="0"/>
    <n v="2629"/>
    <n v="3560"/>
  </r>
  <r>
    <s v="ORD-00492"/>
    <x v="49"/>
    <s v="CUST-0059"/>
    <s v="PROD-003"/>
    <s v="R030"/>
    <n v="4"/>
    <n v="3570"/>
    <n v="18.899999999999999"/>
    <n v="11581.08"/>
    <s v="Completed"/>
    <s v="Pune"/>
    <x v="0"/>
    <x v="4"/>
    <x v="2"/>
    <n v="1665"/>
    <n v="3570"/>
  </r>
  <r>
    <s v="ORD-00493"/>
    <x v="22"/>
    <s v="CUST-0264"/>
    <s v="PROD-057"/>
    <s v="R025"/>
    <n v="9"/>
    <n v="960"/>
    <n v="14"/>
    <n v="7430.4"/>
    <s v="Refunded"/>
    <s v="Pune"/>
    <x v="0"/>
    <x v="1"/>
    <x v="2"/>
    <n v="705"/>
    <n v="960"/>
  </r>
  <r>
    <s v="ORD-00494"/>
    <x v="5"/>
    <s v="CUST-0157"/>
    <s v="PROD-047"/>
    <s v="R016"/>
    <n v="9"/>
    <n v="3450"/>
    <n v="6"/>
    <n v="29187"/>
    <s v="Cancelled"/>
    <s v="Pune"/>
    <x v="0"/>
    <x v="5"/>
    <x v="1"/>
    <n v="2420"/>
    <n v="3450"/>
  </r>
  <r>
    <s v="ORD-00495"/>
    <x v="136"/>
    <s v="CUST-0028"/>
    <s v="PROD-043"/>
    <s v="R012"/>
    <n v="7"/>
    <n v="3350"/>
    <n v="14"/>
    <n v="20167"/>
    <s v="Cancelled"/>
    <s v="Bengaluru"/>
    <x v="4"/>
    <x v="5"/>
    <x v="1"/>
    <n v="1728"/>
    <n v="3350"/>
  </r>
  <r>
    <s v="ORD-00496"/>
    <x v="129"/>
    <s v="CUST-0033"/>
    <s v="PROD-049"/>
    <s v="R004"/>
    <n v="6"/>
    <n v="960"/>
    <n v="10.1"/>
    <n v="5178.24"/>
    <s v="Completed"/>
    <s v="Delhi"/>
    <x v="2"/>
    <x v="5"/>
    <x v="0"/>
    <n v="675"/>
    <n v="960"/>
  </r>
  <r>
    <s v="ORD-00497"/>
    <x v="186"/>
    <s v="CUST-0280"/>
    <s v="PROD-005"/>
    <s v="R016"/>
    <n v="7"/>
    <n v="300"/>
    <n v="21.9"/>
    <n v="1640.1"/>
    <s v="Completed"/>
    <s v="Delhi"/>
    <x v="2"/>
    <x v="4"/>
    <x v="1"/>
    <n v="128"/>
    <n v="300"/>
  </r>
  <r>
    <s v="ORD-00498"/>
    <x v="44"/>
    <s v="CUST-0232"/>
    <s v="PROD-023"/>
    <s v="R019"/>
    <n v="2"/>
    <n v="2380"/>
    <n v="6.8"/>
    <n v="4436.32"/>
    <s v="Completed"/>
    <s v="Hyderabad"/>
    <x v="5"/>
    <x v="2"/>
    <x v="3"/>
    <n v="1182"/>
    <n v="2380"/>
  </r>
  <r>
    <s v="ORD-00499"/>
    <x v="129"/>
    <s v="CUST-0270"/>
    <s v="PROD-057"/>
    <s v="R024"/>
    <n v="5"/>
    <n v="960"/>
    <n v="15"/>
    <n v="4080"/>
    <s v="Cancelled"/>
    <s v="Bengaluru"/>
    <x v="4"/>
    <x v="1"/>
    <x v="2"/>
    <n v="705"/>
    <n v="960"/>
  </r>
  <r>
    <s v="ORD-00500"/>
    <x v="251"/>
    <s v="CUST-0203"/>
    <s v="PROD-059"/>
    <s v="R012"/>
    <n v="10"/>
    <n v="3780"/>
    <n v="24.1"/>
    <n v="28690.2"/>
    <s v="Refunded"/>
    <s v="Chennai"/>
    <x v="1"/>
    <x v="1"/>
    <x v="1"/>
    <n v="1860"/>
    <n v="3780"/>
  </r>
  <r>
    <s v="ORD-00501"/>
    <x v="36"/>
    <s v="CUST-0069"/>
    <s v="PROD-041"/>
    <s v="R020"/>
    <n v="4"/>
    <n v="1540"/>
    <n v="14.2"/>
    <n v="5285.28"/>
    <s v="Cancelled"/>
    <s v="Chennai"/>
    <x v="1"/>
    <x v="5"/>
    <x v="3"/>
    <n v="647"/>
    <n v="1540"/>
  </r>
  <r>
    <s v="ORD-00502"/>
    <x v="113"/>
    <s v="CUST-0037"/>
    <s v="PROD-017"/>
    <s v="R005"/>
    <n v="10"/>
    <n v="2510"/>
    <n v="20.8"/>
    <n v="19879.2"/>
    <s v="Completed"/>
    <s v="Bengaluru"/>
    <x v="4"/>
    <x v="0"/>
    <x v="0"/>
    <n v="1075"/>
    <n v="2510"/>
  </r>
  <r>
    <s v="ORD-00503"/>
    <x v="163"/>
    <s v="CUST-0149"/>
    <s v="PROD-025"/>
    <s v="R014"/>
    <n v="9"/>
    <n v="4060"/>
    <n v="27.1"/>
    <n v="26637.66"/>
    <s v="Completed"/>
    <s v="Hyderabad"/>
    <x v="5"/>
    <x v="2"/>
    <x v="1"/>
    <n v="2911"/>
    <n v="4060"/>
  </r>
  <r>
    <s v="ORD-00504"/>
    <x v="198"/>
    <s v="CUST-0131"/>
    <s v="PROD-058"/>
    <s v="R025"/>
    <n v="4"/>
    <n v="2400"/>
    <n v="19.100000000000001"/>
    <n v="7766.4"/>
    <s v="Completed"/>
    <s v="Delhi"/>
    <x v="2"/>
    <x v="1"/>
    <x v="2"/>
    <n v="974"/>
    <n v="2400"/>
  </r>
  <r>
    <s v="ORD-00505"/>
    <x v="283"/>
    <s v="CUST-0071"/>
    <s v="PROD-046"/>
    <s v="R022"/>
    <n v="8"/>
    <n v="4880"/>
    <n v="9.1999999999999993"/>
    <n v="35448.32"/>
    <s v="Cancelled"/>
    <s v="Delhi"/>
    <x v="2"/>
    <x v="5"/>
    <x v="3"/>
    <n v="2768"/>
    <n v="4880"/>
  </r>
  <r>
    <s v="ORD-00506"/>
    <x v="261"/>
    <s v="CUST-0249"/>
    <s v="PROD-048"/>
    <s v="R019"/>
    <n v="9"/>
    <n v="5100"/>
    <n v="11.1"/>
    <n v="40805.1"/>
    <s v="Cancelled"/>
    <s v="Mumbai"/>
    <x v="3"/>
    <x v="5"/>
    <x v="3"/>
    <n v="2237"/>
    <n v="5100"/>
  </r>
  <r>
    <s v="ORD-00507"/>
    <x v="161"/>
    <s v="CUST-0181"/>
    <s v="PROD-005"/>
    <s v="R028"/>
    <n v="4"/>
    <n v="300"/>
    <n v="16.7"/>
    <n v="999.6"/>
    <s v="Completed"/>
    <s v="Delhi"/>
    <x v="2"/>
    <x v="4"/>
    <x v="2"/>
    <n v="128"/>
    <n v="300"/>
  </r>
  <r>
    <s v="ORD-00508"/>
    <x v="68"/>
    <s v="CUST-0085"/>
    <s v="PROD-019"/>
    <s v="R014"/>
    <n v="6"/>
    <n v="2480"/>
    <n v="3.3"/>
    <n v="14388.96"/>
    <s v="Completed"/>
    <s v="Chennai"/>
    <x v="1"/>
    <x v="0"/>
    <x v="1"/>
    <n v="1173"/>
    <n v="2480"/>
  </r>
  <r>
    <s v="ORD-00509"/>
    <x v="28"/>
    <s v="CUST-0180"/>
    <s v="PROD-044"/>
    <s v="R023"/>
    <n v="10"/>
    <n v="1650"/>
    <n v="22.9"/>
    <n v="12721.5"/>
    <s v="Refunded"/>
    <s v="Chennai"/>
    <x v="1"/>
    <x v="5"/>
    <x v="3"/>
    <n v="1222"/>
    <n v="1650"/>
  </r>
  <r>
    <s v="ORD-00510"/>
    <x v="158"/>
    <s v="CUST-0103"/>
    <s v="PROD-029"/>
    <s v="R012"/>
    <n v="3"/>
    <n v="2210"/>
    <n v="11.1"/>
    <n v="5894.07"/>
    <s v="Completed"/>
    <s v="Hyderabad"/>
    <x v="5"/>
    <x v="2"/>
    <x v="1"/>
    <n v="1010"/>
    <n v="2210"/>
  </r>
  <r>
    <s v="ORD-00511"/>
    <x v="5"/>
    <s v="CUST-0174"/>
    <s v="PROD-019"/>
    <s v="R005"/>
    <n v="10"/>
    <n v="2480"/>
    <n v="13"/>
    <n v="21576"/>
    <s v="Pending"/>
    <s v="Pune"/>
    <x v="0"/>
    <x v="0"/>
    <x v="0"/>
    <n v="1173"/>
    <n v="2480"/>
  </r>
  <r>
    <s v="ORD-00512"/>
    <x v="98"/>
    <s v="CUST-0071"/>
    <s v="PROD-001"/>
    <s v="R023"/>
    <n v="10"/>
    <n v="5330"/>
    <n v="0.7"/>
    <n v="52926.9"/>
    <s v="Completed"/>
    <s v="Delhi"/>
    <x v="2"/>
    <x v="4"/>
    <x v="3"/>
    <n v="2405"/>
    <n v="5330"/>
  </r>
  <r>
    <s v="ORD-00513"/>
    <x v="109"/>
    <s v="CUST-0266"/>
    <s v="PROD-026"/>
    <s v="R012"/>
    <n v="9"/>
    <n v="4070"/>
    <n v="15.6"/>
    <n v="30915.72"/>
    <s v="Completed"/>
    <s v="Pune"/>
    <x v="0"/>
    <x v="2"/>
    <x v="1"/>
    <n v="2027"/>
    <n v="4070"/>
  </r>
  <r>
    <s v="ORD-00514"/>
    <x v="284"/>
    <s v="CUST-0148"/>
    <s v="PROD-015"/>
    <s v="R001"/>
    <n v="5"/>
    <n v="2720"/>
    <n v="10.3"/>
    <n v="12199.2"/>
    <s v="Cancelled"/>
    <s v="Chennai"/>
    <x v="1"/>
    <x v="0"/>
    <x v="0"/>
    <n v="1962"/>
    <n v="2720"/>
  </r>
  <r>
    <s v="ORD-00515"/>
    <x v="285"/>
    <s v="CUST-0030"/>
    <s v="PROD-055"/>
    <s v="R029"/>
    <n v="6"/>
    <n v="2860"/>
    <n v="28.9"/>
    <n v="12200.76"/>
    <s v="Completed"/>
    <s v="Bengaluru"/>
    <x v="4"/>
    <x v="1"/>
    <x v="2"/>
    <n v="2028"/>
    <n v="2860"/>
  </r>
  <r>
    <s v="ORD-00516"/>
    <x v="165"/>
    <s v="CUST-0128"/>
    <s v="PROD-014"/>
    <s v="R012"/>
    <n v="5"/>
    <n v="3620"/>
    <n v="18.2"/>
    <n v="14805.8"/>
    <s v="Completed"/>
    <s v="Hyderabad"/>
    <x v="5"/>
    <x v="0"/>
    <x v="1"/>
    <n v="2509"/>
    <n v="3620"/>
  </r>
  <r>
    <s v="ORD-00517"/>
    <x v="39"/>
    <s v="CUST-0056"/>
    <s v="PROD-044"/>
    <s v="R018"/>
    <n v="3"/>
    <n v="1650"/>
    <n v="10.7"/>
    <n v="4420.3500000000004"/>
    <s v="Completed"/>
    <s v="Bengaluru"/>
    <x v="4"/>
    <x v="5"/>
    <x v="3"/>
    <n v="1222"/>
    <n v="1650"/>
  </r>
  <r>
    <s v="ORD-00518"/>
    <x v="185"/>
    <s v="CUST-0178"/>
    <s v="PROD-060"/>
    <s v="R029"/>
    <n v="8"/>
    <n v="190"/>
    <n v="18"/>
    <n v="1246.4000000000001"/>
    <s v="Pending"/>
    <s v="Hyderabad"/>
    <x v="5"/>
    <x v="1"/>
    <x v="2"/>
    <n v="147"/>
    <n v="190"/>
  </r>
  <r>
    <s v="ORD-00519"/>
    <x v="68"/>
    <s v="CUST-0237"/>
    <s v="PROD-042"/>
    <s v="R029"/>
    <n v="7"/>
    <n v="2290"/>
    <n v="12.5"/>
    <n v="14026.25"/>
    <s v="Completed"/>
    <s v="Mumbai"/>
    <x v="3"/>
    <x v="5"/>
    <x v="2"/>
    <n v="1219"/>
    <n v="2290"/>
  </r>
  <r>
    <s v="ORD-00520"/>
    <x v="198"/>
    <s v="CUST-0143"/>
    <s v="PROD-001"/>
    <s v="R017"/>
    <n v="2"/>
    <n v="5330"/>
    <n v="26.5"/>
    <n v="7835.1"/>
    <s v="Completed"/>
    <s v="Chennai"/>
    <x v="1"/>
    <x v="4"/>
    <x v="3"/>
    <n v="2405"/>
    <n v="5330"/>
  </r>
  <r>
    <s v="ORD-00521"/>
    <x v="233"/>
    <s v="CUST-0233"/>
    <s v="PROD-001"/>
    <s v="R015"/>
    <n v="4"/>
    <n v="5330"/>
    <n v="25.6"/>
    <n v="15862.08"/>
    <s v="Completed"/>
    <s v="Mumbai"/>
    <x v="3"/>
    <x v="4"/>
    <x v="1"/>
    <n v="2405"/>
    <n v="5330"/>
  </r>
  <r>
    <s v="ORD-00522"/>
    <x v="286"/>
    <s v="CUST-0161"/>
    <s v="PROD-034"/>
    <s v="R006"/>
    <n v="4"/>
    <n v="5080"/>
    <n v="28.6"/>
    <n v="14508.48"/>
    <s v="Completed"/>
    <s v="Chennai"/>
    <x v="1"/>
    <x v="3"/>
    <x v="0"/>
    <n v="2459"/>
    <n v="5080"/>
  </r>
  <r>
    <s v="ORD-00523"/>
    <x v="40"/>
    <s v="CUST-0087"/>
    <s v="PROD-032"/>
    <s v="R002"/>
    <n v="4"/>
    <n v="370"/>
    <n v="12.6"/>
    <n v="1293.52"/>
    <s v="Pending"/>
    <s v="Pune"/>
    <x v="0"/>
    <x v="3"/>
    <x v="0"/>
    <n v="288"/>
    <n v="370"/>
  </r>
  <r>
    <s v="ORD-00524"/>
    <x v="230"/>
    <s v="CUST-0235"/>
    <s v="PROD-053"/>
    <s v="R013"/>
    <n v="9"/>
    <n v="470"/>
    <n v="3.6"/>
    <n v="4077.72"/>
    <s v="Completed"/>
    <s v="Chennai"/>
    <x v="1"/>
    <x v="1"/>
    <x v="1"/>
    <n v="302"/>
    <n v="470"/>
  </r>
  <r>
    <s v="ORD-00525"/>
    <x v="287"/>
    <s v="CUST-0183"/>
    <s v="PROD-052"/>
    <s v="R027"/>
    <n v="4"/>
    <n v="5410"/>
    <n v="11.3"/>
    <n v="19194.68"/>
    <s v="Refunded"/>
    <s v="Mumbai"/>
    <x v="3"/>
    <x v="1"/>
    <x v="2"/>
    <n v="2265"/>
    <n v="5410"/>
  </r>
  <r>
    <s v="ORD-00526"/>
    <x v="288"/>
    <s v="CUST-0199"/>
    <s v="PROD-014"/>
    <s v="R007"/>
    <n v="10"/>
    <n v="3620"/>
    <n v="2.5"/>
    <n v="35295"/>
    <s v="Completed"/>
    <s v="Hyderabad"/>
    <x v="5"/>
    <x v="0"/>
    <x v="0"/>
    <n v="2509"/>
    <n v="3620"/>
  </r>
  <r>
    <s v="ORD-00527"/>
    <x v="82"/>
    <s v="CUST-0034"/>
    <s v="PROD-021"/>
    <s v="R030"/>
    <n v="1"/>
    <n v="2760"/>
    <n v="22.2"/>
    <n v="2147.2800000000002"/>
    <s v="Completed"/>
    <s v="Delhi"/>
    <x v="2"/>
    <x v="2"/>
    <x v="2"/>
    <n v="1435"/>
    <n v="2760"/>
  </r>
  <r>
    <s v="ORD-00528"/>
    <x v="0"/>
    <s v="CUST-0206"/>
    <s v="PROD-047"/>
    <s v="R001"/>
    <n v="7"/>
    <n v="3450"/>
    <n v="8.6"/>
    <n v="22073.1"/>
    <s v="Completed"/>
    <s v="Mumbai"/>
    <x v="3"/>
    <x v="5"/>
    <x v="0"/>
    <n v="2420"/>
    <n v="3450"/>
  </r>
  <r>
    <s v="ORD-00529"/>
    <x v="196"/>
    <s v="CUST-0246"/>
    <s v="PROD-028"/>
    <s v="R028"/>
    <n v="6"/>
    <n v="3660"/>
    <n v="10.6"/>
    <n v="19632.240000000002"/>
    <s v="Completed"/>
    <s v="Delhi"/>
    <x v="2"/>
    <x v="2"/>
    <x v="2"/>
    <n v="2214"/>
    <n v="3660"/>
  </r>
  <r>
    <s v="ORD-00530"/>
    <x v="147"/>
    <s v="CUST-0075"/>
    <s v="PROD-003"/>
    <s v="R028"/>
    <n v="10"/>
    <n v="3570"/>
    <n v="1.2"/>
    <n v="35271.599999999999"/>
    <s v="Completed"/>
    <s v="Mumbai"/>
    <x v="3"/>
    <x v="4"/>
    <x v="2"/>
    <n v="1665"/>
    <n v="3570"/>
  </r>
  <r>
    <s v="ORD-00531"/>
    <x v="176"/>
    <s v="CUST-0298"/>
    <s v="PROD-035"/>
    <s v="R009"/>
    <n v="8"/>
    <n v="1090"/>
    <n v="13.2"/>
    <n v="7568.96"/>
    <s v="Refunded"/>
    <s v="Delhi"/>
    <x v="2"/>
    <x v="3"/>
    <x v="1"/>
    <n v="464"/>
    <n v="1090"/>
  </r>
  <r>
    <s v="ORD-00532"/>
    <x v="153"/>
    <s v="CUST-0165"/>
    <s v="PROD-014"/>
    <s v="R018"/>
    <n v="8"/>
    <n v="3620"/>
    <n v="29"/>
    <n v="20561.599999999999"/>
    <s v="Completed"/>
    <s v="Pune"/>
    <x v="0"/>
    <x v="0"/>
    <x v="3"/>
    <n v="2509"/>
    <n v="3620"/>
  </r>
  <r>
    <s v="ORD-00533"/>
    <x v="289"/>
    <s v="CUST-0033"/>
    <s v="PROD-046"/>
    <s v="R010"/>
    <n v="7"/>
    <n v="4880"/>
    <n v="25.6"/>
    <n v="25415.040000000001"/>
    <s v="Refunded"/>
    <s v="Delhi"/>
    <x v="2"/>
    <x v="5"/>
    <x v="1"/>
    <n v="2768"/>
    <n v="4880"/>
  </r>
  <r>
    <s v="ORD-00534"/>
    <x v="224"/>
    <s v="CUST-0205"/>
    <s v="PROD-053"/>
    <s v="R028"/>
    <n v="2"/>
    <n v="470"/>
    <n v="9.6999999999999993"/>
    <n v="848.82"/>
    <s v="Completed"/>
    <s v="Pune"/>
    <x v="0"/>
    <x v="1"/>
    <x v="2"/>
    <n v="302"/>
    <n v="470"/>
  </r>
  <r>
    <s v="ORD-00535"/>
    <x v="149"/>
    <s v="CUST-0037"/>
    <s v="PROD-042"/>
    <s v="R022"/>
    <n v="6"/>
    <n v="2290"/>
    <n v="8.9"/>
    <n v="12517.14"/>
    <s v="Completed"/>
    <s v="Bengaluru"/>
    <x v="4"/>
    <x v="5"/>
    <x v="3"/>
    <n v="1219"/>
    <n v="2290"/>
  </r>
  <r>
    <s v="ORD-00536"/>
    <x v="290"/>
    <s v="CUST-0228"/>
    <s v="PROD-023"/>
    <s v="R010"/>
    <n v="3"/>
    <n v="2380"/>
    <n v="2.7"/>
    <n v="6947.22"/>
    <s v="Pending"/>
    <s v="Pune"/>
    <x v="0"/>
    <x v="2"/>
    <x v="1"/>
    <n v="1182"/>
    <n v="2380"/>
  </r>
  <r>
    <s v="ORD-00537"/>
    <x v="270"/>
    <s v="CUST-0279"/>
    <s v="PROD-023"/>
    <s v="R008"/>
    <n v="9"/>
    <n v="2380"/>
    <n v="20.100000000000001"/>
    <n v="17114.580000000002"/>
    <s v="Completed"/>
    <s v="Mumbai"/>
    <x v="3"/>
    <x v="2"/>
    <x v="0"/>
    <n v="1182"/>
    <n v="2380"/>
  </r>
  <r>
    <s v="ORD-00538"/>
    <x v="291"/>
    <s v="CUST-0271"/>
    <s v="PROD-052"/>
    <s v="R014"/>
    <n v="8"/>
    <n v="5410"/>
    <n v="11.2"/>
    <n v="38432.639999999999"/>
    <s v="Completed"/>
    <s v="Bengaluru"/>
    <x v="4"/>
    <x v="1"/>
    <x v="1"/>
    <n v="2265"/>
    <n v="5410"/>
  </r>
  <r>
    <s v="ORD-00539"/>
    <x v="150"/>
    <s v="CUST-0127"/>
    <s v="PROD-007"/>
    <s v="R008"/>
    <n v="1"/>
    <n v="1430"/>
    <n v="19.600000000000001"/>
    <n v="1149.72"/>
    <s v="Completed"/>
    <s v="Bengaluru"/>
    <x v="4"/>
    <x v="4"/>
    <x v="0"/>
    <n v="861"/>
    <n v="1430"/>
  </r>
  <r>
    <s v="ORD-00540"/>
    <x v="292"/>
    <s v="CUST-0007"/>
    <s v="PROD-058"/>
    <s v="R027"/>
    <n v="9"/>
    <n v="2400"/>
    <n v="5"/>
    <n v="20520"/>
    <s v="Completed"/>
    <s v="Bengaluru"/>
    <x v="4"/>
    <x v="1"/>
    <x v="2"/>
    <n v="974"/>
    <n v="2400"/>
  </r>
  <r>
    <s v="ORD-00541"/>
    <x v="293"/>
    <s v="CUST-0005"/>
    <s v="PROD-027"/>
    <s v="R001"/>
    <n v="1"/>
    <n v="3780"/>
    <n v="4.7"/>
    <n v="3602.34"/>
    <s v="Completed"/>
    <s v="Chennai"/>
    <x v="1"/>
    <x v="2"/>
    <x v="0"/>
    <n v="2436"/>
    <n v="3780"/>
  </r>
  <r>
    <s v="ORD-00542"/>
    <x v="95"/>
    <s v="CUST-0072"/>
    <s v="PROD-016"/>
    <s v="R019"/>
    <n v="2"/>
    <n v="620"/>
    <n v="8"/>
    <n v="1140.8"/>
    <s v="Completed"/>
    <s v="Mumbai"/>
    <x v="3"/>
    <x v="0"/>
    <x v="3"/>
    <n v="396"/>
    <n v="620"/>
  </r>
  <r>
    <s v="ORD-00543"/>
    <x v="229"/>
    <s v="CUST-0167"/>
    <s v="PROD-060"/>
    <s v="R007"/>
    <n v="3"/>
    <n v="190"/>
    <n v="17.899999999999999"/>
    <n v="467.97"/>
    <s v="Pending"/>
    <s v="Delhi"/>
    <x v="2"/>
    <x v="1"/>
    <x v="0"/>
    <n v="147"/>
    <n v="190"/>
  </r>
  <r>
    <s v="ORD-00544"/>
    <x v="10"/>
    <s v="CUST-0244"/>
    <s v="PROD-014"/>
    <s v="R019"/>
    <n v="2"/>
    <n v="3620"/>
    <n v="15.5"/>
    <n v="6117.8"/>
    <s v="Completed"/>
    <s v="Bengaluru"/>
    <x v="4"/>
    <x v="0"/>
    <x v="3"/>
    <n v="2509"/>
    <n v="3620"/>
  </r>
  <r>
    <s v="ORD-00545"/>
    <x v="294"/>
    <s v="CUST-0086"/>
    <s v="PROD-055"/>
    <s v="R018"/>
    <n v="5"/>
    <n v="2860"/>
    <n v="26.8"/>
    <n v="10467.6"/>
    <s v="Completed"/>
    <s v="Hyderabad"/>
    <x v="5"/>
    <x v="1"/>
    <x v="3"/>
    <n v="2028"/>
    <n v="2860"/>
  </r>
  <r>
    <s v="ORD-00546"/>
    <x v="198"/>
    <s v="CUST-0091"/>
    <s v="PROD-058"/>
    <s v="R023"/>
    <n v="6"/>
    <n v="2400"/>
    <n v="19.2"/>
    <n v="11635.2"/>
    <s v="Cancelled"/>
    <s v="Delhi"/>
    <x v="2"/>
    <x v="1"/>
    <x v="3"/>
    <n v="974"/>
    <n v="2400"/>
  </r>
  <r>
    <s v="ORD-00547"/>
    <x v="14"/>
    <s v="CUST-0169"/>
    <s v="PROD-034"/>
    <s v="R009"/>
    <n v="7"/>
    <n v="5080"/>
    <n v="16.600000000000001"/>
    <n v="29657.040000000001"/>
    <s v="Pending"/>
    <s v="Bengaluru"/>
    <x v="4"/>
    <x v="3"/>
    <x v="1"/>
    <n v="2459"/>
    <n v="5080"/>
  </r>
  <r>
    <s v="ORD-00548"/>
    <x v="295"/>
    <s v="CUST-0273"/>
    <s v="PROD-034"/>
    <s v="R015"/>
    <n v="10"/>
    <n v="5080"/>
    <n v="24.6"/>
    <n v="38303.199999999997"/>
    <s v="Completed"/>
    <s v="Hyderabad"/>
    <x v="5"/>
    <x v="3"/>
    <x v="1"/>
    <n v="2459"/>
    <n v="5080"/>
  </r>
  <r>
    <s v="ORD-00549"/>
    <x v="147"/>
    <s v="CUST-0233"/>
    <s v="PROD-057"/>
    <s v="R008"/>
    <n v="7"/>
    <n v="960"/>
    <n v="16.600000000000001"/>
    <n v="5604.48"/>
    <s v="Completed"/>
    <s v="Mumbai"/>
    <x v="3"/>
    <x v="1"/>
    <x v="0"/>
    <n v="705"/>
    <n v="960"/>
  </r>
  <r>
    <s v="ORD-00550"/>
    <x v="296"/>
    <s v="CUST-0175"/>
    <s v="PROD-028"/>
    <s v="R028"/>
    <n v="3"/>
    <n v="3660"/>
    <n v="3.2"/>
    <n v="10628.64"/>
    <s v="Pending"/>
    <s v="Delhi"/>
    <x v="2"/>
    <x v="2"/>
    <x v="2"/>
    <n v="2214"/>
    <n v="3660"/>
  </r>
  <r>
    <s v="ORD-00551"/>
    <x v="160"/>
    <s v="CUST-0241"/>
    <s v="PROD-010"/>
    <s v="R009"/>
    <n v="6"/>
    <n v="2640"/>
    <n v="26.3"/>
    <n v="11674.08"/>
    <s v="Completed"/>
    <s v="Pune"/>
    <x v="0"/>
    <x v="4"/>
    <x v="1"/>
    <n v="1149"/>
    <n v="2640"/>
  </r>
  <r>
    <s v="ORD-00552"/>
    <x v="254"/>
    <s v="CUST-0024"/>
    <s v="PROD-009"/>
    <s v="R009"/>
    <n v="6"/>
    <n v="1220"/>
    <n v="22.3"/>
    <n v="5687.64"/>
    <s v="Cancelled"/>
    <s v="Chennai"/>
    <x v="1"/>
    <x v="4"/>
    <x v="1"/>
    <n v="517"/>
    <n v="1220"/>
  </r>
  <r>
    <s v="ORD-00553"/>
    <x v="138"/>
    <s v="CUST-0252"/>
    <s v="PROD-005"/>
    <s v="R013"/>
    <n v="1"/>
    <n v="300"/>
    <n v="0.7"/>
    <n v="297.89999999999998"/>
    <s v="Completed"/>
    <s v="Bengaluru"/>
    <x v="4"/>
    <x v="4"/>
    <x v="1"/>
    <n v="128"/>
    <n v="300"/>
  </r>
  <r>
    <s v="ORD-00554"/>
    <x v="43"/>
    <s v="CUST-0245"/>
    <s v="PROD-054"/>
    <s v="R020"/>
    <n v="2"/>
    <n v="1010"/>
    <n v="28"/>
    <n v="1454.4"/>
    <s v="Completed"/>
    <s v="Hyderabad"/>
    <x v="5"/>
    <x v="1"/>
    <x v="3"/>
    <n v="516"/>
    <n v="1010"/>
  </r>
  <r>
    <s v="ORD-00555"/>
    <x v="192"/>
    <s v="CUST-0046"/>
    <s v="PROD-002"/>
    <s v="R011"/>
    <n v="5"/>
    <n v="2600"/>
    <n v="0.8"/>
    <n v="12896"/>
    <s v="Cancelled"/>
    <s v="Delhi"/>
    <x v="2"/>
    <x v="4"/>
    <x v="1"/>
    <n v="1052"/>
    <n v="2600"/>
  </r>
  <r>
    <s v="ORD-00556"/>
    <x v="186"/>
    <s v="CUST-0050"/>
    <s v="PROD-056"/>
    <s v="R026"/>
    <n v="3"/>
    <n v="6940"/>
    <n v="10.7"/>
    <n v="18592.259999999998"/>
    <s v="Cancelled"/>
    <s v="Mumbai"/>
    <x v="3"/>
    <x v="1"/>
    <x v="2"/>
    <n v="2827"/>
    <n v="6940"/>
  </r>
  <r>
    <s v="ORD-00557"/>
    <x v="297"/>
    <s v="CUST-0227"/>
    <s v="PROD-032"/>
    <s v="R011"/>
    <n v="1"/>
    <n v="370"/>
    <n v="10.3"/>
    <n v="331.89"/>
    <s v="Refunded"/>
    <s v="Bengaluru"/>
    <x v="4"/>
    <x v="3"/>
    <x v="1"/>
    <n v="288"/>
    <n v="370"/>
  </r>
  <r>
    <s v="ORD-00558"/>
    <x v="298"/>
    <s v="CUST-0218"/>
    <s v="PROD-027"/>
    <s v="R029"/>
    <n v="2"/>
    <n v="3780"/>
    <n v="29.4"/>
    <n v="5337.36"/>
    <s v="Completed"/>
    <s v="Mumbai"/>
    <x v="3"/>
    <x v="2"/>
    <x v="2"/>
    <n v="2436"/>
    <n v="3780"/>
  </r>
  <r>
    <s v="ORD-00559"/>
    <x v="39"/>
    <s v="CUST-0087"/>
    <s v="PROD-030"/>
    <s v="R022"/>
    <n v="5"/>
    <n v="970"/>
    <n v="14.6"/>
    <n v="4141.8999999999996"/>
    <s v="Completed"/>
    <s v="Pune"/>
    <x v="0"/>
    <x v="2"/>
    <x v="3"/>
    <n v="434"/>
    <n v="970"/>
  </r>
  <r>
    <s v="ORD-00560"/>
    <x v="117"/>
    <s v="CUST-0209"/>
    <s v="PROD-022"/>
    <s v="R002"/>
    <n v="3"/>
    <n v="2270"/>
    <n v="6.5"/>
    <n v="6367.35"/>
    <s v="Completed"/>
    <s v="Pune"/>
    <x v="0"/>
    <x v="2"/>
    <x v="0"/>
    <n v="1412"/>
    <n v="2270"/>
  </r>
  <r>
    <s v="ORD-00561"/>
    <x v="299"/>
    <s v="CUST-0212"/>
    <s v="PROD-041"/>
    <s v="R029"/>
    <n v="10"/>
    <n v="1540"/>
    <n v="16.5"/>
    <n v="12859"/>
    <s v="Completed"/>
    <s v="Chennai"/>
    <x v="1"/>
    <x v="5"/>
    <x v="2"/>
    <n v="647"/>
    <n v="1540"/>
  </r>
  <r>
    <s v="ORD-00562"/>
    <x v="51"/>
    <s v="CUST-0180"/>
    <s v="PROD-021"/>
    <s v="R017"/>
    <n v="4"/>
    <n v="2760"/>
    <n v="19.8"/>
    <n v="8854.08"/>
    <s v="Completed"/>
    <s v="Chennai"/>
    <x v="1"/>
    <x v="2"/>
    <x v="3"/>
    <n v="1435"/>
    <n v="2760"/>
  </r>
  <r>
    <s v="ORD-00563"/>
    <x v="10"/>
    <s v="CUST-0025"/>
    <s v="PROD-024"/>
    <s v="R030"/>
    <n v="3"/>
    <n v="2270"/>
    <n v="29.5"/>
    <n v="4801.05"/>
    <s v="Refunded"/>
    <s v="Bengaluru"/>
    <x v="4"/>
    <x v="2"/>
    <x v="2"/>
    <n v="1203"/>
    <n v="2270"/>
  </r>
  <r>
    <s v="ORD-00564"/>
    <x v="196"/>
    <s v="CUST-0271"/>
    <s v="PROD-045"/>
    <s v="R015"/>
    <n v="8"/>
    <n v="3020"/>
    <n v="1.2"/>
    <n v="23870.080000000002"/>
    <s v="Completed"/>
    <s v="Bengaluru"/>
    <x v="4"/>
    <x v="5"/>
    <x v="1"/>
    <n v="1626"/>
    <n v="3020"/>
  </r>
  <r>
    <s v="ORD-00565"/>
    <x v="156"/>
    <s v="CUST-0026"/>
    <s v="PROD-023"/>
    <s v="R018"/>
    <n v="6"/>
    <n v="2380"/>
    <n v="20.399999999999999"/>
    <n v="11366.88"/>
    <s v="Completed"/>
    <s v="Pune"/>
    <x v="0"/>
    <x v="2"/>
    <x v="3"/>
    <n v="1182"/>
    <n v="2380"/>
  </r>
  <r>
    <s v="ORD-00566"/>
    <x v="19"/>
    <s v="CUST-0058"/>
    <s v="PROD-056"/>
    <s v="R028"/>
    <n v="1"/>
    <n v="6940"/>
    <n v="15"/>
    <n v="5899"/>
    <s v="Cancelled"/>
    <s v="Bengaluru"/>
    <x v="4"/>
    <x v="1"/>
    <x v="2"/>
    <n v="2827"/>
    <n v="6940"/>
  </r>
  <r>
    <s v="ORD-00567"/>
    <x v="16"/>
    <s v="CUST-0033"/>
    <s v="PROD-008"/>
    <s v="R010"/>
    <n v="1"/>
    <n v="2660"/>
    <n v="11.6"/>
    <n v="2351.44"/>
    <s v="Completed"/>
    <s v="Delhi"/>
    <x v="2"/>
    <x v="4"/>
    <x v="1"/>
    <n v="1259"/>
    <n v="2660"/>
  </r>
  <r>
    <s v="ORD-00568"/>
    <x v="289"/>
    <s v="CUST-0057"/>
    <s v="PROD-030"/>
    <s v="R013"/>
    <n v="4"/>
    <n v="970"/>
    <n v="11.6"/>
    <n v="3429.92"/>
    <s v="Completed"/>
    <s v="Pune"/>
    <x v="0"/>
    <x v="2"/>
    <x v="1"/>
    <n v="434"/>
    <n v="970"/>
  </r>
  <r>
    <s v="ORD-00569"/>
    <x v="215"/>
    <s v="CUST-0231"/>
    <s v="PROD-022"/>
    <s v="R002"/>
    <n v="7"/>
    <n v="2270"/>
    <n v="27.9"/>
    <n v="11456.69"/>
    <s v="Completed"/>
    <s v="Chennai"/>
    <x v="1"/>
    <x v="2"/>
    <x v="0"/>
    <n v="1412"/>
    <n v="2270"/>
  </r>
  <r>
    <s v="ORD-00570"/>
    <x v="300"/>
    <s v="CUST-0031"/>
    <s v="PROD-054"/>
    <s v="R016"/>
    <n v="8"/>
    <n v="1010"/>
    <n v="13.7"/>
    <n v="6973.04"/>
    <s v="Cancelled"/>
    <s v="Hyderabad"/>
    <x v="5"/>
    <x v="1"/>
    <x v="1"/>
    <n v="516"/>
    <n v="1010"/>
  </r>
  <r>
    <s v="ORD-00571"/>
    <x v="259"/>
    <s v="CUST-0228"/>
    <s v="PROD-023"/>
    <s v="R001"/>
    <n v="8"/>
    <n v="2380"/>
    <n v="15.3"/>
    <n v="16126.88"/>
    <s v="Cancelled"/>
    <s v="Pune"/>
    <x v="0"/>
    <x v="2"/>
    <x v="0"/>
    <n v="1182"/>
    <n v="2380"/>
  </r>
  <r>
    <s v="ORD-00572"/>
    <x v="142"/>
    <s v="CUST-0127"/>
    <s v="PROD-053"/>
    <s v="R018"/>
    <n v="10"/>
    <n v="470"/>
    <n v="2.1"/>
    <n v="4601.3"/>
    <s v="Completed"/>
    <s v="Bengaluru"/>
    <x v="4"/>
    <x v="1"/>
    <x v="3"/>
    <n v="302"/>
    <n v="470"/>
  </r>
  <r>
    <s v="ORD-00573"/>
    <x v="178"/>
    <s v="CUST-0117"/>
    <s v="PROD-048"/>
    <s v="R025"/>
    <n v="5"/>
    <n v="5100"/>
    <n v="9.6999999999999993"/>
    <n v="23026.5"/>
    <s v="Completed"/>
    <s v="Delhi"/>
    <x v="2"/>
    <x v="5"/>
    <x v="2"/>
    <n v="2237"/>
    <n v="5100"/>
  </r>
  <r>
    <s v="ORD-00574"/>
    <x v="73"/>
    <s v="CUST-0159"/>
    <s v="PROD-049"/>
    <s v="R026"/>
    <n v="9"/>
    <n v="960"/>
    <n v="17.7"/>
    <n v="7110.72"/>
    <s v="Completed"/>
    <s v="Hyderabad"/>
    <x v="5"/>
    <x v="5"/>
    <x v="2"/>
    <n v="675"/>
    <n v="960"/>
  </r>
  <r>
    <s v="ORD-00575"/>
    <x v="35"/>
    <s v="CUST-0064"/>
    <s v="PROD-026"/>
    <s v="R007"/>
    <n v="2"/>
    <n v="4070"/>
    <n v="2.1"/>
    <n v="7969.06"/>
    <s v="Completed"/>
    <s v="Hyderabad"/>
    <x v="5"/>
    <x v="2"/>
    <x v="0"/>
    <n v="2027"/>
    <n v="4070"/>
  </r>
  <r>
    <s v="ORD-00576"/>
    <x v="243"/>
    <s v="CUST-0272"/>
    <s v="PROD-031"/>
    <s v="R021"/>
    <n v="5"/>
    <n v="3730"/>
    <n v="16.5"/>
    <n v="15572.75"/>
    <s v="Completed"/>
    <s v="Mumbai"/>
    <x v="3"/>
    <x v="3"/>
    <x v="3"/>
    <n v="2135"/>
    <n v="3730"/>
  </r>
  <r>
    <s v="ORD-00577"/>
    <x v="55"/>
    <s v="CUST-0071"/>
    <s v="PROD-055"/>
    <s v="R022"/>
    <n v="1"/>
    <n v="2860"/>
    <n v="10.4"/>
    <n v="2562.56"/>
    <s v="Cancelled"/>
    <s v="Delhi"/>
    <x v="2"/>
    <x v="1"/>
    <x v="3"/>
    <n v="2028"/>
    <n v="2860"/>
  </r>
  <r>
    <s v="ORD-00578"/>
    <x v="11"/>
    <s v="CUST-0045"/>
    <s v="PROD-046"/>
    <s v="R018"/>
    <n v="4"/>
    <n v="4880"/>
    <n v="27.5"/>
    <n v="14152"/>
    <s v="Pending"/>
    <s v="Chennai"/>
    <x v="1"/>
    <x v="5"/>
    <x v="3"/>
    <n v="2768"/>
    <n v="4880"/>
  </r>
  <r>
    <s v="ORD-00579"/>
    <x v="19"/>
    <s v="CUST-0148"/>
    <s v="PROD-022"/>
    <s v="R022"/>
    <n v="3"/>
    <n v="2270"/>
    <n v="6.7"/>
    <n v="6353.73"/>
    <s v="Completed"/>
    <s v="Chennai"/>
    <x v="1"/>
    <x v="2"/>
    <x v="3"/>
    <n v="1412"/>
    <n v="2270"/>
  </r>
  <r>
    <s v="ORD-00580"/>
    <x v="55"/>
    <s v="CUST-0097"/>
    <s v="PROD-025"/>
    <s v="R007"/>
    <n v="10"/>
    <n v="4060"/>
    <n v="3.6"/>
    <n v="39138.400000000001"/>
    <s v="Pending"/>
    <s v="Mumbai"/>
    <x v="3"/>
    <x v="2"/>
    <x v="0"/>
    <n v="2911"/>
    <n v="4060"/>
  </r>
  <r>
    <s v="ORD-00581"/>
    <x v="301"/>
    <s v="CUST-0151"/>
    <s v="PROD-010"/>
    <s v="R004"/>
    <n v="8"/>
    <n v="2640"/>
    <n v="28.8"/>
    <n v="15037.44"/>
    <s v="Completed"/>
    <s v="Mumbai"/>
    <x v="3"/>
    <x v="4"/>
    <x v="0"/>
    <n v="1149"/>
    <n v="2640"/>
  </r>
  <r>
    <s v="ORD-00582"/>
    <x v="302"/>
    <s v="CUST-0048"/>
    <s v="PROD-031"/>
    <s v="R012"/>
    <n v="6"/>
    <n v="3730"/>
    <n v="21.9"/>
    <n v="17478.78"/>
    <s v="Completed"/>
    <s v="Delhi"/>
    <x v="2"/>
    <x v="3"/>
    <x v="1"/>
    <n v="2135"/>
    <n v="3730"/>
  </r>
  <r>
    <s v="ORD-00583"/>
    <x v="68"/>
    <s v="CUST-0048"/>
    <s v="PROD-001"/>
    <s v="R006"/>
    <n v="9"/>
    <n v="5330"/>
    <n v="29.4"/>
    <n v="33866.82"/>
    <s v="Cancelled"/>
    <s v="Delhi"/>
    <x v="2"/>
    <x v="4"/>
    <x v="0"/>
    <n v="2405"/>
    <n v="5330"/>
  </r>
  <r>
    <s v="ORD-00584"/>
    <x v="94"/>
    <s v="CUST-0156"/>
    <s v="PROD-011"/>
    <s v="R027"/>
    <n v="1"/>
    <n v="3450"/>
    <n v="23.3"/>
    <n v="2646.15"/>
    <s v="Completed"/>
    <s v="Mumbai"/>
    <x v="3"/>
    <x v="0"/>
    <x v="2"/>
    <n v="1748"/>
    <n v="3450"/>
  </r>
  <r>
    <s v="ORD-00585"/>
    <x v="227"/>
    <s v="CUST-0022"/>
    <s v="PROD-050"/>
    <s v="R017"/>
    <n v="3"/>
    <n v="6080"/>
    <n v="14.5"/>
    <n v="15595.2"/>
    <s v="Completed"/>
    <s v="Bengaluru"/>
    <x v="4"/>
    <x v="5"/>
    <x v="3"/>
    <n v="2617"/>
    <n v="6080"/>
  </r>
  <r>
    <s v="ORD-00586"/>
    <x v="303"/>
    <s v="CUST-0193"/>
    <s v="PROD-031"/>
    <s v="R002"/>
    <n v="4"/>
    <n v="3730"/>
    <n v="3.4"/>
    <n v="14412.72"/>
    <s v="Cancelled"/>
    <s v="Bengaluru"/>
    <x v="4"/>
    <x v="3"/>
    <x v="0"/>
    <n v="2135"/>
    <n v="3730"/>
  </r>
  <r>
    <s v="ORD-00587"/>
    <x v="304"/>
    <s v="CUST-0189"/>
    <s v="PROD-008"/>
    <s v="R022"/>
    <n v="10"/>
    <n v="2660"/>
    <n v="2.1"/>
    <n v="26041.4"/>
    <s v="Completed"/>
    <s v="Chennai"/>
    <x v="1"/>
    <x v="4"/>
    <x v="3"/>
    <n v="1259"/>
    <n v="2660"/>
  </r>
  <r>
    <s v="ORD-00588"/>
    <x v="41"/>
    <s v="CUST-0101"/>
    <s v="PROD-029"/>
    <s v="R021"/>
    <n v="7"/>
    <n v="2210"/>
    <n v="17.100000000000001"/>
    <n v="12824.63"/>
    <s v="Completed"/>
    <s v="Hyderabad"/>
    <x v="5"/>
    <x v="2"/>
    <x v="3"/>
    <n v="1010"/>
    <n v="2210"/>
  </r>
  <r>
    <s v="ORD-00589"/>
    <x v="84"/>
    <s v="CUST-0006"/>
    <s v="PROD-059"/>
    <s v="R013"/>
    <n v="6"/>
    <n v="3780"/>
    <n v="12.7"/>
    <n v="19799.64"/>
    <s v="Completed"/>
    <s v="Pune"/>
    <x v="0"/>
    <x v="1"/>
    <x v="1"/>
    <n v="1860"/>
    <n v="3780"/>
  </r>
  <r>
    <s v="ORD-00590"/>
    <x v="249"/>
    <s v="CUST-0235"/>
    <s v="PROD-038"/>
    <s v="R029"/>
    <n v="4"/>
    <n v="5490"/>
    <n v="26.9"/>
    <n v="16052.76"/>
    <s v="Completed"/>
    <s v="Chennai"/>
    <x v="1"/>
    <x v="3"/>
    <x v="2"/>
    <n v="2549"/>
    <n v="5490"/>
  </r>
  <r>
    <s v="ORD-00591"/>
    <x v="116"/>
    <s v="CUST-0045"/>
    <s v="PROD-008"/>
    <s v="R013"/>
    <n v="9"/>
    <n v="2660"/>
    <n v="21.9"/>
    <n v="18697.14"/>
    <s v="Completed"/>
    <s v="Chennai"/>
    <x v="1"/>
    <x v="4"/>
    <x v="1"/>
    <n v="1259"/>
    <n v="2660"/>
  </r>
  <r>
    <s v="ORD-00592"/>
    <x v="160"/>
    <s v="CUST-0028"/>
    <s v="PROD-056"/>
    <s v="R028"/>
    <n v="9"/>
    <n v="6940"/>
    <n v="8"/>
    <n v="57463.199999999997"/>
    <s v="Completed"/>
    <s v="Bengaluru"/>
    <x v="4"/>
    <x v="1"/>
    <x v="2"/>
    <n v="2827"/>
    <n v="6940"/>
  </r>
  <r>
    <s v="ORD-00593"/>
    <x v="73"/>
    <s v="CUST-0241"/>
    <s v="PROD-004"/>
    <s v="R006"/>
    <n v="1"/>
    <n v="3870"/>
    <n v="22.6"/>
    <n v="2995.38"/>
    <s v="Completed"/>
    <s v="Pune"/>
    <x v="0"/>
    <x v="4"/>
    <x v="0"/>
    <n v="1559"/>
    <n v="3870"/>
  </r>
  <r>
    <s v="ORD-00594"/>
    <x v="240"/>
    <s v="CUST-0278"/>
    <s v="PROD-035"/>
    <s v="R008"/>
    <n v="3"/>
    <n v="1090"/>
    <n v="28.1"/>
    <n v="2351.13"/>
    <s v="Completed"/>
    <s v="Hyderabad"/>
    <x v="5"/>
    <x v="3"/>
    <x v="0"/>
    <n v="464"/>
    <n v="1090"/>
  </r>
  <r>
    <s v="ORD-00595"/>
    <x v="111"/>
    <s v="CUST-0009"/>
    <s v="PROD-002"/>
    <s v="R001"/>
    <n v="2"/>
    <n v="2600"/>
    <n v="5.6"/>
    <n v="4908.8"/>
    <s v="Completed"/>
    <s v="Mumbai"/>
    <x v="3"/>
    <x v="4"/>
    <x v="0"/>
    <n v="1052"/>
    <n v="2600"/>
  </r>
  <r>
    <s v="ORD-00596"/>
    <x v="54"/>
    <s v="CUST-0217"/>
    <s v="PROD-057"/>
    <s v="R020"/>
    <n v="4"/>
    <n v="960"/>
    <n v="21.7"/>
    <n v="3006.72"/>
    <s v="Completed"/>
    <s v="Pune"/>
    <x v="0"/>
    <x v="1"/>
    <x v="3"/>
    <n v="705"/>
    <n v="960"/>
  </r>
  <r>
    <s v="ORD-00597"/>
    <x v="80"/>
    <s v="CUST-0289"/>
    <s v="PROD-032"/>
    <s v="R026"/>
    <n v="6"/>
    <n v="370"/>
    <n v="22.5"/>
    <n v="1720.5"/>
    <s v="Completed"/>
    <s v="Mumbai"/>
    <x v="3"/>
    <x v="3"/>
    <x v="2"/>
    <n v="288"/>
    <n v="370"/>
  </r>
  <r>
    <s v="ORD-00598"/>
    <x v="51"/>
    <s v="CUST-0176"/>
    <s v="PROD-034"/>
    <s v="R006"/>
    <n v="5"/>
    <n v="5080"/>
    <n v="23.8"/>
    <n v="19354.8"/>
    <s v="Completed"/>
    <s v="Bengaluru"/>
    <x v="4"/>
    <x v="3"/>
    <x v="0"/>
    <n v="2459"/>
    <n v="5080"/>
  </r>
  <r>
    <s v="ORD-00599"/>
    <x v="67"/>
    <s v="CUST-0026"/>
    <s v="PROD-041"/>
    <s v="R003"/>
    <n v="5"/>
    <n v="1540"/>
    <n v="6.1"/>
    <n v="7230.3"/>
    <s v="Completed"/>
    <s v="Pune"/>
    <x v="0"/>
    <x v="5"/>
    <x v="0"/>
    <n v="647"/>
    <n v="1540"/>
  </r>
  <r>
    <s v="ORD-00600"/>
    <x v="305"/>
    <s v="CUST-0213"/>
    <s v="PROD-024"/>
    <s v="R015"/>
    <n v="7"/>
    <n v="2270"/>
    <n v="0.4"/>
    <n v="15826.44"/>
    <s v="Completed"/>
    <s v="Mumbai"/>
    <x v="3"/>
    <x v="2"/>
    <x v="1"/>
    <n v="1203"/>
    <n v="2270"/>
  </r>
  <r>
    <s v="ORD-00601"/>
    <x v="236"/>
    <s v="CUST-0190"/>
    <s v="PROD-057"/>
    <s v="R015"/>
    <n v="2"/>
    <n v="960"/>
    <n v="3.7"/>
    <n v="1848.96"/>
    <s v="Completed"/>
    <s v="Hyderabad"/>
    <x v="5"/>
    <x v="1"/>
    <x v="1"/>
    <n v="705"/>
    <n v="960"/>
  </r>
  <r>
    <s v="ORD-00602"/>
    <x v="306"/>
    <s v="CUST-0150"/>
    <s v="PROD-007"/>
    <s v="R027"/>
    <n v="6"/>
    <n v="1430"/>
    <n v="2"/>
    <n v="8408.4"/>
    <s v="Pending"/>
    <s v="Pune"/>
    <x v="0"/>
    <x v="4"/>
    <x v="2"/>
    <n v="861"/>
    <n v="1430"/>
  </r>
  <r>
    <s v="ORD-00603"/>
    <x v="276"/>
    <s v="CUST-0129"/>
    <s v="PROD-047"/>
    <s v="R006"/>
    <n v="10"/>
    <n v="3450"/>
    <n v="19.100000000000001"/>
    <n v="27910.5"/>
    <s v="Completed"/>
    <s v="Hyderabad"/>
    <x v="5"/>
    <x v="5"/>
    <x v="0"/>
    <n v="2420"/>
    <n v="3450"/>
  </r>
  <r>
    <s v="ORD-00604"/>
    <x v="249"/>
    <s v="CUST-0080"/>
    <s v="PROD-009"/>
    <s v="R026"/>
    <n v="8"/>
    <n v="1220"/>
    <n v="16.899999999999999"/>
    <n v="8110.56"/>
    <s v="Completed"/>
    <s v="Pune"/>
    <x v="0"/>
    <x v="4"/>
    <x v="2"/>
    <n v="517"/>
    <n v="1220"/>
  </r>
  <r>
    <s v="ORD-00605"/>
    <x v="96"/>
    <s v="CUST-0034"/>
    <s v="PROD-021"/>
    <s v="R020"/>
    <n v="9"/>
    <n v="2760"/>
    <n v="16.899999999999999"/>
    <n v="20642.04"/>
    <s v="Completed"/>
    <s v="Delhi"/>
    <x v="2"/>
    <x v="2"/>
    <x v="3"/>
    <n v="1435"/>
    <n v="2760"/>
  </r>
  <r>
    <s v="ORD-00606"/>
    <x v="106"/>
    <s v="CUST-0179"/>
    <s v="PROD-043"/>
    <s v="R017"/>
    <n v="6"/>
    <n v="3350"/>
    <n v="11.8"/>
    <n v="17728.2"/>
    <s v="Pending"/>
    <s v="Mumbai"/>
    <x v="3"/>
    <x v="5"/>
    <x v="3"/>
    <n v="1728"/>
    <n v="3350"/>
  </r>
  <r>
    <s v="ORD-00607"/>
    <x v="23"/>
    <s v="CUST-0176"/>
    <s v="PROD-048"/>
    <s v="R013"/>
    <n v="6"/>
    <n v="5100"/>
    <n v="13.2"/>
    <n v="26560.799999999999"/>
    <s v="Completed"/>
    <s v="Bengaluru"/>
    <x v="4"/>
    <x v="5"/>
    <x v="1"/>
    <n v="2237"/>
    <n v="5100"/>
  </r>
  <r>
    <s v="ORD-00608"/>
    <x v="267"/>
    <s v="CUST-0144"/>
    <s v="PROD-010"/>
    <s v="R027"/>
    <n v="6"/>
    <n v="2640"/>
    <n v="26.2"/>
    <n v="11689.92"/>
    <s v="Completed"/>
    <s v="Chennai"/>
    <x v="1"/>
    <x v="4"/>
    <x v="2"/>
    <n v="1149"/>
    <n v="2640"/>
  </r>
  <r>
    <s v="ORD-00609"/>
    <x v="111"/>
    <s v="CUST-0218"/>
    <s v="PROD-028"/>
    <s v="R016"/>
    <n v="1"/>
    <n v="3660"/>
    <n v="19.7"/>
    <n v="2938.98"/>
    <s v="Completed"/>
    <s v="Mumbai"/>
    <x v="3"/>
    <x v="2"/>
    <x v="1"/>
    <n v="2214"/>
    <n v="3660"/>
  </r>
  <r>
    <s v="ORD-00610"/>
    <x v="290"/>
    <s v="CUST-0249"/>
    <s v="PROD-032"/>
    <s v="R027"/>
    <n v="5"/>
    <n v="370"/>
    <n v="21.7"/>
    <n v="1448.55"/>
    <s v="Completed"/>
    <s v="Mumbai"/>
    <x v="3"/>
    <x v="3"/>
    <x v="2"/>
    <n v="288"/>
    <n v="370"/>
  </r>
  <r>
    <s v="ORD-00611"/>
    <x v="260"/>
    <s v="CUST-0092"/>
    <s v="PROD-016"/>
    <s v="R025"/>
    <n v="5"/>
    <n v="620"/>
    <n v="10.199999999999999"/>
    <n v="2783.8"/>
    <s v="Completed"/>
    <s v="Bengaluru"/>
    <x v="4"/>
    <x v="0"/>
    <x v="2"/>
    <n v="396"/>
    <n v="620"/>
  </r>
  <r>
    <s v="ORD-00612"/>
    <x v="40"/>
    <s v="CUST-0245"/>
    <s v="PROD-053"/>
    <s v="R018"/>
    <n v="8"/>
    <n v="470"/>
    <n v="2.4"/>
    <n v="3669.76"/>
    <s v="Completed"/>
    <s v="Hyderabad"/>
    <x v="5"/>
    <x v="1"/>
    <x v="3"/>
    <n v="302"/>
    <n v="470"/>
  </r>
  <r>
    <s v="ORD-00613"/>
    <x v="294"/>
    <s v="CUST-0134"/>
    <s v="PROD-042"/>
    <s v="R005"/>
    <n v="3"/>
    <n v="2290"/>
    <n v="20.8"/>
    <n v="5441.04"/>
    <s v="Completed"/>
    <s v="Delhi"/>
    <x v="2"/>
    <x v="5"/>
    <x v="0"/>
    <n v="1219"/>
    <n v="2290"/>
  </r>
  <r>
    <s v="ORD-00614"/>
    <x v="92"/>
    <s v="CUST-0063"/>
    <s v="PROD-057"/>
    <s v="R024"/>
    <n v="4"/>
    <n v="960"/>
    <n v="28.8"/>
    <n v="2734.08"/>
    <s v="Pending"/>
    <s v="Mumbai"/>
    <x v="3"/>
    <x v="1"/>
    <x v="2"/>
    <n v="705"/>
    <n v="960"/>
  </r>
  <r>
    <s v="ORD-00615"/>
    <x v="307"/>
    <s v="CUST-0172"/>
    <s v="PROD-028"/>
    <s v="R010"/>
    <n v="5"/>
    <n v="3660"/>
    <n v="11.9"/>
    <n v="16122.3"/>
    <s v="Pending"/>
    <s v="Pune"/>
    <x v="0"/>
    <x v="2"/>
    <x v="1"/>
    <n v="2214"/>
    <n v="3660"/>
  </r>
  <r>
    <s v="ORD-00616"/>
    <x v="173"/>
    <s v="CUST-0139"/>
    <s v="PROD-003"/>
    <s v="R019"/>
    <n v="5"/>
    <n v="3570"/>
    <n v="12.4"/>
    <n v="15636.6"/>
    <s v="Completed"/>
    <s v="Hyderabad"/>
    <x v="5"/>
    <x v="4"/>
    <x v="3"/>
    <n v="1665"/>
    <n v="3570"/>
  </r>
  <r>
    <s v="ORD-00617"/>
    <x v="246"/>
    <s v="CUST-0275"/>
    <s v="PROD-033"/>
    <s v="R017"/>
    <n v="9"/>
    <n v="2030"/>
    <n v="23.4"/>
    <n v="13994.82"/>
    <s v="Completed"/>
    <s v="Mumbai"/>
    <x v="3"/>
    <x v="3"/>
    <x v="3"/>
    <n v="1143"/>
    <n v="2030"/>
  </r>
  <r>
    <s v="ORD-00618"/>
    <x v="60"/>
    <s v="CUST-0006"/>
    <s v="PROD-015"/>
    <s v="R024"/>
    <n v="7"/>
    <n v="2720"/>
    <n v="11.2"/>
    <n v="16907.52"/>
    <s v="Refunded"/>
    <s v="Pune"/>
    <x v="0"/>
    <x v="0"/>
    <x v="2"/>
    <n v="1962"/>
    <n v="2720"/>
  </r>
  <r>
    <s v="ORD-00619"/>
    <x v="180"/>
    <s v="CUST-0279"/>
    <s v="PROD-003"/>
    <s v="R008"/>
    <n v="2"/>
    <n v="3570"/>
    <n v="6.1"/>
    <n v="6704.46"/>
    <s v="Cancelled"/>
    <s v="Mumbai"/>
    <x v="3"/>
    <x v="4"/>
    <x v="0"/>
    <n v="1665"/>
    <n v="3570"/>
  </r>
  <r>
    <s v="ORD-00620"/>
    <x v="308"/>
    <s v="CUST-0093"/>
    <s v="PROD-058"/>
    <s v="R001"/>
    <n v="5"/>
    <n v="2400"/>
    <n v="16.100000000000001"/>
    <n v="10068"/>
    <s v="Completed"/>
    <s v="Pune"/>
    <x v="0"/>
    <x v="1"/>
    <x v="0"/>
    <n v="974"/>
    <n v="2400"/>
  </r>
  <r>
    <s v="ORD-00621"/>
    <x v="95"/>
    <s v="CUST-0063"/>
    <s v="PROD-024"/>
    <s v="R002"/>
    <n v="4"/>
    <n v="2270"/>
    <n v="27.5"/>
    <n v="6583"/>
    <s v="Pending"/>
    <s v="Mumbai"/>
    <x v="3"/>
    <x v="2"/>
    <x v="0"/>
    <n v="1203"/>
    <n v="2270"/>
  </r>
  <r>
    <s v="ORD-00622"/>
    <x v="89"/>
    <s v="CUST-0071"/>
    <s v="PROD-030"/>
    <s v="R012"/>
    <n v="1"/>
    <n v="970"/>
    <n v="12.7"/>
    <n v="846.81"/>
    <s v="Completed"/>
    <s v="Delhi"/>
    <x v="2"/>
    <x v="2"/>
    <x v="1"/>
    <n v="434"/>
    <n v="970"/>
  </r>
  <r>
    <s v="ORD-00623"/>
    <x v="246"/>
    <s v="CUST-0119"/>
    <s v="PROD-056"/>
    <s v="R018"/>
    <n v="5"/>
    <n v="6940"/>
    <n v="16.2"/>
    <n v="29078.6"/>
    <s v="Completed"/>
    <s v="Bengaluru"/>
    <x v="4"/>
    <x v="1"/>
    <x v="3"/>
    <n v="2827"/>
    <n v="6940"/>
  </r>
  <r>
    <s v="ORD-00624"/>
    <x v="261"/>
    <s v="CUST-0035"/>
    <s v="PROD-056"/>
    <s v="R009"/>
    <n v="4"/>
    <n v="6940"/>
    <n v="15.1"/>
    <n v="23568.240000000002"/>
    <s v="Completed"/>
    <s v="Hyderabad"/>
    <x v="5"/>
    <x v="1"/>
    <x v="1"/>
    <n v="2827"/>
    <n v="6940"/>
  </r>
  <r>
    <s v="ORD-00625"/>
    <x v="78"/>
    <s v="CUST-0042"/>
    <s v="PROD-054"/>
    <s v="R006"/>
    <n v="1"/>
    <n v="1010"/>
    <n v="1.7"/>
    <n v="992.83"/>
    <s v="Completed"/>
    <s v="Pune"/>
    <x v="0"/>
    <x v="1"/>
    <x v="0"/>
    <n v="516"/>
    <n v="1010"/>
  </r>
  <r>
    <s v="ORD-00626"/>
    <x v="303"/>
    <s v="CUST-0033"/>
    <s v="PROD-004"/>
    <s v="R007"/>
    <n v="6"/>
    <n v="3870"/>
    <n v="12.2"/>
    <n v="20387.16"/>
    <s v="Completed"/>
    <s v="Delhi"/>
    <x v="2"/>
    <x v="4"/>
    <x v="0"/>
    <n v="1559"/>
    <n v="3870"/>
  </r>
  <r>
    <s v="ORD-00627"/>
    <x v="309"/>
    <s v="CUST-0077"/>
    <s v="PROD-048"/>
    <s v="R011"/>
    <n v="9"/>
    <n v="5100"/>
    <n v="26.4"/>
    <n v="33782.400000000001"/>
    <s v="Completed"/>
    <s v="Hyderabad"/>
    <x v="5"/>
    <x v="5"/>
    <x v="1"/>
    <n v="2237"/>
    <n v="5100"/>
  </r>
  <r>
    <s v="ORD-00628"/>
    <x v="310"/>
    <s v="CUST-0266"/>
    <s v="PROD-012"/>
    <s v="R008"/>
    <n v="2"/>
    <n v="3160"/>
    <n v="13.4"/>
    <n v="5473.12"/>
    <s v="Refunded"/>
    <s v="Pune"/>
    <x v="0"/>
    <x v="0"/>
    <x v="0"/>
    <n v="1886"/>
    <n v="3160"/>
  </r>
  <r>
    <s v="ORD-00629"/>
    <x v="211"/>
    <s v="CUST-0272"/>
    <s v="PROD-029"/>
    <s v="R011"/>
    <n v="8"/>
    <n v="2210"/>
    <n v="26"/>
    <n v="13083.2"/>
    <s v="Completed"/>
    <s v="Mumbai"/>
    <x v="3"/>
    <x v="2"/>
    <x v="1"/>
    <n v="1010"/>
    <n v="2210"/>
  </r>
  <r>
    <s v="ORD-00630"/>
    <x v="237"/>
    <s v="CUST-0253"/>
    <s v="PROD-018"/>
    <s v="R026"/>
    <n v="5"/>
    <n v="3560"/>
    <n v="15"/>
    <n v="15130"/>
    <s v="Completed"/>
    <s v="Delhi"/>
    <x v="2"/>
    <x v="0"/>
    <x v="2"/>
    <n v="2629"/>
    <n v="3560"/>
  </r>
  <r>
    <s v="ORD-00631"/>
    <x v="142"/>
    <s v="CUST-0252"/>
    <s v="PROD-016"/>
    <s v="R010"/>
    <n v="10"/>
    <n v="620"/>
    <n v="15.8"/>
    <n v="5220.3999999999996"/>
    <s v="Refunded"/>
    <s v="Bengaluru"/>
    <x v="4"/>
    <x v="0"/>
    <x v="1"/>
    <n v="396"/>
    <n v="620"/>
  </r>
  <r>
    <s v="ORD-00632"/>
    <x v="276"/>
    <s v="CUST-0097"/>
    <s v="PROD-021"/>
    <s v="R002"/>
    <n v="3"/>
    <n v="2760"/>
    <n v="1.9"/>
    <n v="8122.68"/>
    <s v="Cancelled"/>
    <s v="Mumbai"/>
    <x v="3"/>
    <x v="2"/>
    <x v="0"/>
    <n v="1435"/>
    <n v="2760"/>
  </r>
  <r>
    <s v="ORD-00633"/>
    <x v="287"/>
    <s v="CUST-0283"/>
    <s v="PROD-054"/>
    <s v="R005"/>
    <n v="10"/>
    <n v="1010"/>
    <n v="28.9"/>
    <n v="7181.1"/>
    <s v="Completed"/>
    <s v="Delhi"/>
    <x v="2"/>
    <x v="1"/>
    <x v="0"/>
    <n v="516"/>
    <n v="1010"/>
  </r>
  <r>
    <s v="ORD-00634"/>
    <x v="279"/>
    <s v="CUST-0064"/>
    <s v="PROD-013"/>
    <s v="R002"/>
    <n v="1"/>
    <n v="3640"/>
    <n v="9.6999999999999993"/>
    <n v="3286.92"/>
    <s v="Completed"/>
    <s v="Hyderabad"/>
    <x v="5"/>
    <x v="0"/>
    <x v="0"/>
    <n v="2611"/>
    <n v="3640"/>
  </r>
  <r>
    <s v="ORD-00635"/>
    <x v="135"/>
    <s v="CUST-0143"/>
    <s v="PROD-020"/>
    <s v="R010"/>
    <n v="1"/>
    <n v="820"/>
    <n v="15"/>
    <n v="697"/>
    <s v="Completed"/>
    <s v="Chennai"/>
    <x v="1"/>
    <x v="0"/>
    <x v="1"/>
    <n v="391"/>
    <n v="820"/>
  </r>
  <r>
    <s v="ORD-00636"/>
    <x v="305"/>
    <s v="CUST-0265"/>
    <s v="PROD-013"/>
    <s v="R011"/>
    <n v="4"/>
    <n v="3640"/>
    <n v="17"/>
    <n v="12084.8"/>
    <s v="Completed"/>
    <s v="Chennai"/>
    <x v="1"/>
    <x v="0"/>
    <x v="1"/>
    <n v="2611"/>
    <n v="3640"/>
  </r>
  <r>
    <s v="ORD-00637"/>
    <x v="54"/>
    <s v="CUST-0158"/>
    <s v="PROD-023"/>
    <s v="R002"/>
    <n v="7"/>
    <n v="2380"/>
    <n v="25.5"/>
    <n v="12411.7"/>
    <s v="Completed"/>
    <s v="Pune"/>
    <x v="0"/>
    <x v="2"/>
    <x v="0"/>
    <n v="1182"/>
    <n v="2380"/>
  </r>
  <r>
    <s v="ORD-00638"/>
    <x v="311"/>
    <s v="CUST-0154"/>
    <s v="PROD-037"/>
    <s v="R008"/>
    <n v="1"/>
    <n v="660"/>
    <n v="2.5"/>
    <n v="643.5"/>
    <s v="Completed"/>
    <s v="Pune"/>
    <x v="0"/>
    <x v="3"/>
    <x v="0"/>
    <n v="329"/>
    <n v="660"/>
  </r>
  <r>
    <s v="ORD-00639"/>
    <x v="177"/>
    <s v="CUST-0057"/>
    <s v="PROD-004"/>
    <s v="R020"/>
    <n v="7"/>
    <n v="3870"/>
    <n v="20.3"/>
    <n v="21590.73"/>
    <s v="Pending"/>
    <s v="Pune"/>
    <x v="0"/>
    <x v="4"/>
    <x v="3"/>
    <n v="1559"/>
    <n v="3870"/>
  </r>
  <r>
    <s v="ORD-00640"/>
    <x v="176"/>
    <s v="CUST-0088"/>
    <s v="PROD-032"/>
    <s v="R016"/>
    <n v="10"/>
    <n v="370"/>
    <n v="1.3"/>
    <n v="3651.9"/>
    <s v="Refunded"/>
    <s v="Chennai"/>
    <x v="1"/>
    <x v="3"/>
    <x v="1"/>
    <n v="288"/>
    <n v="370"/>
  </r>
  <r>
    <s v="ORD-00641"/>
    <x v="13"/>
    <s v="CUST-0064"/>
    <s v="PROD-014"/>
    <s v="R018"/>
    <n v="1"/>
    <n v="3620"/>
    <n v="1.4"/>
    <n v="3569.32"/>
    <s v="Completed"/>
    <s v="Hyderabad"/>
    <x v="5"/>
    <x v="0"/>
    <x v="3"/>
    <n v="2509"/>
    <n v="3620"/>
  </r>
  <r>
    <s v="ORD-00642"/>
    <x v="308"/>
    <s v="CUST-0192"/>
    <s v="PROD-008"/>
    <s v="R005"/>
    <n v="10"/>
    <n v="2660"/>
    <n v="20.2"/>
    <n v="21226.799999999999"/>
    <s v="Completed"/>
    <s v="Bengaluru"/>
    <x v="4"/>
    <x v="4"/>
    <x v="0"/>
    <n v="1259"/>
    <n v="2660"/>
  </r>
  <r>
    <s v="ORD-00643"/>
    <x v="105"/>
    <s v="CUST-0175"/>
    <s v="PROD-051"/>
    <s v="R015"/>
    <n v="10"/>
    <n v="3450"/>
    <n v="25.1"/>
    <n v="25840.5"/>
    <s v="Completed"/>
    <s v="Delhi"/>
    <x v="2"/>
    <x v="1"/>
    <x v="1"/>
    <n v="2467"/>
    <n v="3450"/>
  </r>
  <r>
    <s v="ORD-00644"/>
    <x v="98"/>
    <s v="CUST-0083"/>
    <s v="PROD-025"/>
    <s v="R013"/>
    <n v="3"/>
    <n v="4060"/>
    <n v="2.5"/>
    <n v="11875.5"/>
    <s v="Refunded"/>
    <s v="Bengaluru"/>
    <x v="4"/>
    <x v="2"/>
    <x v="1"/>
    <n v="2911"/>
    <n v="4060"/>
  </r>
  <r>
    <s v="ORD-00645"/>
    <x v="137"/>
    <s v="CUST-0142"/>
    <s v="PROD-057"/>
    <s v="R021"/>
    <n v="3"/>
    <n v="960"/>
    <n v="6.6"/>
    <n v="2689.92"/>
    <s v="Cancelled"/>
    <s v="Chennai"/>
    <x v="1"/>
    <x v="1"/>
    <x v="3"/>
    <n v="705"/>
    <n v="960"/>
  </r>
  <r>
    <s v="ORD-00646"/>
    <x v="196"/>
    <s v="CUST-0185"/>
    <s v="PROD-008"/>
    <s v="R008"/>
    <n v="4"/>
    <n v="2660"/>
    <n v="16.899999999999999"/>
    <n v="8841.84"/>
    <s v="Completed"/>
    <s v="Hyderabad"/>
    <x v="5"/>
    <x v="4"/>
    <x v="0"/>
    <n v="1259"/>
    <n v="2660"/>
  </r>
  <r>
    <s v="ORD-00647"/>
    <x v="264"/>
    <s v="CUST-0284"/>
    <s v="PROD-024"/>
    <s v="R018"/>
    <n v="6"/>
    <n v="2270"/>
    <n v="16.7"/>
    <n v="11345.46"/>
    <s v="Completed"/>
    <s v="Hyderabad"/>
    <x v="5"/>
    <x v="2"/>
    <x v="3"/>
    <n v="1203"/>
    <n v="2270"/>
  </r>
  <r>
    <s v="ORD-00648"/>
    <x v="0"/>
    <s v="CUST-0092"/>
    <s v="PROD-027"/>
    <s v="R025"/>
    <n v="5"/>
    <n v="3780"/>
    <n v="21.5"/>
    <n v="14836.5"/>
    <s v="Completed"/>
    <s v="Bengaluru"/>
    <x v="4"/>
    <x v="2"/>
    <x v="2"/>
    <n v="2436"/>
    <n v="3780"/>
  </r>
  <r>
    <s v="ORD-00649"/>
    <x v="265"/>
    <s v="CUST-0091"/>
    <s v="PROD-037"/>
    <s v="R019"/>
    <n v="10"/>
    <n v="660"/>
    <n v="18.8"/>
    <n v="5359.2"/>
    <s v="Completed"/>
    <s v="Delhi"/>
    <x v="2"/>
    <x v="3"/>
    <x v="3"/>
    <n v="329"/>
    <n v="660"/>
  </r>
  <r>
    <s v="ORD-00650"/>
    <x v="3"/>
    <s v="CUST-0155"/>
    <s v="PROD-031"/>
    <s v="R024"/>
    <n v="10"/>
    <n v="3730"/>
    <n v="15.1"/>
    <n v="31667.7"/>
    <s v="Completed"/>
    <s v="Pune"/>
    <x v="0"/>
    <x v="3"/>
    <x v="2"/>
    <n v="2135"/>
    <n v="3730"/>
  </r>
  <r>
    <s v="ORD-00651"/>
    <x v="115"/>
    <s v="CUST-0280"/>
    <s v="PROD-025"/>
    <s v="R021"/>
    <n v="6"/>
    <n v="4060"/>
    <n v="20.100000000000001"/>
    <n v="19463.64"/>
    <s v="Pending"/>
    <s v="Delhi"/>
    <x v="2"/>
    <x v="2"/>
    <x v="3"/>
    <n v="2911"/>
    <n v="4060"/>
  </r>
  <r>
    <s v="ORD-00652"/>
    <x v="283"/>
    <s v="CUST-0127"/>
    <s v="PROD-024"/>
    <s v="R003"/>
    <n v="2"/>
    <n v="2270"/>
    <n v="17.7"/>
    <n v="3736.42"/>
    <s v="Completed"/>
    <s v="Bengaluru"/>
    <x v="4"/>
    <x v="2"/>
    <x v="0"/>
    <n v="1203"/>
    <n v="2270"/>
  </r>
  <r>
    <s v="ORD-00653"/>
    <x v="294"/>
    <s v="CUST-0077"/>
    <s v="PROD-003"/>
    <s v="R028"/>
    <n v="9"/>
    <n v="3570"/>
    <n v="29.9"/>
    <n v="22523.13"/>
    <s v="Completed"/>
    <s v="Hyderabad"/>
    <x v="5"/>
    <x v="4"/>
    <x v="2"/>
    <n v="1665"/>
    <n v="3570"/>
  </r>
  <r>
    <s v="ORD-00654"/>
    <x v="126"/>
    <s v="CUST-0190"/>
    <s v="PROD-029"/>
    <s v="R004"/>
    <n v="7"/>
    <n v="2210"/>
    <n v="25"/>
    <n v="11602.5"/>
    <s v="Completed"/>
    <s v="Hyderabad"/>
    <x v="5"/>
    <x v="2"/>
    <x v="0"/>
    <n v="1010"/>
    <n v="2210"/>
  </r>
  <r>
    <s v="ORD-00655"/>
    <x v="257"/>
    <s v="CUST-0089"/>
    <s v="PROD-057"/>
    <s v="R026"/>
    <n v="2"/>
    <n v="960"/>
    <n v="8.1999999999999993"/>
    <n v="1762.56"/>
    <s v="Cancelled"/>
    <s v="Mumbai"/>
    <x v="3"/>
    <x v="1"/>
    <x v="2"/>
    <n v="705"/>
    <n v="960"/>
  </r>
  <r>
    <s v="ORD-00656"/>
    <x v="24"/>
    <s v="CUST-0141"/>
    <s v="PROD-059"/>
    <s v="R026"/>
    <n v="9"/>
    <n v="3780"/>
    <n v="28.4"/>
    <n v="24358.32"/>
    <s v="Pending"/>
    <s v="Hyderabad"/>
    <x v="5"/>
    <x v="1"/>
    <x v="2"/>
    <n v="1860"/>
    <n v="3780"/>
  </r>
  <r>
    <s v="ORD-00657"/>
    <x v="248"/>
    <s v="CUST-0123"/>
    <s v="PROD-048"/>
    <s v="R014"/>
    <n v="2"/>
    <n v="5100"/>
    <n v="8.6"/>
    <n v="9322.7999999999993"/>
    <s v="Completed"/>
    <s v="Chennai"/>
    <x v="1"/>
    <x v="5"/>
    <x v="1"/>
    <n v="2237"/>
    <n v="5100"/>
  </r>
  <r>
    <s v="ORD-00658"/>
    <x v="85"/>
    <s v="CUST-0041"/>
    <s v="PROD-019"/>
    <s v="R021"/>
    <n v="4"/>
    <n v="2480"/>
    <n v="16.600000000000001"/>
    <n v="8273.2800000000007"/>
    <s v="Completed"/>
    <s v="Bengaluru"/>
    <x v="4"/>
    <x v="0"/>
    <x v="3"/>
    <n v="1173"/>
    <n v="2480"/>
  </r>
  <r>
    <s v="ORD-00659"/>
    <x v="68"/>
    <s v="CUST-0257"/>
    <s v="PROD-040"/>
    <s v="R018"/>
    <n v="10"/>
    <n v="1080"/>
    <n v="14.5"/>
    <n v="9234"/>
    <s v="Completed"/>
    <s v="Mumbai"/>
    <x v="3"/>
    <x v="3"/>
    <x v="3"/>
    <n v="519"/>
    <n v="1080"/>
  </r>
  <r>
    <s v="ORD-00660"/>
    <x v="312"/>
    <s v="CUST-0134"/>
    <s v="PROD-002"/>
    <s v="R029"/>
    <n v="7"/>
    <n v="2600"/>
    <n v="21"/>
    <n v="14378"/>
    <s v="Completed"/>
    <s v="Delhi"/>
    <x v="2"/>
    <x v="4"/>
    <x v="2"/>
    <n v="1052"/>
    <n v="2600"/>
  </r>
  <r>
    <s v="ORD-00661"/>
    <x v="81"/>
    <s v="CUST-0180"/>
    <s v="PROD-002"/>
    <s v="R015"/>
    <n v="7"/>
    <n v="2600"/>
    <n v="6.7"/>
    <n v="16980.599999999999"/>
    <s v="Pending"/>
    <s v="Chennai"/>
    <x v="1"/>
    <x v="4"/>
    <x v="1"/>
    <n v="1052"/>
    <n v="2600"/>
  </r>
  <r>
    <s v="ORD-00662"/>
    <x v="210"/>
    <s v="CUST-0283"/>
    <s v="PROD-020"/>
    <s v="R023"/>
    <n v="8"/>
    <n v="820"/>
    <n v="17.8"/>
    <n v="5392.32"/>
    <s v="Pending"/>
    <s v="Delhi"/>
    <x v="2"/>
    <x v="0"/>
    <x v="3"/>
    <n v="391"/>
    <n v="820"/>
  </r>
  <r>
    <s v="ORD-00663"/>
    <x v="147"/>
    <s v="CUST-0047"/>
    <s v="PROD-057"/>
    <s v="R009"/>
    <n v="3"/>
    <n v="960"/>
    <n v="17.8"/>
    <n v="2367.36"/>
    <s v="Completed"/>
    <s v="Pune"/>
    <x v="0"/>
    <x v="1"/>
    <x v="1"/>
    <n v="705"/>
    <n v="960"/>
  </r>
  <r>
    <s v="ORD-00664"/>
    <x v="114"/>
    <s v="CUST-0175"/>
    <s v="PROD-041"/>
    <s v="R023"/>
    <n v="2"/>
    <n v="1540"/>
    <n v="1.8"/>
    <n v="3024.56"/>
    <s v="Cancelled"/>
    <s v="Delhi"/>
    <x v="2"/>
    <x v="5"/>
    <x v="3"/>
    <n v="647"/>
    <n v="1540"/>
  </r>
  <r>
    <s v="ORD-00665"/>
    <x v="81"/>
    <s v="CUST-0227"/>
    <s v="PROD-056"/>
    <s v="R030"/>
    <n v="5"/>
    <n v="6940"/>
    <n v="2.9"/>
    <n v="33693.699999999997"/>
    <s v="Completed"/>
    <s v="Bengaluru"/>
    <x v="4"/>
    <x v="1"/>
    <x v="2"/>
    <n v="2827"/>
    <n v="6940"/>
  </r>
  <r>
    <s v="ORD-00666"/>
    <x v="101"/>
    <s v="CUST-0287"/>
    <s v="PROD-041"/>
    <s v="R013"/>
    <n v="5"/>
    <n v="1540"/>
    <n v="28.8"/>
    <n v="5482.4"/>
    <s v="Completed"/>
    <s v="Chennai"/>
    <x v="1"/>
    <x v="5"/>
    <x v="1"/>
    <n v="647"/>
    <n v="1540"/>
  </r>
  <r>
    <s v="ORD-00667"/>
    <x v="179"/>
    <s v="CUST-0004"/>
    <s v="PROD-031"/>
    <s v="R012"/>
    <n v="8"/>
    <n v="3730"/>
    <n v="21.1"/>
    <n v="23543.759999999998"/>
    <s v="Completed"/>
    <s v="Delhi"/>
    <x v="2"/>
    <x v="3"/>
    <x v="1"/>
    <n v="2135"/>
    <n v="3730"/>
  </r>
  <r>
    <s v="ORD-00668"/>
    <x v="208"/>
    <s v="CUST-0234"/>
    <s v="PROD-021"/>
    <s v="R023"/>
    <n v="7"/>
    <n v="2760"/>
    <n v="1.2"/>
    <n v="19088.16"/>
    <s v="Cancelled"/>
    <s v="Bengaluru"/>
    <x v="4"/>
    <x v="2"/>
    <x v="3"/>
    <n v="1435"/>
    <n v="2760"/>
  </r>
  <r>
    <s v="ORD-00669"/>
    <x v="313"/>
    <s v="CUST-0255"/>
    <s v="PROD-006"/>
    <s v="R020"/>
    <n v="3"/>
    <n v="3970"/>
    <n v="18.3"/>
    <n v="9730.4699999999993"/>
    <s v="Completed"/>
    <s v="Chennai"/>
    <x v="1"/>
    <x v="4"/>
    <x v="3"/>
    <n v="2865"/>
    <n v="3970"/>
  </r>
  <r>
    <s v="ORD-00670"/>
    <x v="274"/>
    <s v="CUST-0092"/>
    <s v="PROD-027"/>
    <s v="R023"/>
    <n v="4"/>
    <n v="3780"/>
    <n v="24.6"/>
    <n v="11400.48"/>
    <s v="Completed"/>
    <s v="Bengaluru"/>
    <x v="4"/>
    <x v="2"/>
    <x v="3"/>
    <n v="2436"/>
    <n v="3780"/>
  </r>
  <r>
    <s v="ORD-00671"/>
    <x v="146"/>
    <s v="CUST-0037"/>
    <s v="PROD-015"/>
    <s v="R008"/>
    <n v="10"/>
    <n v="2720"/>
    <n v="12.8"/>
    <n v="23718.400000000001"/>
    <s v="Completed"/>
    <s v="Bengaluru"/>
    <x v="4"/>
    <x v="0"/>
    <x v="0"/>
    <n v="1962"/>
    <n v="2720"/>
  </r>
  <r>
    <s v="ORD-00672"/>
    <x v="2"/>
    <s v="CUST-0208"/>
    <s v="PROD-006"/>
    <s v="R017"/>
    <n v="5"/>
    <n v="3970"/>
    <n v="5.9"/>
    <n v="18678.849999999999"/>
    <s v="Completed"/>
    <s v="Mumbai"/>
    <x v="3"/>
    <x v="4"/>
    <x v="3"/>
    <n v="2865"/>
    <n v="3970"/>
  </r>
  <r>
    <s v="ORD-00673"/>
    <x v="131"/>
    <s v="CUST-0008"/>
    <s v="PROD-020"/>
    <s v="R011"/>
    <n v="3"/>
    <n v="820"/>
    <n v="19.399999999999999"/>
    <n v="1982.76"/>
    <s v="Completed"/>
    <s v="Pune"/>
    <x v="0"/>
    <x v="0"/>
    <x v="1"/>
    <n v="391"/>
    <n v="820"/>
  </r>
  <r>
    <s v="ORD-00674"/>
    <x v="314"/>
    <s v="CUST-0050"/>
    <s v="PROD-016"/>
    <s v="R010"/>
    <n v="7"/>
    <n v="620"/>
    <n v="9.9"/>
    <n v="3910.34"/>
    <s v="Completed"/>
    <s v="Mumbai"/>
    <x v="3"/>
    <x v="0"/>
    <x v="1"/>
    <n v="396"/>
    <n v="620"/>
  </r>
  <r>
    <s v="ORD-00675"/>
    <x v="125"/>
    <s v="CUST-0166"/>
    <s v="PROD-042"/>
    <s v="R027"/>
    <n v="8"/>
    <n v="2290"/>
    <n v="18.3"/>
    <n v="14967.44"/>
    <s v="Completed"/>
    <s v="Hyderabad"/>
    <x v="5"/>
    <x v="5"/>
    <x v="2"/>
    <n v="1219"/>
    <n v="2290"/>
  </r>
  <r>
    <s v="ORD-00676"/>
    <x v="234"/>
    <s v="CUST-0271"/>
    <s v="PROD-030"/>
    <s v="R025"/>
    <n v="3"/>
    <n v="970"/>
    <n v="18.399999999999999"/>
    <n v="2374.56"/>
    <s v="Completed"/>
    <s v="Bengaluru"/>
    <x v="4"/>
    <x v="2"/>
    <x v="2"/>
    <n v="434"/>
    <n v="970"/>
  </r>
  <r>
    <s v="ORD-00677"/>
    <x v="140"/>
    <s v="CUST-0034"/>
    <s v="PROD-032"/>
    <s v="R014"/>
    <n v="2"/>
    <n v="370"/>
    <n v="8.9"/>
    <n v="674.14"/>
    <s v="Completed"/>
    <s v="Delhi"/>
    <x v="2"/>
    <x v="3"/>
    <x v="1"/>
    <n v="288"/>
    <n v="370"/>
  </r>
  <r>
    <s v="ORD-00678"/>
    <x v="215"/>
    <s v="CUST-0016"/>
    <s v="PROD-007"/>
    <s v="R007"/>
    <n v="1"/>
    <n v="1430"/>
    <n v="5.9"/>
    <n v="1345.63"/>
    <s v="Cancelled"/>
    <s v="Delhi"/>
    <x v="2"/>
    <x v="4"/>
    <x v="0"/>
    <n v="861"/>
    <n v="1430"/>
  </r>
  <r>
    <s v="ORD-00679"/>
    <x v="315"/>
    <s v="CUST-0039"/>
    <s v="PROD-058"/>
    <s v="R030"/>
    <n v="2"/>
    <n v="2400"/>
    <n v="29.1"/>
    <n v="3403.2"/>
    <s v="Completed"/>
    <s v="Bengaluru"/>
    <x v="4"/>
    <x v="1"/>
    <x v="2"/>
    <n v="974"/>
    <n v="2400"/>
  </r>
  <r>
    <s v="ORD-00680"/>
    <x v="186"/>
    <s v="CUST-0253"/>
    <s v="PROD-007"/>
    <s v="R011"/>
    <n v="9"/>
    <n v="1430"/>
    <n v="6"/>
    <n v="12097.8"/>
    <s v="Completed"/>
    <s v="Delhi"/>
    <x v="2"/>
    <x v="4"/>
    <x v="1"/>
    <n v="861"/>
    <n v="1430"/>
  </r>
  <r>
    <s v="ORD-00681"/>
    <x v="256"/>
    <s v="CUST-0295"/>
    <s v="PROD-015"/>
    <s v="R007"/>
    <n v="8"/>
    <n v="2720"/>
    <n v="25.7"/>
    <n v="16167.68"/>
    <s v="Completed"/>
    <s v="Delhi"/>
    <x v="2"/>
    <x v="0"/>
    <x v="0"/>
    <n v="1962"/>
    <n v="2720"/>
  </r>
  <r>
    <s v="ORD-00682"/>
    <x v="160"/>
    <s v="CUST-0138"/>
    <s v="PROD-056"/>
    <s v="R027"/>
    <n v="6"/>
    <n v="6940"/>
    <n v="25.7"/>
    <n v="30938.52"/>
    <s v="Completed"/>
    <s v="Chennai"/>
    <x v="1"/>
    <x v="1"/>
    <x v="2"/>
    <n v="2827"/>
    <n v="6940"/>
  </r>
  <r>
    <s v="ORD-00683"/>
    <x v="22"/>
    <s v="CUST-0002"/>
    <s v="PROD-014"/>
    <s v="R007"/>
    <n v="3"/>
    <n v="3620"/>
    <n v="29.7"/>
    <n v="7634.58"/>
    <s v="Completed"/>
    <s v="Pune"/>
    <x v="0"/>
    <x v="0"/>
    <x v="0"/>
    <n v="2509"/>
    <n v="3620"/>
  </r>
  <r>
    <s v="ORD-00684"/>
    <x v="70"/>
    <s v="CUST-0287"/>
    <s v="PROD-010"/>
    <s v="R025"/>
    <n v="8"/>
    <n v="2640"/>
    <n v="24.4"/>
    <n v="15966.72"/>
    <s v="Completed"/>
    <s v="Chennai"/>
    <x v="1"/>
    <x v="4"/>
    <x v="2"/>
    <n v="1149"/>
    <n v="2640"/>
  </r>
  <r>
    <s v="ORD-00685"/>
    <x v="134"/>
    <s v="CUST-0279"/>
    <s v="PROD-038"/>
    <s v="R006"/>
    <n v="3"/>
    <n v="5490"/>
    <n v="13.5"/>
    <n v="14246.55"/>
    <s v="Completed"/>
    <s v="Mumbai"/>
    <x v="3"/>
    <x v="3"/>
    <x v="0"/>
    <n v="2549"/>
    <n v="5490"/>
  </r>
  <r>
    <s v="ORD-00686"/>
    <x v="3"/>
    <s v="CUST-0008"/>
    <s v="PROD-034"/>
    <s v="R017"/>
    <n v="3"/>
    <n v="5080"/>
    <n v="9.3000000000000007"/>
    <n v="13822.68"/>
    <s v="Completed"/>
    <s v="Pune"/>
    <x v="0"/>
    <x v="3"/>
    <x v="3"/>
    <n v="2459"/>
    <n v="5080"/>
  </r>
  <r>
    <s v="ORD-00687"/>
    <x v="50"/>
    <s v="CUST-0092"/>
    <s v="PROD-042"/>
    <s v="R030"/>
    <n v="4"/>
    <n v="2290"/>
    <n v="24.4"/>
    <n v="6924.96"/>
    <s v="Completed"/>
    <s v="Bengaluru"/>
    <x v="4"/>
    <x v="5"/>
    <x v="2"/>
    <n v="1219"/>
    <n v="2290"/>
  </r>
  <r>
    <s v="ORD-00688"/>
    <x v="113"/>
    <s v="CUST-0106"/>
    <s v="PROD-033"/>
    <s v="R011"/>
    <n v="10"/>
    <n v="2030"/>
    <n v="13.6"/>
    <n v="17539.2"/>
    <s v="Pending"/>
    <s v="Pune"/>
    <x v="0"/>
    <x v="3"/>
    <x v="1"/>
    <n v="1143"/>
    <n v="2030"/>
  </r>
  <r>
    <s v="ORD-00689"/>
    <x v="84"/>
    <s v="CUST-0010"/>
    <s v="PROD-007"/>
    <s v="R012"/>
    <n v="10"/>
    <n v="1430"/>
    <n v="16.100000000000001"/>
    <n v="11997.7"/>
    <s v="Cancelled"/>
    <s v="Mumbai"/>
    <x v="3"/>
    <x v="4"/>
    <x v="1"/>
    <n v="861"/>
    <n v="1430"/>
  </r>
  <r>
    <s v="ORD-00690"/>
    <x v="298"/>
    <s v="CUST-0179"/>
    <s v="PROD-027"/>
    <s v="R009"/>
    <n v="1"/>
    <n v="3780"/>
    <n v="22.7"/>
    <n v="2921.94"/>
    <s v="Completed"/>
    <s v="Mumbai"/>
    <x v="3"/>
    <x v="2"/>
    <x v="1"/>
    <n v="2436"/>
    <n v="3780"/>
  </r>
  <r>
    <s v="ORD-00691"/>
    <x v="68"/>
    <s v="CUST-0216"/>
    <s v="PROD-012"/>
    <s v="R021"/>
    <n v="10"/>
    <n v="3160"/>
    <n v="13.4"/>
    <n v="27365.599999999999"/>
    <s v="Completed"/>
    <s v="Mumbai"/>
    <x v="3"/>
    <x v="0"/>
    <x v="3"/>
    <n v="1886"/>
    <n v="3160"/>
  </r>
  <r>
    <s v="ORD-00692"/>
    <x v="124"/>
    <s v="CUST-0172"/>
    <s v="PROD-007"/>
    <s v="R003"/>
    <n v="2"/>
    <n v="1430"/>
    <n v="7.4"/>
    <n v="2648.36"/>
    <s v="Completed"/>
    <s v="Pune"/>
    <x v="0"/>
    <x v="4"/>
    <x v="0"/>
    <n v="861"/>
    <n v="1430"/>
  </r>
  <r>
    <s v="ORD-00693"/>
    <x v="93"/>
    <s v="CUST-0152"/>
    <s v="PROD-012"/>
    <s v="R006"/>
    <n v="5"/>
    <n v="3160"/>
    <n v="3.6"/>
    <n v="15231.2"/>
    <s v="Pending"/>
    <s v="Bengaluru"/>
    <x v="4"/>
    <x v="0"/>
    <x v="0"/>
    <n v="1886"/>
    <n v="3160"/>
  </r>
  <r>
    <s v="ORD-00694"/>
    <x v="126"/>
    <s v="CUST-0154"/>
    <s v="PROD-042"/>
    <s v="R004"/>
    <n v="2"/>
    <n v="2290"/>
    <n v="28.2"/>
    <n v="3288.44"/>
    <s v="Completed"/>
    <s v="Pune"/>
    <x v="0"/>
    <x v="5"/>
    <x v="0"/>
    <n v="1219"/>
    <n v="2290"/>
  </r>
  <r>
    <s v="ORD-00695"/>
    <x v="250"/>
    <s v="CUST-0001"/>
    <s v="PROD-011"/>
    <s v="R015"/>
    <n v="5"/>
    <n v="3450"/>
    <n v="18.100000000000001"/>
    <n v="14127.75"/>
    <s v="Cancelled"/>
    <s v="Pune"/>
    <x v="0"/>
    <x v="0"/>
    <x v="1"/>
    <n v="1748"/>
    <n v="3450"/>
  </r>
  <r>
    <s v="ORD-00696"/>
    <x v="96"/>
    <s v="CUST-0069"/>
    <s v="PROD-018"/>
    <s v="R001"/>
    <n v="1"/>
    <n v="3560"/>
    <n v="18.7"/>
    <n v="2894.28"/>
    <s v="Completed"/>
    <s v="Chennai"/>
    <x v="1"/>
    <x v="0"/>
    <x v="0"/>
    <n v="2629"/>
    <n v="3560"/>
  </r>
  <r>
    <s v="ORD-00697"/>
    <x v="87"/>
    <s v="CUST-0200"/>
    <s v="PROD-058"/>
    <s v="R009"/>
    <n v="9"/>
    <n v="2400"/>
    <n v="18.5"/>
    <n v="17604"/>
    <s v="Completed"/>
    <s v="Hyderabad"/>
    <x v="5"/>
    <x v="1"/>
    <x v="1"/>
    <n v="974"/>
    <n v="2400"/>
  </r>
  <r>
    <s v="ORD-00698"/>
    <x v="209"/>
    <s v="CUST-0164"/>
    <s v="PROD-004"/>
    <s v="R023"/>
    <n v="9"/>
    <n v="3870"/>
    <n v="6.9"/>
    <n v="32426.73"/>
    <s v="Refunded"/>
    <s v="Chennai"/>
    <x v="1"/>
    <x v="4"/>
    <x v="3"/>
    <n v="1559"/>
    <n v="3870"/>
  </r>
  <r>
    <s v="ORD-00699"/>
    <x v="247"/>
    <s v="CUST-0004"/>
    <s v="PROD-028"/>
    <s v="R022"/>
    <n v="5"/>
    <n v="3660"/>
    <n v="11.7"/>
    <n v="16158.9"/>
    <s v="Completed"/>
    <s v="Delhi"/>
    <x v="2"/>
    <x v="2"/>
    <x v="3"/>
    <n v="2214"/>
    <n v="3660"/>
  </r>
  <r>
    <s v="ORD-00700"/>
    <x v="63"/>
    <s v="CUST-0224"/>
    <s v="PROD-040"/>
    <s v="R030"/>
    <n v="4"/>
    <n v="1080"/>
    <n v="17.5"/>
    <n v="3564"/>
    <s v="Completed"/>
    <s v="Chennai"/>
    <x v="1"/>
    <x v="3"/>
    <x v="2"/>
    <n v="519"/>
    <n v="1080"/>
  </r>
  <r>
    <s v="ORD-01185"/>
    <x v="92"/>
    <s v="CUST-0037"/>
    <s v="PROD-059"/>
    <s v="R006"/>
    <n v="6"/>
    <n v="3780"/>
    <n v="27.8"/>
    <n v="16374.96"/>
    <s v="Completed"/>
    <s v="Bengaluru"/>
    <x v="4"/>
    <x v="1"/>
    <x v="0"/>
    <n v="1860"/>
    <n v="3780"/>
  </r>
  <r>
    <s v="ORD-00702"/>
    <x v="126"/>
    <s v="CUST-0179"/>
    <s v="PROD-019"/>
    <s v="R022"/>
    <n v="8"/>
    <n v="2480"/>
    <n v="15.7"/>
    <n v="16725.12"/>
    <s v="Pending"/>
    <s v="Mumbai"/>
    <x v="3"/>
    <x v="0"/>
    <x v="3"/>
    <n v="1173"/>
    <n v="2480"/>
  </r>
  <r>
    <s v="ORD-00703"/>
    <x v="132"/>
    <s v="CUST-0018"/>
    <s v="PROD-054"/>
    <s v="R014"/>
    <n v="10"/>
    <n v="1010"/>
    <n v="0.1"/>
    <n v="10089.9"/>
    <s v="Pending"/>
    <s v="Pune"/>
    <x v="0"/>
    <x v="1"/>
    <x v="1"/>
    <n v="516"/>
    <n v="1010"/>
  </r>
  <r>
    <s v="ORD-00704"/>
    <x v="5"/>
    <s v="CUST-0184"/>
    <s v="PROD-053"/>
    <s v="R015"/>
    <n v="3"/>
    <n v="470"/>
    <n v="1.1000000000000001"/>
    <n v="1394.49"/>
    <s v="Completed"/>
    <s v="Pune"/>
    <x v="0"/>
    <x v="1"/>
    <x v="1"/>
    <n v="302"/>
    <n v="470"/>
  </r>
  <r>
    <s v="ORD-00705"/>
    <x v="267"/>
    <s v="CUST-0066"/>
    <s v="PROD-024"/>
    <s v="R019"/>
    <n v="4"/>
    <n v="2270"/>
    <n v="17.100000000000001"/>
    <n v="7527.32"/>
    <s v="Completed"/>
    <s v="Delhi"/>
    <x v="2"/>
    <x v="2"/>
    <x v="3"/>
    <n v="1203"/>
    <n v="2270"/>
  </r>
  <r>
    <s v="ORD-00706"/>
    <x v="276"/>
    <s v="CUST-0053"/>
    <s v="PROD-021"/>
    <s v="R010"/>
    <n v="7"/>
    <n v="2760"/>
    <n v="17.100000000000001"/>
    <n v="16016.28"/>
    <s v="Completed"/>
    <s v="Delhi"/>
    <x v="2"/>
    <x v="2"/>
    <x v="1"/>
    <n v="1435"/>
    <n v="2760"/>
  </r>
  <r>
    <s v="ORD-00707"/>
    <x v="21"/>
    <s v="CUST-0278"/>
    <s v="PROD-051"/>
    <s v="R008"/>
    <n v="6"/>
    <n v="3450"/>
    <n v="6.6"/>
    <n v="19333.8"/>
    <s v="Refunded"/>
    <s v="Hyderabad"/>
    <x v="5"/>
    <x v="1"/>
    <x v="0"/>
    <n v="2467"/>
    <n v="3450"/>
  </r>
  <r>
    <s v="ORD-00708"/>
    <x v="316"/>
    <s v="CUST-0285"/>
    <s v="PROD-028"/>
    <s v="R007"/>
    <n v="8"/>
    <n v="3660"/>
    <n v="7.2"/>
    <n v="27171.84"/>
    <s v="Completed"/>
    <s v="Hyderabad"/>
    <x v="5"/>
    <x v="2"/>
    <x v="0"/>
    <n v="2214"/>
    <n v="3660"/>
  </r>
  <r>
    <s v="ORD-00709"/>
    <x v="317"/>
    <s v="CUST-0060"/>
    <s v="PROD-009"/>
    <s v="R030"/>
    <n v="4"/>
    <n v="1220"/>
    <n v="24.3"/>
    <n v="3694.16"/>
    <s v="Cancelled"/>
    <s v="Pune"/>
    <x v="0"/>
    <x v="4"/>
    <x v="2"/>
    <n v="517"/>
    <n v="1220"/>
  </r>
  <r>
    <s v="ORD-00710"/>
    <x v="294"/>
    <s v="CUST-0236"/>
    <s v="PROD-052"/>
    <s v="R007"/>
    <n v="2"/>
    <n v="5410"/>
    <n v="0.9"/>
    <n v="10722.62"/>
    <s v="Pending"/>
    <s v="Hyderabad"/>
    <x v="5"/>
    <x v="1"/>
    <x v="0"/>
    <n v="2265"/>
    <n v="5410"/>
  </r>
  <r>
    <s v="ORD-00711"/>
    <x v="94"/>
    <s v="CUST-0106"/>
    <s v="PROD-033"/>
    <s v="R009"/>
    <n v="5"/>
    <n v="2030"/>
    <n v="25.2"/>
    <n v="7592.2"/>
    <s v="Completed"/>
    <s v="Pune"/>
    <x v="0"/>
    <x v="3"/>
    <x v="1"/>
    <n v="1143"/>
    <n v="2030"/>
  </r>
  <r>
    <s v="ORD-00712"/>
    <x v="26"/>
    <s v="CUST-0085"/>
    <s v="PROD-009"/>
    <s v="R012"/>
    <n v="5"/>
    <n v="1220"/>
    <n v="2.6"/>
    <n v="5941.4"/>
    <s v="Completed"/>
    <s v="Chennai"/>
    <x v="1"/>
    <x v="4"/>
    <x v="1"/>
    <n v="517"/>
    <n v="1220"/>
  </r>
  <r>
    <s v="ORD-00713"/>
    <x v="77"/>
    <s v="CUST-0075"/>
    <s v="PROD-008"/>
    <s v="R006"/>
    <n v="4"/>
    <n v="2660"/>
    <n v="19.100000000000001"/>
    <n v="8607.76"/>
    <s v="Refunded"/>
    <s v="Mumbai"/>
    <x v="3"/>
    <x v="4"/>
    <x v="0"/>
    <n v="1259"/>
    <n v="2660"/>
  </r>
  <r>
    <s v="ORD-00714"/>
    <x v="116"/>
    <s v="CUST-0169"/>
    <s v="PROD-026"/>
    <s v="R016"/>
    <n v="3"/>
    <n v="4070"/>
    <n v="25.2"/>
    <n v="9133.08"/>
    <s v="Completed"/>
    <s v="Bengaluru"/>
    <x v="4"/>
    <x v="2"/>
    <x v="1"/>
    <n v="2027"/>
    <n v="4070"/>
  </r>
  <r>
    <s v="ORD-00715"/>
    <x v="76"/>
    <s v="CUST-0166"/>
    <s v="PROD-049"/>
    <s v="R014"/>
    <n v="10"/>
    <n v="960"/>
    <n v="0.3"/>
    <n v="9571.2000000000007"/>
    <s v="Completed"/>
    <s v="Hyderabad"/>
    <x v="5"/>
    <x v="5"/>
    <x v="1"/>
    <n v="675"/>
    <n v="960"/>
  </r>
  <r>
    <s v="ORD-00716"/>
    <x v="313"/>
    <s v="CUST-0065"/>
    <s v="PROD-031"/>
    <s v="R029"/>
    <n v="2"/>
    <n v="3730"/>
    <n v="29.9"/>
    <n v="5229.46"/>
    <s v="Completed"/>
    <s v="Chennai"/>
    <x v="1"/>
    <x v="3"/>
    <x v="2"/>
    <n v="2135"/>
    <n v="3730"/>
  </r>
  <r>
    <s v="ORD-00717"/>
    <x v="95"/>
    <s v="CUST-0102"/>
    <s v="PROD-057"/>
    <s v="R004"/>
    <n v="9"/>
    <n v="960"/>
    <n v="1.9"/>
    <n v="8475.84"/>
    <s v="Completed"/>
    <s v="Chennai"/>
    <x v="1"/>
    <x v="1"/>
    <x v="0"/>
    <n v="705"/>
    <n v="960"/>
  </r>
  <r>
    <s v="ORD-00718"/>
    <x v="253"/>
    <s v="CUST-0052"/>
    <s v="PROD-011"/>
    <s v="R004"/>
    <n v="2"/>
    <n v="3450"/>
    <n v="22.9"/>
    <n v="5319.9"/>
    <s v="Pending"/>
    <s v="Pune"/>
    <x v="0"/>
    <x v="0"/>
    <x v="0"/>
    <n v="1748"/>
    <n v="3450"/>
  </r>
  <r>
    <s v="ORD-00719"/>
    <x v="48"/>
    <s v="CUST-0130"/>
    <s v="PROD-052"/>
    <s v="R010"/>
    <n v="3"/>
    <n v="5410"/>
    <n v="15.5"/>
    <n v="13714.35"/>
    <s v="Completed"/>
    <s v="Bengaluru"/>
    <x v="4"/>
    <x v="1"/>
    <x v="1"/>
    <n v="2265"/>
    <n v="5410"/>
  </r>
  <r>
    <s v="ORD-00720"/>
    <x v="120"/>
    <s v="CUST-0284"/>
    <s v="PROD-043"/>
    <s v="R019"/>
    <n v="8"/>
    <n v="3350"/>
    <n v="18.399999999999999"/>
    <n v="21868.799999999999"/>
    <s v="Completed"/>
    <s v="Hyderabad"/>
    <x v="5"/>
    <x v="5"/>
    <x v="3"/>
    <n v="1728"/>
    <n v="3350"/>
  </r>
  <r>
    <s v="ORD-00721"/>
    <x v="4"/>
    <s v="CUST-0053"/>
    <s v="PROD-015"/>
    <s v="R008"/>
    <n v="5"/>
    <n v="2720"/>
    <n v="17.3"/>
    <n v="11247.2"/>
    <s v="Cancelled"/>
    <s v="Delhi"/>
    <x v="2"/>
    <x v="0"/>
    <x v="0"/>
    <n v="1962"/>
    <n v="2720"/>
  </r>
  <r>
    <s v="ORD-00722"/>
    <x v="210"/>
    <s v="CUST-0293"/>
    <s v="PROD-028"/>
    <s v="R017"/>
    <n v="8"/>
    <n v="3660"/>
    <n v="28.8"/>
    <n v="20847.36"/>
    <s v="Completed"/>
    <s v="Bengaluru"/>
    <x v="4"/>
    <x v="2"/>
    <x v="3"/>
    <n v="2214"/>
    <n v="3660"/>
  </r>
  <r>
    <s v="ORD-00723"/>
    <x v="21"/>
    <s v="CUST-0242"/>
    <s v="PROD-005"/>
    <s v="R013"/>
    <n v="6"/>
    <n v="300"/>
    <n v="23.9"/>
    <n v="1369.8"/>
    <s v="Cancelled"/>
    <s v="Chennai"/>
    <x v="1"/>
    <x v="4"/>
    <x v="1"/>
    <n v="128"/>
    <n v="300"/>
  </r>
  <r>
    <s v="ORD-00724"/>
    <x v="289"/>
    <s v="CUST-0226"/>
    <s v="PROD-042"/>
    <s v="R026"/>
    <n v="3"/>
    <n v="2290"/>
    <n v="2.4"/>
    <n v="6705.12"/>
    <s v="Completed"/>
    <s v="Chennai"/>
    <x v="1"/>
    <x v="5"/>
    <x v="2"/>
    <n v="1219"/>
    <n v="2290"/>
  </r>
  <r>
    <s v="ORD-00725"/>
    <x v="210"/>
    <s v="CUST-0005"/>
    <s v="PROD-046"/>
    <s v="R014"/>
    <n v="6"/>
    <n v="4880"/>
    <n v="11.1"/>
    <n v="26029.919999999998"/>
    <s v="Pending"/>
    <s v="Chennai"/>
    <x v="1"/>
    <x v="5"/>
    <x v="1"/>
    <n v="2768"/>
    <n v="4880"/>
  </r>
  <r>
    <s v="ORD-00726"/>
    <x v="254"/>
    <s v="CUST-0211"/>
    <s v="PROD-005"/>
    <s v="R007"/>
    <n v="5"/>
    <n v="300"/>
    <n v="19.399999999999999"/>
    <n v="1209"/>
    <s v="Completed"/>
    <s v="Bengaluru"/>
    <x v="4"/>
    <x v="4"/>
    <x v="0"/>
    <n v="128"/>
    <n v="300"/>
  </r>
  <r>
    <s v="ORD-00727"/>
    <x v="208"/>
    <s v="CUST-0229"/>
    <s v="PROD-008"/>
    <s v="R030"/>
    <n v="3"/>
    <n v="2660"/>
    <n v="28.5"/>
    <n v="5705.7"/>
    <s v="Pending"/>
    <s v="Hyderabad"/>
    <x v="5"/>
    <x v="4"/>
    <x v="2"/>
    <n v="1259"/>
    <n v="2660"/>
  </r>
  <r>
    <s v="ORD-00728"/>
    <x v="224"/>
    <s v="CUST-0037"/>
    <s v="PROD-035"/>
    <s v="R024"/>
    <n v="7"/>
    <n v="1090"/>
    <n v="10.3"/>
    <n v="6844.11"/>
    <s v="Completed"/>
    <s v="Bengaluru"/>
    <x v="4"/>
    <x v="3"/>
    <x v="2"/>
    <n v="464"/>
    <n v="1090"/>
  </r>
  <r>
    <s v="ORD-00729"/>
    <x v="154"/>
    <s v="CUST-0059"/>
    <s v="PROD-007"/>
    <s v="R012"/>
    <n v="9"/>
    <n v="1430"/>
    <n v="12.1"/>
    <n v="11312.73"/>
    <s v="Cancelled"/>
    <s v="Pune"/>
    <x v="0"/>
    <x v="4"/>
    <x v="1"/>
    <n v="861"/>
    <n v="1430"/>
  </r>
  <r>
    <s v="ORD-00730"/>
    <x v="112"/>
    <s v="CUST-0222"/>
    <s v="PROD-010"/>
    <s v="R005"/>
    <n v="5"/>
    <n v="2640"/>
    <n v="26.8"/>
    <n v="9662.4"/>
    <s v="Completed"/>
    <s v="Chennai"/>
    <x v="1"/>
    <x v="4"/>
    <x v="0"/>
    <n v="1149"/>
    <n v="2640"/>
  </r>
  <r>
    <s v="ORD-00731"/>
    <x v="71"/>
    <s v="CUST-0157"/>
    <s v="PROD-015"/>
    <s v="R001"/>
    <n v="8"/>
    <n v="2720"/>
    <n v="17.5"/>
    <n v="17952"/>
    <s v="Completed"/>
    <s v="Pune"/>
    <x v="0"/>
    <x v="0"/>
    <x v="0"/>
    <n v="1962"/>
    <n v="2720"/>
  </r>
  <r>
    <s v="ORD-00732"/>
    <x v="226"/>
    <s v="CUST-0027"/>
    <s v="PROD-013"/>
    <s v="R016"/>
    <n v="9"/>
    <n v="3640"/>
    <n v="3.6"/>
    <n v="31580.639999999999"/>
    <s v="Completed"/>
    <s v="Hyderabad"/>
    <x v="5"/>
    <x v="0"/>
    <x v="1"/>
    <n v="2611"/>
    <n v="3640"/>
  </r>
  <r>
    <s v="ORD-00733"/>
    <x v="211"/>
    <s v="CUST-9846"/>
    <s v="PROD-050"/>
    <s v="R021"/>
    <n v="7"/>
    <n v="6080"/>
    <n v="23.6"/>
    <n v="32515.84"/>
    <s v="Completed"/>
    <s v="Mumbai"/>
    <x v="3"/>
    <x v="5"/>
    <x v="3"/>
    <n v="2617"/>
    <n v="6080"/>
  </r>
  <r>
    <s v="ORD-00734"/>
    <x v="241"/>
    <s v="CUST-0011"/>
    <s v="PROD-001"/>
    <s v="R015"/>
    <n v="7"/>
    <n v="5330"/>
    <n v="19.7"/>
    <n v="29959.93"/>
    <s v="Cancelled"/>
    <s v="Chennai"/>
    <x v="1"/>
    <x v="4"/>
    <x v="1"/>
    <n v="2405"/>
    <n v="5330"/>
  </r>
  <r>
    <s v="ORD-00735"/>
    <x v="106"/>
    <s v="CUST-0043"/>
    <s v="PROD-039"/>
    <s v="R024"/>
    <n v="5"/>
    <n v="4610"/>
    <n v="3.6"/>
    <n v="22220.2"/>
    <s v="Completed"/>
    <s v="Hyderabad"/>
    <x v="5"/>
    <x v="3"/>
    <x v="2"/>
    <n v="1850"/>
    <n v="4610"/>
  </r>
  <r>
    <s v="ORD-00736"/>
    <x v="272"/>
    <s v="CUST-0154"/>
    <s v="PROD-001"/>
    <s v="R030"/>
    <n v="9"/>
    <n v="5330"/>
    <n v="22.9"/>
    <n v="36984.870000000003"/>
    <s v="Completed"/>
    <s v="Pune"/>
    <x v="0"/>
    <x v="4"/>
    <x v="2"/>
    <n v="2405"/>
    <n v="5330"/>
  </r>
  <r>
    <s v="ORD-00737"/>
    <x v="242"/>
    <s v="CUST-0163"/>
    <s v="PROD-050"/>
    <s v="R018"/>
    <n v="5"/>
    <n v="6080"/>
    <n v="6"/>
    <n v="28576"/>
    <s v="Refunded"/>
    <s v="Pune"/>
    <x v="0"/>
    <x v="5"/>
    <x v="3"/>
    <n v="2617"/>
    <n v="6080"/>
  </r>
  <r>
    <s v="ORD-00738"/>
    <x v="193"/>
    <s v="CUST-0299"/>
    <s v="PROD-013"/>
    <s v="R017"/>
    <n v="7"/>
    <n v="3640"/>
    <n v="5.5"/>
    <n v="24078.6"/>
    <s v="Completed"/>
    <s v="Mumbai"/>
    <x v="3"/>
    <x v="0"/>
    <x v="3"/>
    <n v="2611"/>
    <n v="3640"/>
  </r>
  <r>
    <s v="ORD-00739"/>
    <x v="260"/>
    <s v="CUST-0240"/>
    <s v="PROD-008"/>
    <s v="R013"/>
    <n v="1"/>
    <n v="2660"/>
    <n v="6.1"/>
    <n v="2497.7399999999998"/>
    <s v="Cancelled"/>
    <s v="Chennai"/>
    <x v="1"/>
    <x v="4"/>
    <x v="1"/>
    <n v="1259"/>
    <n v="2660"/>
  </r>
  <r>
    <s v="ORD-00740"/>
    <x v="212"/>
    <s v="CUST-0291"/>
    <s v="PROD-043"/>
    <s v="R015"/>
    <n v="8"/>
    <n v="3350"/>
    <n v="19.5"/>
    <n v="21574"/>
    <s v="Completed"/>
    <s v="Pune"/>
    <x v="0"/>
    <x v="5"/>
    <x v="1"/>
    <n v="1728"/>
    <n v="3350"/>
  </r>
  <r>
    <s v="ORD-00741"/>
    <x v="83"/>
    <s v="CUST-0243"/>
    <s v="PROD-039"/>
    <s v="R019"/>
    <n v="4"/>
    <n v="4610"/>
    <n v="24"/>
    <n v="14014.4"/>
    <s v="Completed"/>
    <s v="Pune"/>
    <x v="0"/>
    <x v="3"/>
    <x v="3"/>
    <n v="1850"/>
    <n v="4610"/>
  </r>
  <r>
    <s v="ORD-00742"/>
    <x v="174"/>
    <s v="CUST-0073"/>
    <s v="PROD-055"/>
    <s v="R014"/>
    <n v="7"/>
    <n v="2860"/>
    <n v="23.2"/>
    <n v="15375.36"/>
    <s v="Completed"/>
    <s v="Pune"/>
    <x v="0"/>
    <x v="1"/>
    <x v="1"/>
    <n v="2028"/>
    <n v="2860"/>
  </r>
  <r>
    <s v="ORD-00743"/>
    <x v="128"/>
    <s v="CUST-0154"/>
    <s v="PROD-043"/>
    <s v="R013"/>
    <n v="7"/>
    <n v="3350"/>
    <n v="10.6"/>
    <n v="20964.3"/>
    <s v="Pending"/>
    <s v="Pune"/>
    <x v="0"/>
    <x v="5"/>
    <x v="1"/>
    <n v="1728"/>
    <n v="3350"/>
  </r>
  <r>
    <s v="ORD-00744"/>
    <x v="55"/>
    <s v="CUST-0084"/>
    <s v="PROD-029"/>
    <s v="R028"/>
    <n v="5"/>
    <n v="2210"/>
    <n v="12.1"/>
    <n v="9712.9500000000007"/>
    <s v="Completed"/>
    <s v="Chennai"/>
    <x v="1"/>
    <x v="2"/>
    <x v="2"/>
    <n v="1010"/>
    <n v="2210"/>
  </r>
  <r>
    <s v="ORD-00745"/>
    <x v="90"/>
    <s v="CUST-0228"/>
    <s v="PROD-047"/>
    <s v="R013"/>
    <n v="1"/>
    <n v="3450"/>
    <n v="19.100000000000001"/>
    <n v="2791.05"/>
    <s v="Pending"/>
    <s v="Pune"/>
    <x v="0"/>
    <x v="5"/>
    <x v="1"/>
    <n v="2420"/>
    <n v="3450"/>
  </r>
  <r>
    <s v="ORD-00746"/>
    <x v="78"/>
    <s v="CUST-0232"/>
    <s v="PROD-048"/>
    <s v="R028"/>
    <n v="5"/>
    <n v="5100"/>
    <n v="2.8"/>
    <n v="24786"/>
    <s v="Completed"/>
    <s v="Hyderabad"/>
    <x v="5"/>
    <x v="5"/>
    <x v="2"/>
    <n v="2237"/>
    <n v="5100"/>
  </r>
  <r>
    <s v="ORD-00747"/>
    <x v="318"/>
    <s v="CUST-0129"/>
    <s v="PROD-048"/>
    <s v="R003"/>
    <n v="9"/>
    <n v="5100"/>
    <n v="24.4"/>
    <n v="34700.400000000001"/>
    <s v="Completed"/>
    <s v="Hyderabad"/>
    <x v="5"/>
    <x v="5"/>
    <x v="0"/>
    <n v="2237"/>
    <n v="5100"/>
  </r>
  <r>
    <s v="ORD-00748"/>
    <x v="296"/>
    <s v="CUST-0189"/>
    <s v="PROD-037"/>
    <s v="R006"/>
    <n v="9"/>
    <n v="660"/>
    <n v="19.8"/>
    <n v="4763.88"/>
    <s v="Completed"/>
    <s v="Chennai"/>
    <x v="1"/>
    <x v="3"/>
    <x v="0"/>
    <n v="329"/>
    <n v="660"/>
  </r>
  <r>
    <s v="ORD-00749"/>
    <x v="0"/>
    <s v="CUST-0122"/>
    <s v="PROD-026"/>
    <s v="R006"/>
    <n v="3"/>
    <n v="4070"/>
    <n v="27.1"/>
    <n v="8901.09"/>
    <s v="Completed"/>
    <s v="Mumbai"/>
    <x v="3"/>
    <x v="2"/>
    <x v="0"/>
    <n v="2027"/>
    <n v="4070"/>
  </r>
  <r>
    <s v="ORD-00750"/>
    <x v="172"/>
    <s v="CUST-0170"/>
    <s v="PROD-017"/>
    <s v="R007"/>
    <n v="2"/>
    <n v="2510"/>
    <n v="29.1"/>
    <n v="3559.18"/>
    <s v="Completed"/>
    <s v="Mumbai"/>
    <x v="3"/>
    <x v="0"/>
    <x v="0"/>
    <n v="1075"/>
    <n v="2510"/>
  </r>
  <r>
    <s v="ORD-00751"/>
    <x v="121"/>
    <s v="CUST-0291"/>
    <s v="PROD-036"/>
    <s v="R030"/>
    <n v="4"/>
    <n v="3250"/>
    <n v="21.1"/>
    <n v="10257"/>
    <s v="Completed"/>
    <s v="Pune"/>
    <x v="0"/>
    <x v="3"/>
    <x v="2"/>
    <n v="1556"/>
    <n v="3250"/>
  </r>
  <r>
    <s v="ORD-00752"/>
    <x v="77"/>
    <s v="CUST-0090"/>
    <s v="PROD-032"/>
    <s v="R005"/>
    <n v="3"/>
    <n v="370"/>
    <n v="7.7"/>
    <n v="1024.53"/>
    <s v="Completed"/>
    <s v="Bengaluru"/>
    <x v="4"/>
    <x v="3"/>
    <x v="0"/>
    <n v="288"/>
    <n v="370"/>
  </r>
  <r>
    <s v="ORD-00753"/>
    <x v="319"/>
    <s v="CUST-0205"/>
    <s v="PROD-020"/>
    <s v="R006"/>
    <n v="10"/>
    <n v="820"/>
    <n v="3.5"/>
    <n v="7913"/>
    <s v="Completed"/>
    <s v="Pune"/>
    <x v="0"/>
    <x v="0"/>
    <x v="0"/>
    <n v="391"/>
    <n v="820"/>
  </r>
  <r>
    <s v="ORD-00754"/>
    <x v="101"/>
    <s v="CUST-0192"/>
    <s v="PROD-026"/>
    <s v="R029"/>
    <n v="4"/>
    <n v="4070"/>
    <n v="23.8"/>
    <n v="12405.36"/>
    <s v="Completed"/>
    <s v="Bengaluru"/>
    <x v="4"/>
    <x v="2"/>
    <x v="2"/>
    <n v="2027"/>
    <n v="4070"/>
  </r>
  <r>
    <s v="ORD-00755"/>
    <x v="320"/>
    <s v="CUST-0270"/>
    <s v="PROD-023"/>
    <s v="R011"/>
    <n v="1"/>
    <n v="2380"/>
    <n v="19.600000000000001"/>
    <n v="1913.52"/>
    <s v="Cancelled"/>
    <s v="Bengaluru"/>
    <x v="4"/>
    <x v="2"/>
    <x v="1"/>
    <n v="1182"/>
    <n v="2380"/>
  </r>
  <r>
    <s v="ORD-00756"/>
    <x v="223"/>
    <s v="CUST-0266"/>
    <s v="PROD-038"/>
    <s v="R030"/>
    <n v="3"/>
    <n v="5490"/>
    <n v="2.5"/>
    <n v="16058.25"/>
    <s v="Completed"/>
    <s v="Pune"/>
    <x v="0"/>
    <x v="3"/>
    <x v="2"/>
    <n v="2549"/>
    <n v="5490"/>
  </r>
  <r>
    <s v="ORD-00757"/>
    <x v="155"/>
    <s v="CUST-0208"/>
    <s v="PROD-013"/>
    <s v="R027"/>
    <n v="3"/>
    <n v="3640"/>
    <n v="23.3"/>
    <n v="8375.64"/>
    <s v="Completed"/>
    <s v="Mumbai"/>
    <x v="3"/>
    <x v="0"/>
    <x v="2"/>
    <n v="2611"/>
    <n v="3640"/>
  </r>
  <r>
    <s v="ORD-00758"/>
    <x v="321"/>
    <s v="CUST-0224"/>
    <s v="PROD-039"/>
    <s v="R018"/>
    <n v="2"/>
    <n v="4610"/>
    <n v="5"/>
    <n v="8759"/>
    <s v="Pending"/>
    <s v="Chennai"/>
    <x v="1"/>
    <x v="3"/>
    <x v="3"/>
    <n v="1850"/>
    <n v="4610"/>
  </r>
  <r>
    <s v="ORD-00759"/>
    <x v="264"/>
    <s v="CUST-0264"/>
    <s v="PROD-058"/>
    <s v="R001"/>
    <n v="8"/>
    <n v="2400"/>
    <n v="10"/>
    <n v="17280"/>
    <s v="Pending"/>
    <s v="Pune"/>
    <x v="0"/>
    <x v="1"/>
    <x v="0"/>
    <n v="974"/>
    <n v="2400"/>
  </r>
  <r>
    <s v="ORD-00760"/>
    <x v="100"/>
    <s v="CUST-0113"/>
    <s v="PROD-043"/>
    <s v="R002"/>
    <n v="7"/>
    <n v="3350"/>
    <n v="23.7"/>
    <n v="17892.349999999999"/>
    <s v="Completed"/>
    <s v="Delhi"/>
    <x v="2"/>
    <x v="5"/>
    <x v="0"/>
    <n v="1728"/>
    <n v="3350"/>
  </r>
  <r>
    <s v="ORD-00761"/>
    <x v="4"/>
    <s v="CUST-0160"/>
    <s v="PROD-013"/>
    <s v="R012"/>
    <n v="4"/>
    <n v="3640"/>
    <n v="9.3000000000000007"/>
    <n v="13205.92"/>
    <s v="Cancelled"/>
    <s v="Hyderabad"/>
    <x v="5"/>
    <x v="0"/>
    <x v="1"/>
    <n v="2611"/>
    <n v="3640"/>
  </r>
  <r>
    <s v="ORD-00762"/>
    <x v="133"/>
    <s v="CUST-0109"/>
    <s v="PROD-013"/>
    <s v="R028"/>
    <n v="9"/>
    <n v="3640"/>
    <n v="13.1"/>
    <n v="28468.44"/>
    <s v="Pending"/>
    <s v="Pune"/>
    <x v="0"/>
    <x v="0"/>
    <x v="2"/>
    <n v="2611"/>
    <n v="3640"/>
  </r>
  <r>
    <s v="ORD-00763"/>
    <x v="287"/>
    <s v="CUST-0107"/>
    <s v="PROD-033"/>
    <s v="R014"/>
    <n v="2"/>
    <n v="2030"/>
    <n v="12.2"/>
    <n v="3564.68"/>
    <s v="Completed"/>
    <s v="Pune"/>
    <x v="0"/>
    <x v="3"/>
    <x v="1"/>
    <n v="1143"/>
    <n v="2030"/>
  </r>
  <r>
    <s v="ORD-00764"/>
    <x v="314"/>
    <s v="CUST-0120"/>
    <s v="PROD-012"/>
    <s v="R002"/>
    <n v="4"/>
    <n v="3160"/>
    <n v="7.5"/>
    <n v="11692"/>
    <s v="Completed"/>
    <s v="Mumbai"/>
    <x v="3"/>
    <x v="0"/>
    <x v="0"/>
    <n v="1886"/>
    <n v="3160"/>
  </r>
  <r>
    <s v="ORD-00765"/>
    <x v="322"/>
    <s v="CUST-0225"/>
    <s v="PROD-026"/>
    <s v="R029"/>
    <n v="10"/>
    <n v="4070"/>
    <n v="8.3000000000000007"/>
    <n v="37321.9"/>
    <s v="Completed"/>
    <s v="Chennai"/>
    <x v="1"/>
    <x v="2"/>
    <x v="2"/>
    <n v="2027"/>
    <n v="4070"/>
  </r>
  <r>
    <s v="ORD-00766"/>
    <x v="30"/>
    <s v="CUST-0134"/>
    <s v="PROD-025"/>
    <s v="R024"/>
    <n v="8"/>
    <n v="4060"/>
    <n v="8.5"/>
    <n v="29719.200000000001"/>
    <s v="Completed"/>
    <s v="Delhi"/>
    <x v="2"/>
    <x v="2"/>
    <x v="2"/>
    <n v="2911"/>
    <n v="4060"/>
  </r>
  <r>
    <s v="ORD-00767"/>
    <x v="323"/>
    <s v="CUST-0279"/>
    <s v="PROD-057"/>
    <s v="R018"/>
    <n v="8"/>
    <n v="960"/>
    <n v="8.6999999999999993"/>
    <n v="7011.84"/>
    <s v="Completed"/>
    <s v="Mumbai"/>
    <x v="3"/>
    <x v="1"/>
    <x v="3"/>
    <n v="705"/>
    <n v="960"/>
  </r>
  <r>
    <s v="ORD-00768"/>
    <x v="141"/>
    <s v="CUST-0247"/>
    <s v="PROD-022"/>
    <s v="R027"/>
    <n v="2"/>
    <n v="2270"/>
    <n v="10.199999999999999"/>
    <n v="4076.92"/>
    <s v="Completed"/>
    <s v="Pune"/>
    <x v="0"/>
    <x v="2"/>
    <x v="2"/>
    <n v="1412"/>
    <n v="2270"/>
  </r>
  <r>
    <s v="ORD-00769"/>
    <x v="197"/>
    <s v="CUST-0129"/>
    <s v="PROD-027"/>
    <s v="R007"/>
    <n v="1"/>
    <n v="3780"/>
    <n v="15.3"/>
    <n v="3201.66"/>
    <s v="Cancelled"/>
    <s v="Hyderabad"/>
    <x v="5"/>
    <x v="2"/>
    <x v="0"/>
    <n v="2436"/>
    <n v="3780"/>
  </r>
  <r>
    <s v="ORD-00770"/>
    <x v="135"/>
    <s v="CUST-0038"/>
    <s v="PROD-042"/>
    <s v="R028"/>
    <n v="10"/>
    <n v="2290"/>
    <n v="2.4"/>
    <n v="22350.400000000001"/>
    <s v="Pending"/>
    <s v="Mumbai"/>
    <x v="3"/>
    <x v="5"/>
    <x v="2"/>
    <n v="1219"/>
    <n v="2290"/>
  </r>
  <r>
    <s v="ORD-00771"/>
    <x v="104"/>
    <s v="CUST-0109"/>
    <s v="PROD-043"/>
    <s v="R017"/>
    <n v="5"/>
    <n v="3350"/>
    <n v="18.5"/>
    <n v="13651.25"/>
    <s v="Cancelled"/>
    <s v="Pune"/>
    <x v="0"/>
    <x v="5"/>
    <x v="3"/>
    <n v="1728"/>
    <n v="3350"/>
  </r>
  <r>
    <s v="ORD-00772"/>
    <x v="324"/>
    <s v="CUST-0051"/>
    <s v="PROD-017"/>
    <s v="R021"/>
    <n v="7"/>
    <n v="2510"/>
    <n v="4.2"/>
    <n v="16832.060000000001"/>
    <s v="Cancelled"/>
    <s v="Pune"/>
    <x v="0"/>
    <x v="0"/>
    <x v="3"/>
    <n v="1075"/>
    <n v="2510"/>
  </r>
  <r>
    <s v="ORD-00773"/>
    <x v="325"/>
    <s v="CUST-0265"/>
    <s v="PROD-002"/>
    <s v="R018"/>
    <n v="1"/>
    <n v="2600"/>
    <n v="2.2000000000000002"/>
    <n v="2542.8000000000002"/>
    <s v="Completed"/>
    <s v="Chennai"/>
    <x v="1"/>
    <x v="4"/>
    <x v="3"/>
    <n v="1052"/>
    <n v="2600"/>
  </r>
  <r>
    <s v="ORD-00774"/>
    <x v="299"/>
    <s v="CUST-0192"/>
    <s v="PROD-053"/>
    <s v="R003"/>
    <n v="8"/>
    <n v="470"/>
    <n v="25.2"/>
    <n v="2812.48"/>
    <s v="Completed"/>
    <s v="Bengaluru"/>
    <x v="4"/>
    <x v="1"/>
    <x v="0"/>
    <n v="302"/>
    <n v="470"/>
  </r>
  <r>
    <s v="ORD-00775"/>
    <x v="307"/>
    <s v="CUST-0241"/>
    <s v="PROD-040"/>
    <s v="R012"/>
    <n v="6"/>
    <n v="1080"/>
    <n v="25"/>
    <n v="4860"/>
    <s v="Completed"/>
    <s v="Pune"/>
    <x v="0"/>
    <x v="3"/>
    <x v="1"/>
    <n v="519"/>
    <n v="1080"/>
  </r>
  <r>
    <s v="ORD-00776"/>
    <x v="218"/>
    <s v="CUST-0243"/>
    <s v="PROD-054"/>
    <s v="R019"/>
    <n v="2"/>
    <n v="1010"/>
    <n v="16.100000000000001"/>
    <n v="1694.78"/>
    <s v="Completed"/>
    <s v="Pune"/>
    <x v="0"/>
    <x v="1"/>
    <x v="3"/>
    <n v="516"/>
    <n v="1010"/>
  </r>
  <r>
    <s v="ORD-00777"/>
    <x v="196"/>
    <s v="CUST-0016"/>
    <s v="PROD-004"/>
    <s v="R002"/>
    <n v="6"/>
    <n v="3870"/>
    <n v="22.4"/>
    <n v="18018.72"/>
    <s v="Cancelled"/>
    <s v="Delhi"/>
    <x v="2"/>
    <x v="4"/>
    <x v="0"/>
    <n v="1559"/>
    <n v="3870"/>
  </r>
  <r>
    <s v="ORD-00778"/>
    <x v="219"/>
    <s v="CUST-0249"/>
    <s v="PROD-033"/>
    <s v="R027"/>
    <n v="3"/>
    <n v="2030"/>
    <n v="18.5"/>
    <n v="4963.3500000000004"/>
    <s v="Completed"/>
    <s v="Mumbai"/>
    <x v="3"/>
    <x v="3"/>
    <x v="2"/>
    <n v="1143"/>
    <n v="2030"/>
  </r>
  <r>
    <s v="ORD-00779"/>
    <x v="326"/>
    <s v="CUST-0021"/>
    <s v="PROD-040"/>
    <s v="R027"/>
    <n v="7"/>
    <n v="1080"/>
    <n v="6.8"/>
    <n v="7045.92"/>
    <s v="Pending"/>
    <s v="Pune"/>
    <x v="0"/>
    <x v="3"/>
    <x v="2"/>
    <n v="519"/>
    <n v="1080"/>
  </r>
  <r>
    <s v="ORD-00780"/>
    <x v="303"/>
    <s v="CUST-0255"/>
    <s v="PROD-035"/>
    <s v="R009"/>
    <n v="1"/>
    <n v="1090"/>
    <n v="20.6"/>
    <n v="865.46"/>
    <s v="Completed"/>
    <s v="Chennai"/>
    <x v="1"/>
    <x v="3"/>
    <x v="1"/>
    <n v="464"/>
    <n v="1090"/>
  </r>
  <r>
    <s v="ORD-00781"/>
    <x v="72"/>
    <s v="CUST-0084"/>
    <s v="PROD-032"/>
    <s v="R011"/>
    <n v="8"/>
    <n v="370"/>
    <n v="1.7"/>
    <n v="2909.68"/>
    <s v="Completed"/>
    <s v="Chennai"/>
    <x v="1"/>
    <x v="3"/>
    <x v="1"/>
    <n v="288"/>
    <n v="370"/>
  </r>
  <r>
    <s v="ORD-00782"/>
    <x v="327"/>
    <s v="CUST-0289"/>
    <s v="PROD-018"/>
    <s v="R018"/>
    <n v="7"/>
    <n v="3560"/>
    <n v="28.7"/>
    <n v="17767.96"/>
    <s v="Completed"/>
    <s v="Mumbai"/>
    <x v="3"/>
    <x v="0"/>
    <x v="3"/>
    <n v="2629"/>
    <n v="3560"/>
  </r>
  <r>
    <s v="ORD-00783"/>
    <x v="328"/>
    <s v="CUST-0026"/>
    <s v="PROD-050"/>
    <s v="R016"/>
    <n v="9"/>
    <n v="6080"/>
    <n v="16.3"/>
    <n v="45800.639999999999"/>
    <s v="Cancelled"/>
    <s v="Pune"/>
    <x v="0"/>
    <x v="5"/>
    <x v="1"/>
    <n v="2617"/>
    <n v="6080"/>
  </r>
  <r>
    <s v="ORD-00784"/>
    <x v="265"/>
    <s v="CUST-0273"/>
    <s v="PROD-051"/>
    <s v="R015"/>
    <n v="2"/>
    <n v="3450"/>
    <n v="17.600000000000001"/>
    <n v="5685.6"/>
    <s v="Pending"/>
    <s v="Hyderabad"/>
    <x v="5"/>
    <x v="1"/>
    <x v="1"/>
    <n v="2467"/>
    <n v="3450"/>
  </r>
  <r>
    <s v="ORD-00785"/>
    <x v="24"/>
    <s v="CUST-0069"/>
    <s v="PROD-034"/>
    <s v="R009"/>
    <n v="1"/>
    <n v="5080"/>
    <n v="5.9"/>
    <n v="4780.28"/>
    <s v="Completed"/>
    <s v="Chennai"/>
    <x v="1"/>
    <x v="3"/>
    <x v="1"/>
    <n v="2459"/>
    <n v="5080"/>
  </r>
  <r>
    <s v="ORD-00786"/>
    <x v="234"/>
    <s v="CUST-0236"/>
    <s v="PROD-011"/>
    <s v="R023"/>
    <n v="7"/>
    <n v="3450"/>
    <n v="17.399999999999999"/>
    <n v="19947.900000000001"/>
    <s v="Completed"/>
    <s v="Hyderabad"/>
    <x v="5"/>
    <x v="0"/>
    <x v="3"/>
    <n v="1748"/>
    <n v="3450"/>
  </r>
  <r>
    <s v="ORD-00787"/>
    <x v="210"/>
    <s v="CUST-0060"/>
    <s v="PROD-024"/>
    <s v="R009"/>
    <n v="8"/>
    <n v="2270"/>
    <n v="24.7"/>
    <n v="13674.48"/>
    <s v="Completed"/>
    <s v="Pune"/>
    <x v="0"/>
    <x v="2"/>
    <x v="1"/>
    <n v="1203"/>
    <n v="2270"/>
  </r>
  <r>
    <s v="ORD-00788"/>
    <x v="37"/>
    <s v="CUST-0243"/>
    <s v="PROD-012"/>
    <s v="R023"/>
    <n v="3"/>
    <n v="3160"/>
    <n v="1.5"/>
    <n v="9337.7999999999993"/>
    <s v="Pending"/>
    <s v="Pune"/>
    <x v="0"/>
    <x v="0"/>
    <x v="3"/>
    <n v="1886"/>
    <n v="3160"/>
  </r>
  <r>
    <s v="ORD-00789"/>
    <x v="44"/>
    <s v="CUST-0188"/>
    <s v="PROD-043"/>
    <s v="R029"/>
    <n v="6"/>
    <n v="3350"/>
    <n v="0.9"/>
    <n v="19919.099999999999"/>
    <s v="Pending"/>
    <s v="Bengaluru"/>
    <x v="4"/>
    <x v="5"/>
    <x v="2"/>
    <n v="1728"/>
    <n v="3350"/>
  </r>
  <r>
    <s v="ORD-00790"/>
    <x v="47"/>
    <s v="CUST-0174"/>
    <s v="PROD-044"/>
    <s v="R029"/>
    <n v="7"/>
    <n v="1650"/>
    <n v="5.6"/>
    <n v="10903.2"/>
    <s v="Refunded"/>
    <s v="Pune"/>
    <x v="0"/>
    <x v="5"/>
    <x v="2"/>
    <n v="1222"/>
    <n v="1650"/>
  </r>
  <r>
    <s v="ORD-00791"/>
    <x v="73"/>
    <s v="CUST-0016"/>
    <s v="PROD-038"/>
    <s v="R003"/>
    <n v="1"/>
    <n v="5490"/>
    <n v="5.8"/>
    <n v="5171.58"/>
    <s v="Completed"/>
    <s v="Delhi"/>
    <x v="2"/>
    <x v="3"/>
    <x v="0"/>
    <n v="2549"/>
    <n v="5490"/>
  </r>
  <r>
    <s v="ORD-00792"/>
    <x v="171"/>
    <s v="CUST-0184"/>
    <s v="PROD-040"/>
    <s v="R024"/>
    <n v="3"/>
    <n v="1080"/>
    <n v="20.9"/>
    <n v="2562.84"/>
    <s v="Completed"/>
    <s v="Pune"/>
    <x v="0"/>
    <x v="3"/>
    <x v="2"/>
    <n v="519"/>
    <n v="1080"/>
  </r>
  <r>
    <s v="ORD-00793"/>
    <x v="224"/>
    <s v="CUST-9568"/>
    <s v="PROD-027"/>
    <s v="R018"/>
    <n v="10"/>
    <n v="3780"/>
    <n v="5.5"/>
    <n v="35721"/>
    <s v="Completed"/>
    <s v="Hyderabad"/>
    <x v="5"/>
    <x v="2"/>
    <x v="3"/>
    <n v="2436"/>
    <n v="3780"/>
  </r>
  <r>
    <s v="ORD-00794"/>
    <x v="307"/>
    <s v="CUST-0118"/>
    <s v="PROD-033"/>
    <s v="R030"/>
    <n v="2"/>
    <n v="2030"/>
    <n v="2"/>
    <n v="3978.8"/>
    <s v="Pending"/>
    <s v="Hyderabad"/>
    <x v="5"/>
    <x v="3"/>
    <x v="2"/>
    <n v="1143"/>
    <n v="2030"/>
  </r>
  <r>
    <s v="ORD-00795"/>
    <x v="329"/>
    <s v="CUST-0271"/>
    <s v="PROD-041"/>
    <s v="R019"/>
    <n v="8"/>
    <n v="1540"/>
    <n v="9"/>
    <n v="11211.2"/>
    <s v="Cancelled"/>
    <s v="Bengaluru"/>
    <x v="4"/>
    <x v="5"/>
    <x v="3"/>
    <n v="647"/>
    <n v="1540"/>
  </r>
  <r>
    <s v="ORD-00796"/>
    <x v="131"/>
    <s v="CUST-0147"/>
    <s v="PROD-036"/>
    <s v="R015"/>
    <n v="9"/>
    <n v="3250"/>
    <n v="20.5"/>
    <n v="23253.75"/>
    <s v="Completed"/>
    <s v="Pune"/>
    <x v="0"/>
    <x v="3"/>
    <x v="1"/>
    <n v="1556"/>
    <n v="3250"/>
  </r>
  <r>
    <s v="ORD-00797"/>
    <x v="112"/>
    <s v="CUST-0253"/>
    <s v="PROD-047"/>
    <s v="R005"/>
    <n v="3"/>
    <n v="3450"/>
    <n v="17.899999999999999"/>
    <n v="8497.35"/>
    <s v="Completed"/>
    <s v="Delhi"/>
    <x v="2"/>
    <x v="5"/>
    <x v="0"/>
    <n v="2420"/>
    <n v="3450"/>
  </r>
  <r>
    <s v="ORD-00798"/>
    <x v="172"/>
    <s v="CUST-0224"/>
    <s v="PROD-038"/>
    <s v="R008"/>
    <n v="5"/>
    <n v="5490"/>
    <n v="7.9"/>
    <n v="25281.45"/>
    <s v="Completed"/>
    <s v="Chennai"/>
    <x v="1"/>
    <x v="3"/>
    <x v="0"/>
    <n v="2549"/>
    <n v="5490"/>
  </r>
  <r>
    <s v="ORD-00799"/>
    <x v="141"/>
    <s v="CUST-0134"/>
    <s v="PROD-032"/>
    <s v="R029"/>
    <n v="3"/>
    <n v="370"/>
    <n v="13.4"/>
    <n v="961.26"/>
    <s v="Completed"/>
    <s v="Delhi"/>
    <x v="2"/>
    <x v="3"/>
    <x v="2"/>
    <n v="288"/>
    <n v="370"/>
  </r>
  <r>
    <s v="ORD-00800"/>
    <x v="3"/>
    <s v="CUST-0287"/>
    <s v="PROD-001"/>
    <s v="R009"/>
    <n v="7"/>
    <n v="5330"/>
    <n v="29.7"/>
    <n v="26228.93"/>
    <s v="Pending"/>
    <s v="Chennai"/>
    <x v="1"/>
    <x v="4"/>
    <x v="1"/>
    <n v="2405"/>
    <n v="5330"/>
  </r>
  <r>
    <s v="ORD-00801"/>
    <x v="213"/>
    <s v="CUST-0144"/>
    <s v="PROD-051"/>
    <s v="R016"/>
    <n v="8"/>
    <n v="3450"/>
    <n v="23.7"/>
    <n v="21058.799999999999"/>
    <s v="Completed"/>
    <s v="Chennai"/>
    <x v="1"/>
    <x v="1"/>
    <x v="1"/>
    <n v="2467"/>
    <n v="3450"/>
  </r>
  <r>
    <s v="ORD-00802"/>
    <x v="309"/>
    <s v="CUST-0255"/>
    <s v="PROD-011"/>
    <s v="R027"/>
    <n v="8"/>
    <n v="3450"/>
    <n v="5.4"/>
    <n v="26109.599999999999"/>
    <s v="Completed"/>
    <s v="Chennai"/>
    <x v="1"/>
    <x v="0"/>
    <x v="2"/>
    <n v="1748"/>
    <n v="3450"/>
  </r>
  <r>
    <s v="ORD-00803"/>
    <x v="325"/>
    <s v="CUST-0054"/>
    <s v="PROD-050"/>
    <s v="R029"/>
    <n v="1"/>
    <n v="6080"/>
    <n v="22.3"/>
    <n v="4724.16"/>
    <s v="Completed"/>
    <s v="Mumbai"/>
    <x v="3"/>
    <x v="5"/>
    <x v="2"/>
    <n v="2617"/>
    <n v="6080"/>
  </r>
  <r>
    <s v="ORD-00804"/>
    <x v="100"/>
    <s v="CUST-0283"/>
    <s v="PROD-017"/>
    <s v="R011"/>
    <n v="9"/>
    <n v="2510"/>
    <n v="27.4"/>
    <n v="16400.34"/>
    <s v="Completed"/>
    <s v="Delhi"/>
    <x v="2"/>
    <x v="0"/>
    <x v="1"/>
    <n v="1075"/>
    <n v="2510"/>
  </r>
  <r>
    <s v="ORD-00805"/>
    <x v="40"/>
    <s v="CUST-0182"/>
    <s v="PROD-054"/>
    <s v="R012"/>
    <n v="10"/>
    <n v="1010"/>
    <n v="28.4"/>
    <n v="7231.6"/>
    <s v="Completed"/>
    <s v="Mumbai"/>
    <x v="3"/>
    <x v="1"/>
    <x v="1"/>
    <n v="516"/>
    <n v="1010"/>
  </r>
  <r>
    <s v="ORD-00806"/>
    <x v="24"/>
    <s v="CUST-0289"/>
    <s v="PROD-018"/>
    <s v="R023"/>
    <n v="1"/>
    <n v="3560"/>
    <n v="26"/>
    <n v="2634.4"/>
    <s v="Completed"/>
    <s v="Mumbai"/>
    <x v="3"/>
    <x v="0"/>
    <x v="3"/>
    <n v="2629"/>
    <n v="3560"/>
  </r>
  <r>
    <s v="ORD-00807"/>
    <x v="245"/>
    <s v="CUST-0104"/>
    <s v="PROD-045"/>
    <s v="R006"/>
    <n v="8"/>
    <n v="3020"/>
    <n v="6.9"/>
    <n v="22492.959999999999"/>
    <s v="Completed"/>
    <s v="Hyderabad"/>
    <x v="5"/>
    <x v="5"/>
    <x v="0"/>
    <n v="1626"/>
    <n v="3020"/>
  </r>
  <r>
    <s v="ORD-00808"/>
    <x v="114"/>
    <s v="CUST-0085"/>
    <s v="PROD-026"/>
    <s v="R017"/>
    <n v="1"/>
    <n v="4070"/>
    <n v="8.1999999999999993"/>
    <n v="3736.26"/>
    <s v="Completed"/>
    <s v="Chennai"/>
    <x v="1"/>
    <x v="2"/>
    <x v="3"/>
    <n v="2027"/>
    <n v="4070"/>
  </r>
  <r>
    <s v="ORD-00809"/>
    <x v="324"/>
    <s v="CUST-0120"/>
    <s v="PROD-032"/>
    <s v="R020"/>
    <n v="9"/>
    <n v="370"/>
    <n v="19.8"/>
    <n v="2670.66"/>
    <s v="Completed"/>
    <s v="Mumbai"/>
    <x v="3"/>
    <x v="3"/>
    <x v="3"/>
    <n v="288"/>
    <n v="370"/>
  </r>
  <r>
    <s v="ORD-00810"/>
    <x v="227"/>
    <s v="CUST-0236"/>
    <s v="PROD-030"/>
    <s v="R020"/>
    <n v="6"/>
    <n v="970"/>
    <n v="16.2"/>
    <n v="4877.16"/>
    <s v="Completed"/>
    <s v="Hyderabad"/>
    <x v="5"/>
    <x v="2"/>
    <x v="3"/>
    <n v="434"/>
    <n v="970"/>
  </r>
  <r>
    <s v="ORD-00811"/>
    <x v="142"/>
    <s v="CUST-0094"/>
    <s v="PROD-015"/>
    <s v="R019"/>
    <n v="10"/>
    <n v="2720"/>
    <n v="3"/>
    <n v="26384"/>
    <s v="Pending"/>
    <s v="Pune"/>
    <x v="0"/>
    <x v="0"/>
    <x v="3"/>
    <n v="1962"/>
    <n v="2720"/>
  </r>
  <r>
    <s v="ORD-00812"/>
    <x v="174"/>
    <s v="CUST-0030"/>
    <s v="PROD-058"/>
    <s v="R014"/>
    <n v="7"/>
    <n v="2400"/>
    <n v="29.4"/>
    <n v="11860.8"/>
    <s v="Completed"/>
    <s v="Bengaluru"/>
    <x v="4"/>
    <x v="1"/>
    <x v="1"/>
    <n v="974"/>
    <n v="2400"/>
  </r>
  <r>
    <s v="ORD-00813"/>
    <x v="148"/>
    <s v="CUST-0172"/>
    <s v="PROD-018"/>
    <s v="R012"/>
    <n v="8"/>
    <n v="3560"/>
    <n v="21.7"/>
    <n v="22299.84"/>
    <s v="Completed"/>
    <s v="Pune"/>
    <x v="0"/>
    <x v="0"/>
    <x v="1"/>
    <n v="2629"/>
    <n v="3560"/>
  </r>
  <r>
    <s v="ORD-00814"/>
    <x v="217"/>
    <s v="CUST-0221"/>
    <s v="PROD-026"/>
    <s v="R015"/>
    <n v="7"/>
    <n v="4070"/>
    <n v="10.5"/>
    <n v="25498.55"/>
    <s v="Completed"/>
    <s v="Delhi"/>
    <x v="2"/>
    <x v="2"/>
    <x v="1"/>
    <n v="2027"/>
    <n v="4070"/>
  </r>
  <r>
    <s v="ORD-01052"/>
    <x v="193"/>
    <s v="CUST-0151"/>
    <s v="PROD-052"/>
    <s v="R008"/>
    <n v="3"/>
    <n v="5410"/>
    <n v="0.2"/>
    <n v="16197.54"/>
    <s v="Completed"/>
    <s v="Mumbai"/>
    <x v="3"/>
    <x v="1"/>
    <x v="0"/>
    <n v="2265"/>
    <n v="5410"/>
  </r>
  <r>
    <s v="ORD-00816"/>
    <x v="330"/>
    <s v="CUST-0068"/>
    <s v="PROD-021"/>
    <s v="R028"/>
    <n v="4"/>
    <n v="2760"/>
    <n v="27.5"/>
    <n v="8004"/>
    <s v="Cancelled"/>
    <s v="Delhi"/>
    <x v="2"/>
    <x v="2"/>
    <x v="2"/>
    <n v="1435"/>
    <n v="2760"/>
  </r>
  <r>
    <s v="ORD-01136"/>
    <x v="267"/>
    <s v="CUST-0165"/>
    <s v="PROD-034"/>
    <s v="R013"/>
    <n v="3"/>
    <n v="5080"/>
    <n v="27.2"/>
    <n v="11094.72"/>
    <s v="Completed"/>
    <s v="Pune"/>
    <x v="0"/>
    <x v="3"/>
    <x v="1"/>
    <n v="2459"/>
    <n v="5080"/>
  </r>
  <r>
    <s v="ORD-00818"/>
    <x v="139"/>
    <s v="CUST-0060"/>
    <s v="PROD-035"/>
    <s v="R017"/>
    <n v="5"/>
    <n v="1090"/>
    <n v="3.3"/>
    <n v="5270.15"/>
    <s v="Completed"/>
    <s v="Pune"/>
    <x v="0"/>
    <x v="3"/>
    <x v="3"/>
    <n v="464"/>
    <n v="1090"/>
  </r>
  <r>
    <s v="ORD-00819"/>
    <x v="60"/>
    <s v="CUST-0130"/>
    <s v="PROD-023"/>
    <s v="R029"/>
    <n v="10"/>
    <n v="2380"/>
    <n v="7"/>
    <n v="22134"/>
    <s v="Completed"/>
    <s v="Bengaluru"/>
    <x v="4"/>
    <x v="2"/>
    <x v="2"/>
    <n v="1182"/>
    <n v="2380"/>
  </r>
  <r>
    <s v="ORD-00820"/>
    <x v="156"/>
    <s v="CUST-0023"/>
    <s v="PROD-012"/>
    <s v="R026"/>
    <n v="5"/>
    <n v="3160"/>
    <n v="25.6"/>
    <n v="11755.2"/>
    <s v="Completed"/>
    <s v="Chennai"/>
    <x v="1"/>
    <x v="0"/>
    <x v="2"/>
    <n v="1886"/>
    <n v="3160"/>
  </r>
  <r>
    <s v="ORD-00821"/>
    <x v="331"/>
    <s v="CUST-0089"/>
    <s v="PROD-058"/>
    <s v="R029"/>
    <n v="9"/>
    <n v="2400"/>
    <n v="8.4"/>
    <n v="19785.599999999999"/>
    <s v="Completed"/>
    <s v="Mumbai"/>
    <x v="3"/>
    <x v="1"/>
    <x v="2"/>
    <n v="974"/>
    <n v="2400"/>
  </r>
  <r>
    <s v="ORD-00822"/>
    <x v="121"/>
    <s v="CUST-0300"/>
    <s v="PROD-002"/>
    <s v="R020"/>
    <n v="4"/>
    <n v="2600"/>
    <n v="4.2"/>
    <n v="9963.2000000000007"/>
    <s v="Completed"/>
    <s v="Mumbai"/>
    <x v="3"/>
    <x v="4"/>
    <x v="3"/>
    <n v="1052"/>
    <n v="2600"/>
  </r>
  <r>
    <s v="ORD-00823"/>
    <x v="132"/>
    <s v="CUST-9578"/>
    <s v="PROD-024"/>
    <s v="R023"/>
    <n v="5"/>
    <n v="2270"/>
    <n v="0.1"/>
    <n v="11338.65"/>
    <s v="Completed"/>
    <s v="Mumbai"/>
    <x v="3"/>
    <x v="2"/>
    <x v="3"/>
    <n v="1203"/>
    <n v="2270"/>
  </r>
  <r>
    <s v="ORD-00824"/>
    <x v="57"/>
    <s v="CUST-0130"/>
    <s v="PROD-038"/>
    <s v="R020"/>
    <n v="7"/>
    <n v="5490"/>
    <n v="14.9"/>
    <n v="32703.93"/>
    <s v="Completed"/>
    <s v="Bengaluru"/>
    <x v="4"/>
    <x v="3"/>
    <x v="3"/>
    <n v="2549"/>
    <n v="5490"/>
  </r>
  <r>
    <s v="ORD-00825"/>
    <x v="209"/>
    <s v="CUST-0247"/>
    <s v="PROD-004"/>
    <s v="R009"/>
    <n v="5"/>
    <n v="3870"/>
    <n v="13.3"/>
    <n v="16776.45"/>
    <s v="Cancelled"/>
    <s v="Pune"/>
    <x v="0"/>
    <x v="4"/>
    <x v="1"/>
    <n v="1559"/>
    <n v="3870"/>
  </r>
  <r>
    <s v="ORD-00826"/>
    <x v="332"/>
    <s v="CUST-0256"/>
    <s v="PROD-049"/>
    <s v="R024"/>
    <n v="2"/>
    <n v="960"/>
    <n v="17.5"/>
    <n v="1584"/>
    <s v="Completed"/>
    <s v="Hyderabad"/>
    <x v="5"/>
    <x v="5"/>
    <x v="2"/>
    <n v="675"/>
    <n v="960"/>
  </r>
  <r>
    <s v="ORD-00827"/>
    <x v="171"/>
    <s v="CUST-0213"/>
    <s v="PROD-046"/>
    <s v="R001"/>
    <n v="4"/>
    <n v="4880"/>
    <n v="12.2"/>
    <n v="17138.560000000001"/>
    <s v="Cancelled"/>
    <s v="Mumbai"/>
    <x v="3"/>
    <x v="5"/>
    <x v="0"/>
    <n v="2768"/>
    <n v="4880"/>
  </r>
  <r>
    <s v="ORD-00828"/>
    <x v="140"/>
    <s v="CUST-0183"/>
    <s v="PROD-058"/>
    <s v="R008"/>
    <n v="5"/>
    <n v="2400"/>
    <n v="15"/>
    <n v="10200"/>
    <s v="Completed"/>
    <s v="Mumbai"/>
    <x v="3"/>
    <x v="1"/>
    <x v="0"/>
    <n v="974"/>
    <n v="2400"/>
  </r>
  <r>
    <s v="ORD-00829"/>
    <x v="190"/>
    <s v="CUST-0051"/>
    <s v="PROD-016"/>
    <s v="R015"/>
    <n v="9"/>
    <n v="620"/>
    <n v="20.399999999999999"/>
    <n v="4441.68"/>
    <s v="Pending"/>
    <s v="Pune"/>
    <x v="0"/>
    <x v="0"/>
    <x v="1"/>
    <n v="396"/>
    <n v="620"/>
  </r>
  <r>
    <s v="ORD-00830"/>
    <x v="191"/>
    <s v="CUST-0001"/>
    <s v="PROD-039"/>
    <s v="R013"/>
    <n v="1"/>
    <n v="4610"/>
    <n v="1.8"/>
    <n v="4527.0200000000004"/>
    <s v="Pending"/>
    <s v="Pune"/>
    <x v="0"/>
    <x v="3"/>
    <x v="1"/>
    <n v="1850"/>
    <n v="4610"/>
  </r>
  <r>
    <s v="ORD-00831"/>
    <x v="66"/>
    <s v="CUST-0105"/>
    <s v="PROD-039"/>
    <s v="R014"/>
    <n v="7"/>
    <n v="4610"/>
    <n v="27"/>
    <n v="23557.1"/>
    <s v="Completed"/>
    <s v="Chennai"/>
    <x v="1"/>
    <x v="3"/>
    <x v="1"/>
    <n v="1850"/>
    <n v="4610"/>
  </r>
  <r>
    <s v="ORD-00832"/>
    <x v="170"/>
    <s v="CUST-0199"/>
    <s v="PROD-030"/>
    <s v="R029"/>
    <n v="6"/>
    <n v="970"/>
    <n v="4.7"/>
    <n v="5546.46"/>
    <s v="Cancelled"/>
    <s v="Hyderabad"/>
    <x v="5"/>
    <x v="2"/>
    <x v="2"/>
    <n v="434"/>
    <n v="970"/>
  </r>
  <r>
    <s v="ORD-00833"/>
    <x v="331"/>
    <s v="CUST-0240"/>
    <s v="PROD-007"/>
    <s v="R026"/>
    <n v="8"/>
    <n v="1430"/>
    <n v="8.6999999999999993"/>
    <n v="10444.719999999999"/>
    <s v="Completed"/>
    <s v="Chennai"/>
    <x v="1"/>
    <x v="4"/>
    <x v="2"/>
    <n v="861"/>
    <n v="1430"/>
  </r>
  <r>
    <s v="ORD-00834"/>
    <x v="333"/>
    <s v="CUST-0283"/>
    <s v="PROD-027"/>
    <s v="R011"/>
    <n v="5"/>
    <n v="3780"/>
    <n v="2.9"/>
    <n v="18351.900000000001"/>
    <s v="Completed"/>
    <s v="Delhi"/>
    <x v="2"/>
    <x v="2"/>
    <x v="1"/>
    <n v="2436"/>
    <n v="3780"/>
  </r>
  <r>
    <s v="ORD-00835"/>
    <x v="147"/>
    <s v="CUST-0284"/>
    <s v="PROD-041"/>
    <s v="R023"/>
    <n v="2"/>
    <n v="1540"/>
    <n v="12.7"/>
    <n v="2688.84"/>
    <s v="Completed"/>
    <s v="Hyderabad"/>
    <x v="5"/>
    <x v="5"/>
    <x v="3"/>
    <n v="647"/>
    <n v="1540"/>
  </r>
  <r>
    <s v="ORD-00836"/>
    <x v="155"/>
    <s v="CUST-0060"/>
    <s v="PROD-040"/>
    <s v="R020"/>
    <n v="9"/>
    <n v="1080"/>
    <n v="11.2"/>
    <n v="8631.36"/>
    <s v="Cancelled"/>
    <s v="Pune"/>
    <x v="0"/>
    <x v="3"/>
    <x v="3"/>
    <n v="519"/>
    <n v="1080"/>
  </r>
  <r>
    <s v="ORD-00837"/>
    <x v="213"/>
    <s v="CUST-0266"/>
    <s v="PROD-058"/>
    <s v="R007"/>
    <n v="3"/>
    <n v="2400"/>
    <n v="28.6"/>
    <n v="5140.8"/>
    <s v="Completed"/>
    <s v="Pune"/>
    <x v="0"/>
    <x v="1"/>
    <x v="0"/>
    <n v="974"/>
    <n v="2400"/>
  </r>
  <r>
    <s v="ORD-00838"/>
    <x v="120"/>
    <s v="CUST-0056"/>
    <s v="PROD-040"/>
    <s v="R018"/>
    <n v="5"/>
    <n v="1080"/>
    <n v="18.3"/>
    <n v="4411.8"/>
    <s v="Completed"/>
    <s v="Bengaluru"/>
    <x v="4"/>
    <x v="3"/>
    <x v="3"/>
    <n v="519"/>
    <n v="1080"/>
  </r>
  <r>
    <s v="ORD-00839"/>
    <x v="294"/>
    <s v="CUST-0187"/>
    <s v="PROD-024"/>
    <s v="R027"/>
    <n v="7"/>
    <n v="2270"/>
    <n v="1.7"/>
    <n v="15619.87"/>
    <s v="Cancelled"/>
    <s v="Chennai"/>
    <x v="1"/>
    <x v="2"/>
    <x v="2"/>
    <n v="1203"/>
    <n v="2270"/>
  </r>
  <r>
    <s v="ORD-00840"/>
    <x v="334"/>
    <s v="CUST-0183"/>
    <s v="PROD-028"/>
    <s v="R026"/>
    <n v="8"/>
    <n v="3660"/>
    <n v="19.100000000000001"/>
    <n v="23687.52"/>
    <s v="Cancelled"/>
    <s v="Mumbai"/>
    <x v="3"/>
    <x v="2"/>
    <x v="2"/>
    <n v="2214"/>
    <n v="3660"/>
  </r>
  <r>
    <s v="ORD-00841"/>
    <x v="302"/>
    <s v="CUST-0068"/>
    <s v="PROD-036"/>
    <s v="R003"/>
    <n v="5"/>
    <n v="3250"/>
    <n v="12.9"/>
    <n v="14153.75"/>
    <s v="Completed"/>
    <s v="Delhi"/>
    <x v="2"/>
    <x v="3"/>
    <x v="0"/>
    <n v="1556"/>
    <n v="3250"/>
  </r>
  <r>
    <s v="ORD-00842"/>
    <x v="60"/>
    <s v="CUST-0135"/>
    <s v="PROD-044"/>
    <s v="R012"/>
    <n v="4"/>
    <n v="1650"/>
    <n v="4.0999999999999996"/>
    <n v="6329.4"/>
    <s v="Completed"/>
    <s v="Pune"/>
    <x v="0"/>
    <x v="5"/>
    <x v="1"/>
    <n v="1222"/>
    <n v="1650"/>
  </r>
  <r>
    <s v="ORD-00843"/>
    <x v="207"/>
    <s v="CUST-0191"/>
    <s v="PROD-034"/>
    <s v="R003"/>
    <n v="6"/>
    <n v="5080"/>
    <n v="3"/>
    <n v="29565.599999999999"/>
    <s v="Completed"/>
    <s v="Hyderabad"/>
    <x v="5"/>
    <x v="3"/>
    <x v="0"/>
    <n v="2459"/>
    <n v="5080"/>
  </r>
  <r>
    <s v="ORD-00844"/>
    <x v="105"/>
    <s v="CUST-0244"/>
    <s v="PROD-051"/>
    <s v="R027"/>
    <n v="8"/>
    <n v="3450"/>
    <n v="20.9"/>
    <n v="21831.599999999999"/>
    <s v="Completed"/>
    <s v="Bengaluru"/>
    <x v="4"/>
    <x v="1"/>
    <x v="2"/>
    <n v="2467"/>
    <n v="3450"/>
  </r>
  <r>
    <s v="ORD-00845"/>
    <x v="335"/>
    <s v="CUST-0189"/>
    <s v="PROD-043"/>
    <s v="R018"/>
    <n v="6"/>
    <n v="3350"/>
    <n v="24.8"/>
    <n v="15115.2"/>
    <s v="Completed"/>
    <s v="Chennai"/>
    <x v="1"/>
    <x v="5"/>
    <x v="3"/>
    <n v="1728"/>
    <n v="3350"/>
  </r>
  <r>
    <s v="ORD-00846"/>
    <x v="310"/>
    <s v="CUST-0166"/>
    <s v="PROD-029"/>
    <s v="R027"/>
    <n v="10"/>
    <n v="2210"/>
    <n v="4.2"/>
    <n v="21171.8"/>
    <s v="Completed"/>
    <s v="Hyderabad"/>
    <x v="5"/>
    <x v="2"/>
    <x v="2"/>
    <n v="1010"/>
    <n v="2210"/>
  </r>
  <r>
    <s v="ORD-00847"/>
    <x v="328"/>
    <s v="CUST-0167"/>
    <s v="PROD-046"/>
    <s v="R006"/>
    <n v="10"/>
    <n v="4880"/>
    <n v="0.7"/>
    <n v="48458.400000000001"/>
    <s v="Completed"/>
    <s v="Delhi"/>
    <x v="2"/>
    <x v="5"/>
    <x v="0"/>
    <n v="2768"/>
    <n v="4880"/>
  </r>
  <r>
    <s v="ORD-00848"/>
    <x v="264"/>
    <s v="CUST-0265"/>
    <s v="PROD-055"/>
    <s v="R004"/>
    <n v="7"/>
    <n v="2860"/>
    <n v="28.1"/>
    <n v="14394.38"/>
    <s v="Pending"/>
    <s v="Chennai"/>
    <x v="1"/>
    <x v="1"/>
    <x v="0"/>
    <n v="2028"/>
    <n v="2860"/>
  </r>
  <r>
    <s v="ORD-00849"/>
    <x v="248"/>
    <s v="CUST-0172"/>
    <s v="PROD-030"/>
    <s v="R005"/>
    <n v="3"/>
    <n v="970"/>
    <n v="28.3"/>
    <n v="2086.4699999999998"/>
    <s v="Completed"/>
    <s v="Pune"/>
    <x v="0"/>
    <x v="2"/>
    <x v="0"/>
    <n v="434"/>
    <n v="970"/>
  </r>
  <r>
    <s v="ORD-00850"/>
    <x v="315"/>
    <s v="CUST-0205"/>
    <s v="PROD-022"/>
    <s v="R008"/>
    <n v="1"/>
    <n v="2270"/>
    <n v="15.1"/>
    <n v="1927.23"/>
    <s v="Completed"/>
    <s v="Pune"/>
    <x v="0"/>
    <x v="2"/>
    <x v="0"/>
    <n v="1412"/>
    <n v="2270"/>
  </r>
  <r>
    <s v="ORD-00851"/>
    <x v="258"/>
    <s v="CUST-0102"/>
    <s v="PROD-018"/>
    <s v="R015"/>
    <n v="5"/>
    <n v="3560"/>
    <n v="11.5"/>
    <n v="15753"/>
    <s v="Completed"/>
    <s v="Chennai"/>
    <x v="1"/>
    <x v="0"/>
    <x v="1"/>
    <n v="2629"/>
    <n v="3560"/>
  </r>
  <r>
    <s v="ORD-00852"/>
    <x v="140"/>
    <s v="CUST-0142"/>
    <s v="PROD-052"/>
    <s v="R010"/>
    <n v="2"/>
    <n v="5410"/>
    <n v="14.8"/>
    <n v="9218.64"/>
    <s v="Pending"/>
    <s v="Chennai"/>
    <x v="1"/>
    <x v="1"/>
    <x v="1"/>
    <n v="2265"/>
    <n v="5410"/>
  </r>
  <r>
    <s v="ORD-00853"/>
    <x v="165"/>
    <s v="CUST-0195"/>
    <s v="PROD-019"/>
    <s v="R006"/>
    <n v="2"/>
    <n v="2480"/>
    <n v="27.2"/>
    <n v="3610.88"/>
    <s v="Completed"/>
    <s v="Bengaluru"/>
    <x v="4"/>
    <x v="0"/>
    <x v="0"/>
    <n v="1173"/>
    <n v="2480"/>
  </r>
  <r>
    <s v="ORD-00854"/>
    <x v="154"/>
    <s v="CUST-0125"/>
    <s v="PROD-020"/>
    <s v="R014"/>
    <n v="6"/>
    <n v="820"/>
    <n v="6.6"/>
    <n v="4595.28"/>
    <s v="Completed"/>
    <s v="Delhi"/>
    <x v="2"/>
    <x v="0"/>
    <x v="1"/>
    <n v="391"/>
    <n v="820"/>
  </r>
  <r>
    <s v="ORD-00855"/>
    <x v="224"/>
    <s v="CUST-0234"/>
    <s v="PROD-001"/>
    <s v="R015"/>
    <n v="10"/>
    <n v="5330"/>
    <n v="16.100000000000001"/>
    <n v="44718.7"/>
    <s v="Completed"/>
    <s v="Bengaluru"/>
    <x v="4"/>
    <x v="4"/>
    <x v="1"/>
    <n v="2405"/>
    <n v="5330"/>
  </r>
  <r>
    <s v="ORD-00856"/>
    <x v="334"/>
    <s v="CUST-0061"/>
    <s v="PROD-047"/>
    <s v="R004"/>
    <n v="2"/>
    <n v="3450"/>
    <n v="11.3"/>
    <n v="6120.3"/>
    <s v="Pending"/>
    <s v="Hyderabad"/>
    <x v="5"/>
    <x v="5"/>
    <x v="0"/>
    <n v="2420"/>
    <n v="3450"/>
  </r>
  <r>
    <s v="ORD-00857"/>
    <x v="97"/>
    <s v="CUST-0189"/>
    <s v="PROD-049"/>
    <s v="R023"/>
    <n v="7"/>
    <n v="960"/>
    <n v="17.100000000000001"/>
    <n v="5570.88"/>
    <s v="Completed"/>
    <s v="Chennai"/>
    <x v="1"/>
    <x v="5"/>
    <x v="3"/>
    <n v="675"/>
    <n v="960"/>
  </r>
  <r>
    <s v="ORD-00858"/>
    <x v="235"/>
    <s v="CUST-0191"/>
    <s v="PROD-011"/>
    <s v="R003"/>
    <n v="5"/>
    <n v="3450"/>
    <n v="22.9"/>
    <n v="13299.75"/>
    <s v="Completed"/>
    <s v="Hyderabad"/>
    <x v="5"/>
    <x v="0"/>
    <x v="0"/>
    <n v="1748"/>
    <n v="3450"/>
  </r>
  <r>
    <s v="ORD-00859"/>
    <x v="287"/>
    <s v="CUST-0217"/>
    <s v="PROD-009"/>
    <s v="R008"/>
    <n v="5"/>
    <n v="1220"/>
    <n v="0.3"/>
    <n v="6081.7"/>
    <s v="Completed"/>
    <s v="Pune"/>
    <x v="0"/>
    <x v="4"/>
    <x v="0"/>
    <n v="517"/>
    <n v="1220"/>
  </r>
  <r>
    <s v="ORD-00860"/>
    <x v="231"/>
    <s v="CUST-0060"/>
    <s v="PROD-001"/>
    <s v="R007"/>
    <n v="5"/>
    <n v="5330"/>
    <n v="29"/>
    <n v="18921.5"/>
    <s v="Completed"/>
    <s v="Pune"/>
    <x v="0"/>
    <x v="4"/>
    <x v="0"/>
    <n v="2405"/>
    <n v="5330"/>
  </r>
  <r>
    <s v="ORD-00861"/>
    <x v="29"/>
    <s v="CUST-0270"/>
    <s v="PROD-003"/>
    <s v="R028"/>
    <n v="3"/>
    <n v="3570"/>
    <n v="20"/>
    <n v="8568"/>
    <s v="Cancelled"/>
    <s v="Bengaluru"/>
    <x v="4"/>
    <x v="4"/>
    <x v="2"/>
    <n v="1665"/>
    <n v="3570"/>
  </r>
  <r>
    <s v="ORD-00862"/>
    <x v="8"/>
    <s v="CUST-0279"/>
    <s v="PROD-029"/>
    <s v="R026"/>
    <n v="9"/>
    <n v="2210"/>
    <n v="12.4"/>
    <n v="17423.64"/>
    <s v="Completed"/>
    <s v="Mumbai"/>
    <x v="3"/>
    <x v="2"/>
    <x v="2"/>
    <n v="1010"/>
    <n v="2210"/>
  </r>
  <r>
    <s v="ORD-00863"/>
    <x v="272"/>
    <s v="CUST-0008"/>
    <s v="PROD-059"/>
    <s v="R029"/>
    <n v="5"/>
    <n v="3780"/>
    <n v="3.9"/>
    <n v="18162.900000000001"/>
    <s v="Completed"/>
    <s v="Pune"/>
    <x v="0"/>
    <x v="1"/>
    <x v="2"/>
    <n v="1860"/>
    <n v="3780"/>
  </r>
  <r>
    <s v="ORD-00864"/>
    <x v="17"/>
    <s v="CUST-0259"/>
    <s v="PROD-010"/>
    <s v="R008"/>
    <n v="10"/>
    <n v="2640"/>
    <n v="17.8"/>
    <n v="21700.799999999999"/>
    <s v="Refunded"/>
    <s v="Mumbai"/>
    <x v="3"/>
    <x v="4"/>
    <x v="0"/>
    <n v="1149"/>
    <n v="2640"/>
  </r>
  <r>
    <s v="ORD-00865"/>
    <x v="279"/>
    <s v="CUST-0169"/>
    <s v="PROD-005"/>
    <s v="R024"/>
    <n v="5"/>
    <n v="300"/>
    <n v="12.9"/>
    <n v="1306.5"/>
    <s v="Completed"/>
    <s v="Bengaluru"/>
    <x v="4"/>
    <x v="4"/>
    <x v="2"/>
    <n v="128"/>
    <n v="300"/>
  </r>
  <r>
    <s v="ORD-00866"/>
    <x v="276"/>
    <s v="CUST-0191"/>
    <s v="PROD-058"/>
    <s v="R013"/>
    <n v="2"/>
    <n v="2400"/>
    <n v="17.100000000000001"/>
    <n v="3979.2"/>
    <s v="Pending"/>
    <s v="Hyderabad"/>
    <x v="5"/>
    <x v="1"/>
    <x v="1"/>
    <n v="974"/>
    <n v="2400"/>
  </r>
  <r>
    <s v="ORD-00867"/>
    <x v="336"/>
    <s v="CUST-0129"/>
    <s v="PROD-040"/>
    <s v="R026"/>
    <n v="5"/>
    <n v="1080"/>
    <n v="15.7"/>
    <n v="4552.2"/>
    <s v="Pending"/>
    <s v="Hyderabad"/>
    <x v="5"/>
    <x v="3"/>
    <x v="2"/>
    <n v="519"/>
    <n v="1080"/>
  </r>
  <r>
    <s v="ORD-00868"/>
    <x v="72"/>
    <s v="CUST-0066"/>
    <s v="PROD-036"/>
    <s v="R003"/>
    <n v="1"/>
    <n v="3250"/>
    <n v="14.7"/>
    <n v="2772.25"/>
    <s v="Completed"/>
    <s v="Delhi"/>
    <x v="2"/>
    <x v="3"/>
    <x v="0"/>
    <n v="1556"/>
    <n v="3250"/>
  </r>
  <r>
    <s v="ORD-00869"/>
    <x v="169"/>
    <s v="CUST-0114"/>
    <s v="PROD-032"/>
    <s v="R021"/>
    <n v="7"/>
    <n v="370"/>
    <n v="6"/>
    <n v="2434.6"/>
    <s v="Cancelled"/>
    <s v="Bengaluru"/>
    <x v="4"/>
    <x v="3"/>
    <x v="3"/>
    <n v="288"/>
    <n v="370"/>
  </r>
  <r>
    <s v="ORD-00870"/>
    <x v="186"/>
    <s v="CUST-9833"/>
    <s v="PROD-038"/>
    <s v="R029"/>
    <n v="7"/>
    <n v="5490"/>
    <n v="10.199999999999999"/>
    <n v="34510.14"/>
    <s v="Completed"/>
    <s v="Pune"/>
    <x v="0"/>
    <x v="3"/>
    <x v="2"/>
    <n v="2549"/>
    <n v="5490"/>
  </r>
  <r>
    <s v="ORD-00871"/>
    <x v="337"/>
    <s v="CUST-0076"/>
    <s v="PROD-006"/>
    <s v="R028"/>
    <n v="3"/>
    <n v="3970"/>
    <n v="2.4"/>
    <n v="11624.16"/>
    <s v="Completed"/>
    <s v="Mumbai"/>
    <x v="3"/>
    <x v="4"/>
    <x v="2"/>
    <n v="2865"/>
    <n v="3970"/>
  </r>
  <r>
    <s v="ORD-00872"/>
    <x v="336"/>
    <s v="CUST-0215"/>
    <s v="PROD-009"/>
    <s v="R007"/>
    <n v="4"/>
    <n v="1220"/>
    <n v="25.3"/>
    <n v="3645.36"/>
    <s v="Completed"/>
    <s v="Hyderabad"/>
    <x v="5"/>
    <x v="4"/>
    <x v="0"/>
    <n v="517"/>
    <n v="1220"/>
  </r>
  <r>
    <s v="ORD-00873"/>
    <x v="132"/>
    <s v="CUST-0061"/>
    <s v="PROD-012"/>
    <s v="R026"/>
    <n v="3"/>
    <n v="3160"/>
    <n v="19.8"/>
    <n v="7602.96"/>
    <s v="Completed"/>
    <s v="Hyderabad"/>
    <x v="5"/>
    <x v="0"/>
    <x v="2"/>
    <n v="1886"/>
    <n v="3160"/>
  </r>
  <r>
    <s v="ORD-00874"/>
    <x v="195"/>
    <s v="CUST-0249"/>
    <s v="PROD-005"/>
    <s v="R008"/>
    <n v="1"/>
    <n v="300"/>
    <n v="24.5"/>
    <n v="226.5"/>
    <s v="Completed"/>
    <s v="Mumbai"/>
    <x v="3"/>
    <x v="4"/>
    <x v="0"/>
    <n v="128"/>
    <n v="300"/>
  </r>
  <r>
    <s v="ORD-00875"/>
    <x v="16"/>
    <s v="CUST-0105"/>
    <s v="PROD-047"/>
    <s v="R029"/>
    <n v="5"/>
    <n v="3450"/>
    <n v="13.4"/>
    <n v="14938.5"/>
    <s v="Pending"/>
    <s v="Chennai"/>
    <x v="1"/>
    <x v="5"/>
    <x v="2"/>
    <n v="2420"/>
    <n v="3450"/>
  </r>
  <r>
    <s v="ORD-00876"/>
    <x v="245"/>
    <s v="CUST-0161"/>
    <s v="PROD-014"/>
    <s v="R027"/>
    <n v="7"/>
    <n v="3620"/>
    <n v="19.2"/>
    <n v="20474.72"/>
    <s v="Completed"/>
    <s v="Chennai"/>
    <x v="1"/>
    <x v="0"/>
    <x v="2"/>
    <n v="2509"/>
    <n v="3620"/>
  </r>
  <r>
    <s v="ORD-00877"/>
    <x v="265"/>
    <s v="CUST-0275"/>
    <s v="PROD-024"/>
    <s v="R010"/>
    <n v="10"/>
    <n v="2270"/>
    <n v="20.5"/>
    <n v="18046.5"/>
    <s v="Completed"/>
    <s v="Mumbai"/>
    <x v="3"/>
    <x v="2"/>
    <x v="1"/>
    <n v="1203"/>
    <n v="2270"/>
  </r>
  <r>
    <s v="ORD-00878"/>
    <x v="194"/>
    <s v="CUST-0049"/>
    <s v="PROD-015"/>
    <s v="R024"/>
    <n v="5"/>
    <n v="2720"/>
    <n v="29.3"/>
    <n v="9615.2000000000007"/>
    <s v="Completed"/>
    <s v="Mumbai"/>
    <x v="3"/>
    <x v="0"/>
    <x v="2"/>
    <n v="1962"/>
    <n v="2720"/>
  </r>
  <r>
    <s v="ORD-00879"/>
    <x v="59"/>
    <s v="CUST-0235"/>
    <s v="PROD-027"/>
    <s v="R022"/>
    <n v="9"/>
    <n v="3780"/>
    <n v="2.2999999999999998"/>
    <n v="33237.54"/>
    <s v="Completed"/>
    <s v="Chennai"/>
    <x v="1"/>
    <x v="2"/>
    <x v="3"/>
    <n v="2436"/>
    <n v="3780"/>
  </r>
  <r>
    <s v="ORD-00880"/>
    <x v="184"/>
    <s v="CUST-0220"/>
    <s v="PROD-025"/>
    <s v="R014"/>
    <n v="9"/>
    <n v="4060"/>
    <n v="11.5"/>
    <n v="32337.9"/>
    <s v="Completed"/>
    <s v="Chennai"/>
    <x v="1"/>
    <x v="2"/>
    <x v="1"/>
    <n v="2911"/>
    <n v="4060"/>
  </r>
  <r>
    <s v="ORD-00881"/>
    <x v="25"/>
    <s v="CUST-0298"/>
    <s v="PROD-021"/>
    <s v="R012"/>
    <n v="10"/>
    <n v="2760"/>
    <n v="3.9"/>
    <n v="26523.599999999999"/>
    <s v="Refunded"/>
    <s v="Delhi"/>
    <x v="2"/>
    <x v="2"/>
    <x v="1"/>
    <n v="1435"/>
    <n v="2760"/>
  </r>
  <r>
    <s v="ORD-00882"/>
    <x v="106"/>
    <s v="CUST-0222"/>
    <s v="PROD-040"/>
    <s v="R021"/>
    <n v="10"/>
    <n v="1080"/>
    <n v="21.4"/>
    <n v="8488.7999999999993"/>
    <s v="Completed"/>
    <s v="Chennai"/>
    <x v="1"/>
    <x v="3"/>
    <x v="3"/>
    <n v="519"/>
    <n v="1080"/>
  </r>
  <r>
    <s v="ORD-00883"/>
    <x v="255"/>
    <s v="CUST-0049"/>
    <s v="PROD-034"/>
    <s v="R023"/>
    <n v="6"/>
    <n v="5080"/>
    <n v="29.8"/>
    <n v="21396.959999999999"/>
    <s v="Pending"/>
    <s v="Mumbai"/>
    <x v="3"/>
    <x v="3"/>
    <x v="3"/>
    <n v="2459"/>
    <n v="5080"/>
  </r>
  <r>
    <s v="ORD-00884"/>
    <x v="174"/>
    <s v="CUST-0147"/>
    <s v="PROD-046"/>
    <s v="R030"/>
    <n v="1"/>
    <n v="4880"/>
    <n v="28.2"/>
    <n v="3503.84"/>
    <s v="Completed"/>
    <s v="Pune"/>
    <x v="0"/>
    <x v="5"/>
    <x v="2"/>
    <n v="2768"/>
    <n v="4880"/>
  </r>
  <r>
    <s v="ORD-00885"/>
    <x v="254"/>
    <s v="CUST-0177"/>
    <s v="PROD-022"/>
    <s v="R027"/>
    <n v="1"/>
    <n v="2270"/>
    <n v="27.8"/>
    <n v="1638.94"/>
    <s v="Completed"/>
    <s v="Mumbai"/>
    <x v="3"/>
    <x v="2"/>
    <x v="2"/>
    <n v="1412"/>
    <n v="2270"/>
  </r>
  <r>
    <s v="ORD-00886"/>
    <x v="198"/>
    <s v="CUST-0121"/>
    <s v="PROD-006"/>
    <s v="R019"/>
    <n v="9"/>
    <n v="3970"/>
    <n v="7"/>
    <n v="33228.9"/>
    <s v="Completed"/>
    <s v="Delhi"/>
    <x v="2"/>
    <x v="4"/>
    <x v="3"/>
    <n v="2865"/>
    <n v="3970"/>
  </r>
  <r>
    <s v="ORD-00887"/>
    <x v="199"/>
    <s v="CUST-0262"/>
    <s v="PROD-048"/>
    <s v="R003"/>
    <n v="9"/>
    <n v="5100"/>
    <n v="9.6999999999999993"/>
    <n v="41447.699999999997"/>
    <s v="Completed"/>
    <s v="Mumbai"/>
    <x v="3"/>
    <x v="5"/>
    <x v="0"/>
    <n v="2237"/>
    <n v="5100"/>
  </r>
  <r>
    <s v="ORD-00888"/>
    <x v="71"/>
    <s v="CUST-0246"/>
    <s v="PROD-060"/>
    <s v="R005"/>
    <n v="8"/>
    <n v="190"/>
    <n v="10.199999999999999"/>
    <n v="1364.96"/>
    <s v="Completed"/>
    <s v="Delhi"/>
    <x v="2"/>
    <x v="1"/>
    <x v="0"/>
    <n v="147"/>
    <n v="190"/>
  </r>
  <r>
    <s v="ORD-00889"/>
    <x v="51"/>
    <s v="CUST-0070"/>
    <s v="PROD-050"/>
    <s v="R026"/>
    <n v="1"/>
    <n v="6080"/>
    <n v="5.6"/>
    <n v="5739.52"/>
    <s v="Completed"/>
    <s v="Mumbai"/>
    <x v="3"/>
    <x v="5"/>
    <x v="2"/>
    <n v="2617"/>
    <n v="6080"/>
  </r>
  <r>
    <s v="ORD-00890"/>
    <x v="285"/>
    <s v="CUST-0218"/>
    <s v="PROD-057"/>
    <s v="R020"/>
    <n v="6"/>
    <n v="960"/>
    <n v="1.9"/>
    <n v="5650.56"/>
    <s v="Completed"/>
    <s v="Mumbai"/>
    <x v="3"/>
    <x v="1"/>
    <x v="3"/>
    <n v="705"/>
    <n v="960"/>
  </r>
  <r>
    <s v="ORD-00891"/>
    <x v="309"/>
    <s v="CUST-0068"/>
    <s v="PROD-041"/>
    <s v="R004"/>
    <n v="7"/>
    <n v="1540"/>
    <n v="7.1"/>
    <n v="10014.620000000001"/>
    <s v="Completed"/>
    <s v="Delhi"/>
    <x v="2"/>
    <x v="5"/>
    <x v="0"/>
    <n v="647"/>
    <n v="1540"/>
  </r>
  <r>
    <s v="ORD-00892"/>
    <x v="60"/>
    <s v="CUST-0261"/>
    <s v="PROD-005"/>
    <s v="R011"/>
    <n v="10"/>
    <n v="300"/>
    <n v="12.8"/>
    <n v="2616"/>
    <s v="Cancelled"/>
    <s v="Delhi"/>
    <x v="2"/>
    <x v="4"/>
    <x v="1"/>
    <n v="128"/>
    <n v="300"/>
  </r>
  <r>
    <s v="ORD-00893"/>
    <x v="145"/>
    <s v="CUST-0077"/>
    <s v="PROD-046"/>
    <s v="R011"/>
    <n v="4"/>
    <n v="4880"/>
    <n v="26.5"/>
    <n v="14347.2"/>
    <s v="Completed"/>
    <s v="Hyderabad"/>
    <x v="5"/>
    <x v="5"/>
    <x v="1"/>
    <n v="2768"/>
    <n v="4880"/>
  </r>
  <r>
    <s v="ORD-00894"/>
    <x v="55"/>
    <s v="CUST-0188"/>
    <s v="PROD-032"/>
    <s v="R003"/>
    <n v="2"/>
    <n v="370"/>
    <n v="26.5"/>
    <n v="543.9"/>
    <s v="Completed"/>
    <s v="Bengaluru"/>
    <x v="4"/>
    <x v="3"/>
    <x v="0"/>
    <n v="288"/>
    <n v="370"/>
  </r>
  <r>
    <s v="ORD-00895"/>
    <x v="106"/>
    <s v="CUST-0145"/>
    <s v="PROD-039"/>
    <s v="R002"/>
    <n v="3"/>
    <n v="4610"/>
    <n v="29.7"/>
    <n v="9722.49"/>
    <s v="Completed"/>
    <s v="Bengaluru"/>
    <x v="4"/>
    <x v="3"/>
    <x v="0"/>
    <n v="1850"/>
    <n v="4610"/>
  </r>
  <r>
    <s v="ORD-00896"/>
    <x v="149"/>
    <s v="CUST-0036"/>
    <s v="PROD-002"/>
    <s v="R013"/>
    <n v="5"/>
    <n v="2600"/>
    <n v="21.4"/>
    <n v="10218"/>
    <s v="Completed"/>
    <s v="Mumbai"/>
    <x v="3"/>
    <x v="4"/>
    <x v="1"/>
    <n v="1052"/>
    <n v="2600"/>
  </r>
  <r>
    <s v="ORD-00600"/>
    <x v="295"/>
    <s v="CUST-0269"/>
    <s v="PROD-009"/>
    <s v="R025"/>
    <n v="10"/>
    <n v="1220"/>
    <n v="24.3"/>
    <n v="9235.4"/>
    <s v="Completed"/>
    <s v="Pune"/>
    <x v="0"/>
    <x v="4"/>
    <x v="2"/>
    <n v="517"/>
    <n v="1220"/>
  </r>
  <r>
    <s v="ORD-00898"/>
    <x v="34"/>
    <s v="CUST-9607"/>
    <s v="PROD-007"/>
    <s v="R015"/>
    <n v="10"/>
    <n v="1430"/>
    <n v="5.0999999999999996"/>
    <n v="13570.7"/>
    <s v="Cancelled"/>
    <s v="Chennai"/>
    <x v="1"/>
    <x v="4"/>
    <x v="1"/>
    <n v="861"/>
    <n v="1430"/>
  </r>
  <r>
    <s v="ORD-00899"/>
    <x v="35"/>
    <s v="CUST-0189"/>
    <s v="PROD-046"/>
    <s v="R030"/>
    <n v="10"/>
    <n v="4880"/>
    <n v="25.5"/>
    <n v="36356"/>
    <s v="Cancelled"/>
    <s v="Chennai"/>
    <x v="1"/>
    <x v="5"/>
    <x v="2"/>
    <n v="2768"/>
    <n v="4880"/>
  </r>
  <r>
    <s v="ORD-00900"/>
    <x v="79"/>
    <s v="CUST-0199"/>
    <s v="PROD-050"/>
    <s v="R028"/>
    <n v="6"/>
    <n v="6080"/>
    <n v="21.6"/>
    <n v="28600.32"/>
    <s v="Completed"/>
    <s v="Hyderabad"/>
    <x v="5"/>
    <x v="5"/>
    <x v="2"/>
    <n v="2617"/>
    <n v="6080"/>
  </r>
  <r>
    <s v="ORD-00901"/>
    <x v="158"/>
    <s v="CUST-0277"/>
    <s v="PROD-045"/>
    <s v="R013"/>
    <n v="3"/>
    <n v="3020"/>
    <n v="20.7"/>
    <n v="7184.58"/>
    <s v="Completed"/>
    <s v="Chennai"/>
    <x v="1"/>
    <x v="5"/>
    <x v="1"/>
    <n v="1626"/>
    <n v="3020"/>
  </r>
  <r>
    <s v="ORD-00902"/>
    <x v="338"/>
    <s v="CUST-0108"/>
    <s v="PROD-015"/>
    <s v="R013"/>
    <n v="9"/>
    <n v="2720"/>
    <n v="21.4"/>
    <n v="19241.28"/>
    <s v="Completed"/>
    <s v="Bengaluru"/>
    <x v="4"/>
    <x v="0"/>
    <x v="1"/>
    <n v="1962"/>
    <n v="2720"/>
  </r>
  <r>
    <s v="ORD-00903"/>
    <x v="53"/>
    <s v="CUST-0203"/>
    <s v="PROD-003"/>
    <s v="R025"/>
    <n v="10"/>
    <n v="3570"/>
    <n v="4.4000000000000004"/>
    <n v="34129.199999999997"/>
    <s v="Completed"/>
    <s v="Chennai"/>
    <x v="1"/>
    <x v="4"/>
    <x v="2"/>
    <n v="1665"/>
    <n v="3570"/>
  </r>
  <r>
    <s v="ORD-00904"/>
    <x v="119"/>
    <s v="CUST-0272"/>
    <s v="PROD-040"/>
    <s v="R014"/>
    <n v="8"/>
    <n v="1080"/>
    <n v="23.8"/>
    <n v="6583.68"/>
    <s v="Completed"/>
    <s v="Mumbai"/>
    <x v="3"/>
    <x v="3"/>
    <x v="1"/>
    <n v="519"/>
    <n v="1080"/>
  </r>
  <r>
    <s v="ORD-00905"/>
    <x v="27"/>
    <s v="CUST-0039"/>
    <s v="PROD-035"/>
    <s v="R011"/>
    <n v="8"/>
    <n v="1090"/>
    <n v="17.5"/>
    <n v="7194"/>
    <s v="Completed"/>
    <s v="Bengaluru"/>
    <x v="4"/>
    <x v="3"/>
    <x v="1"/>
    <n v="464"/>
    <n v="1090"/>
  </r>
  <r>
    <s v="ORD-00906"/>
    <x v="70"/>
    <s v="CUST-0105"/>
    <s v="PROD-018"/>
    <s v="R027"/>
    <n v="7"/>
    <n v="3560"/>
    <n v="11.1"/>
    <n v="22153.88"/>
    <s v="Completed"/>
    <s v="Chennai"/>
    <x v="1"/>
    <x v="0"/>
    <x v="2"/>
    <n v="2629"/>
    <n v="3560"/>
  </r>
  <r>
    <s v="ORD-00907"/>
    <x v="59"/>
    <s v="CUST-0095"/>
    <s v="PROD-060"/>
    <s v="R022"/>
    <n v="6"/>
    <n v="190"/>
    <n v="17.100000000000001"/>
    <n v="945.06"/>
    <s v="Cancelled"/>
    <s v="Mumbai"/>
    <x v="3"/>
    <x v="1"/>
    <x v="3"/>
    <n v="147"/>
    <n v="190"/>
  </r>
  <r>
    <s v="ORD-00908"/>
    <x v="320"/>
    <s v="CUST-0138"/>
    <s v="PROD-025"/>
    <s v="R025"/>
    <n v="7"/>
    <n v="4060"/>
    <n v="0.6"/>
    <n v="28249.48"/>
    <s v="Completed"/>
    <s v="Chennai"/>
    <x v="1"/>
    <x v="2"/>
    <x v="2"/>
    <n v="2911"/>
    <n v="4060"/>
  </r>
  <r>
    <s v="ORD-00909"/>
    <x v="63"/>
    <s v="CUST-0155"/>
    <s v="PROD-039"/>
    <s v="R021"/>
    <n v="4"/>
    <n v="4610"/>
    <n v="1.9"/>
    <n v="18089.64"/>
    <s v="Pending"/>
    <s v="Pune"/>
    <x v="0"/>
    <x v="3"/>
    <x v="3"/>
    <n v="1850"/>
    <n v="4610"/>
  </r>
  <r>
    <s v="ORD-00910"/>
    <x v="93"/>
    <s v="CUST-0198"/>
    <s v="PROD-026"/>
    <s v="R020"/>
    <n v="4"/>
    <n v="4070"/>
    <n v="26.8"/>
    <n v="11916.96"/>
    <s v="Completed"/>
    <s v="Chennai"/>
    <x v="1"/>
    <x v="2"/>
    <x v="3"/>
    <n v="2027"/>
    <n v="4070"/>
  </r>
  <r>
    <s v="ORD-00911"/>
    <x v="142"/>
    <s v="CUST-0267"/>
    <s v="PROD-014"/>
    <s v="R004"/>
    <n v="4"/>
    <n v="3620"/>
    <n v="11.7"/>
    <n v="12785.84"/>
    <s v="Completed"/>
    <s v="Hyderabad"/>
    <x v="5"/>
    <x v="0"/>
    <x v="0"/>
    <n v="2509"/>
    <n v="3620"/>
  </r>
  <r>
    <s v="ORD-00912"/>
    <x v="195"/>
    <s v="CUST-0248"/>
    <s v="PROD-006"/>
    <s v="R030"/>
    <n v="3"/>
    <n v="3970"/>
    <n v="24.7"/>
    <n v="8968.23"/>
    <s v="Completed"/>
    <s v="Chennai"/>
    <x v="1"/>
    <x v="4"/>
    <x v="2"/>
    <n v="2865"/>
    <n v="3970"/>
  </r>
  <r>
    <s v="ORD-00913"/>
    <x v="36"/>
    <s v="CUST-0114"/>
    <s v="PROD-030"/>
    <s v="R028"/>
    <n v="4"/>
    <n v="970"/>
    <n v="0.4"/>
    <n v="3864.48"/>
    <s v="Completed"/>
    <s v="Bengaluru"/>
    <x v="4"/>
    <x v="2"/>
    <x v="2"/>
    <n v="434"/>
    <n v="970"/>
  </r>
  <r>
    <s v="ORD-00914"/>
    <x v="229"/>
    <s v="CUST-0129"/>
    <s v="PROD-057"/>
    <s v="R023"/>
    <n v="2"/>
    <n v="960"/>
    <n v="1.4"/>
    <n v="1893.12"/>
    <s v="Completed"/>
    <s v="Hyderabad"/>
    <x v="5"/>
    <x v="1"/>
    <x v="3"/>
    <n v="705"/>
    <n v="960"/>
  </r>
  <r>
    <s v="ORD-00915"/>
    <x v="67"/>
    <s v="CUST-0182"/>
    <s v="PROD-005"/>
    <s v="R016"/>
    <n v="7"/>
    <n v="300"/>
    <n v="20.399999999999999"/>
    <n v="1671.6"/>
    <s v="Completed"/>
    <s v="Mumbai"/>
    <x v="3"/>
    <x v="4"/>
    <x v="1"/>
    <n v="128"/>
    <n v="300"/>
  </r>
  <r>
    <s v="ORD-00916"/>
    <x v="245"/>
    <s v="CUST-0020"/>
    <s v="PROD-002"/>
    <s v="R014"/>
    <n v="8"/>
    <n v="2600"/>
    <n v="2.2000000000000002"/>
    <n v="20342.400000000001"/>
    <s v="Cancelled"/>
    <s v="Hyderabad"/>
    <x v="5"/>
    <x v="4"/>
    <x v="1"/>
    <n v="1052"/>
    <n v="2600"/>
  </r>
  <r>
    <s v="ORD-00917"/>
    <x v="297"/>
    <s v="CUST-0163"/>
    <s v="PROD-032"/>
    <s v="R008"/>
    <n v="2"/>
    <n v="370"/>
    <n v="17.7"/>
    <n v="609.02"/>
    <s v="Completed"/>
    <s v="Pune"/>
    <x v="0"/>
    <x v="3"/>
    <x v="0"/>
    <n v="288"/>
    <n v="370"/>
  </r>
  <r>
    <s v="ORD-00918"/>
    <x v="6"/>
    <s v="CUST-0142"/>
    <s v="PROD-047"/>
    <s v="R026"/>
    <n v="4"/>
    <n v="3450"/>
    <n v="9.8000000000000007"/>
    <n v="12447.6"/>
    <s v="Cancelled"/>
    <s v="Chennai"/>
    <x v="1"/>
    <x v="5"/>
    <x v="2"/>
    <n v="2420"/>
    <n v="3450"/>
  </r>
  <r>
    <s v="ORD-00919"/>
    <x v="97"/>
    <s v="CUST-0221"/>
    <s v="PROD-019"/>
    <s v="R020"/>
    <n v="1"/>
    <n v="2480"/>
    <n v="5.8"/>
    <n v="2336.16"/>
    <s v="Completed"/>
    <s v="Delhi"/>
    <x v="2"/>
    <x v="0"/>
    <x v="3"/>
    <n v="1173"/>
    <n v="2480"/>
  </r>
  <r>
    <s v="ORD-00920"/>
    <x v="90"/>
    <s v="CUST-0079"/>
    <s v="PROD-028"/>
    <s v="R019"/>
    <n v="5"/>
    <n v="3660"/>
    <n v="4.7"/>
    <n v="17439.900000000001"/>
    <s v="Pending"/>
    <s v="Mumbai"/>
    <x v="3"/>
    <x v="2"/>
    <x v="3"/>
    <n v="2214"/>
    <n v="3660"/>
  </r>
  <r>
    <s v="ORD-00921"/>
    <x v="162"/>
    <s v="CUST-0133"/>
    <s v="PROD-044"/>
    <s v="R023"/>
    <n v="7"/>
    <n v="1650"/>
    <n v="8.6"/>
    <n v="10556.7"/>
    <s v="Completed"/>
    <s v="Chennai"/>
    <x v="1"/>
    <x v="5"/>
    <x v="3"/>
    <n v="1222"/>
    <n v="1650"/>
  </r>
  <r>
    <s v="ORD-00922"/>
    <x v="339"/>
    <s v="CUST-0086"/>
    <s v="PROD-060"/>
    <s v="R025"/>
    <n v="6"/>
    <n v="190"/>
    <n v="14.6"/>
    <n v="973.56"/>
    <s v="Completed"/>
    <s v="Hyderabad"/>
    <x v="5"/>
    <x v="1"/>
    <x v="2"/>
    <n v="147"/>
    <n v="190"/>
  </r>
  <r>
    <s v="ORD-00923"/>
    <x v="14"/>
    <s v="CUST-0155"/>
    <s v="PROD-022"/>
    <s v="R001"/>
    <n v="5"/>
    <n v="2270"/>
    <n v="5.9"/>
    <n v="10680.35"/>
    <s v="Completed"/>
    <s v="Pune"/>
    <x v="0"/>
    <x v="2"/>
    <x v="0"/>
    <n v="1412"/>
    <n v="2270"/>
  </r>
  <r>
    <s v="ORD-00924"/>
    <x v="327"/>
    <s v="CUST-0244"/>
    <s v="PROD-024"/>
    <s v="R011"/>
    <n v="1"/>
    <n v="2270"/>
    <n v="14.9"/>
    <n v="1931.77"/>
    <s v="Completed"/>
    <s v="Bengaluru"/>
    <x v="4"/>
    <x v="2"/>
    <x v="1"/>
    <n v="1203"/>
    <n v="2270"/>
  </r>
  <r>
    <s v="ORD-00925"/>
    <x v="133"/>
    <s v="CUST-0262"/>
    <s v="PROD-011"/>
    <s v="R018"/>
    <n v="4"/>
    <n v="3450"/>
    <n v="11.7"/>
    <n v="12185.4"/>
    <s v="Cancelled"/>
    <s v="Mumbai"/>
    <x v="3"/>
    <x v="0"/>
    <x v="3"/>
    <n v="1748"/>
    <n v="3450"/>
  </r>
  <r>
    <s v="ORD-00926"/>
    <x v="46"/>
    <s v="CUST-0251"/>
    <s v="PROD-045"/>
    <s v="R028"/>
    <n v="7"/>
    <n v="3020"/>
    <n v="18.8"/>
    <n v="17165.68"/>
    <s v="Completed"/>
    <s v="Mumbai"/>
    <x v="3"/>
    <x v="5"/>
    <x v="2"/>
    <n v="1626"/>
    <n v="3020"/>
  </r>
  <r>
    <s v="ORD-00927"/>
    <x v="284"/>
    <s v="CUST-0007"/>
    <s v="PROD-033"/>
    <s v="R016"/>
    <n v="4"/>
    <n v="2030"/>
    <n v="25.7"/>
    <n v="6033.16"/>
    <s v="Completed"/>
    <s v="Bengaluru"/>
    <x v="4"/>
    <x v="3"/>
    <x v="1"/>
    <n v="1143"/>
    <n v="2030"/>
  </r>
  <r>
    <s v="ORD-00928"/>
    <x v="331"/>
    <s v="CUST-0161"/>
    <s v="PROD-011"/>
    <s v="R014"/>
    <n v="4"/>
    <n v="3450"/>
    <n v="3.9"/>
    <n v="13261.8"/>
    <s v="Completed"/>
    <s v="Chennai"/>
    <x v="1"/>
    <x v="0"/>
    <x v="1"/>
    <n v="1748"/>
    <n v="3450"/>
  </r>
  <r>
    <s v="ORD-00929"/>
    <x v="324"/>
    <s v="CUST-0251"/>
    <s v="PROD-049"/>
    <s v="R028"/>
    <n v="5"/>
    <n v="960"/>
    <n v="8"/>
    <n v="4416"/>
    <s v="Completed"/>
    <s v="Mumbai"/>
    <x v="3"/>
    <x v="5"/>
    <x v="2"/>
    <n v="675"/>
    <n v="960"/>
  </r>
  <r>
    <s v="ORD-00930"/>
    <x v="269"/>
    <s v="CUST-0098"/>
    <s v="PROD-006"/>
    <s v="R001"/>
    <n v="7"/>
    <n v="3970"/>
    <n v="11.7"/>
    <n v="24538.57"/>
    <s v="Completed"/>
    <s v="Delhi"/>
    <x v="2"/>
    <x v="4"/>
    <x v="0"/>
    <n v="2865"/>
    <n v="3970"/>
  </r>
  <r>
    <s v="ORD-00931"/>
    <x v="211"/>
    <s v="CUST-0200"/>
    <s v="PROD-052"/>
    <s v="R026"/>
    <n v="3"/>
    <n v="5410"/>
    <n v="10"/>
    <n v="14607"/>
    <s v="Completed"/>
    <s v="Hyderabad"/>
    <x v="5"/>
    <x v="1"/>
    <x v="2"/>
    <n v="2265"/>
    <n v="5410"/>
  </r>
  <r>
    <s v="ORD-00932"/>
    <x v="49"/>
    <s v="CUST-0228"/>
    <s v="PROD-003"/>
    <s v="R007"/>
    <n v="8"/>
    <n v="3570"/>
    <n v="8.5"/>
    <n v="26132.400000000001"/>
    <s v="Completed"/>
    <s v="Pune"/>
    <x v="0"/>
    <x v="4"/>
    <x v="0"/>
    <n v="1665"/>
    <n v="3570"/>
  </r>
  <r>
    <s v="ORD-00933"/>
    <x v="25"/>
    <s v="CUST-0095"/>
    <s v="PROD-002"/>
    <s v="R014"/>
    <n v="7"/>
    <n v="2600"/>
    <n v="27.1"/>
    <n v="13267.8"/>
    <s v="Completed"/>
    <s v="Mumbai"/>
    <x v="3"/>
    <x v="4"/>
    <x v="1"/>
    <n v="1052"/>
    <n v="2600"/>
  </r>
  <r>
    <s v="ORD-00934"/>
    <x v="33"/>
    <s v="CUST-0175"/>
    <s v="PROD-053"/>
    <s v="R026"/>
    <n v="6"/>
    <n v="470"/>
    <n v="2.4"/>
    <n v="2752.32"/>
    <s v="Pending"/>
    <s v="Delhi"/>
    <x v="2"/>
    <x v="1"/>
    <x v="2"/>
    <n v="302"/>
    <n v="470"/>
  </r>
  <r>
    <s v="ORD-00935"/>
    <x v="2"/>
    <s v="CUST-0270"/>
    <s v="PROD-053"/>
    <s v="R025"/>
    <n v="3"/>
    <n v="470"/>
    <n v="6.3"/>
    <n v="1321.17"/>
    <s v="Completed"/>
    <s v="Bengaluru"/>
    <x v="4"/>
    <x v="1"/>
    <x v="2"/>
    <n v="302"/>
    <n v="470"/>
  </r>
  <r>
    <s v="ORD-00936"/>
    <x v="326"/>
    <s v="CUST-0105"/>
    <s v="PROD-059"/>
    <s v="R004"/>
    <n v="3"/>
    <n v="3780"/>
    <n v="19.399999999999999"/>
    <n v="9140.0400000000009"/>
    <s v="Pending"/>
    <s v="Chennai"/>
    <x v="1"/>
    <x v="1"/>
    <x v="0"/>
    <n v="1860"/>
    <n v="3780"/>
  </r>
  <r>
    <s v="ORD-00937"/>
    <x v="40"/>
    <s v="CUST-0147"/>
    <s v="PROD-056"/>
    <s v="R019"/>
    <n v="5"/>
    <n v="6940"/>
    <n v="12.6"/>
    <n v="30327.8"/>
    <s v="Completed"/>
    <s v="Pune"/>
    <x v="0"/>
    <x v="1"/>
    <x v="3"/>
    <n v="2827"/>
    <n v="6940"/>
  </r>
  <r>
    <s v="ORD-00938"/>
    <x v="194"/>
    <s v="CUST-0106"/>
    <s v="PROD-004"/>
    <s v="R030"/>
    <n v="2"/>
    <n v="3870"/>
    <n v="10.5"/>
    <n v="6927.3"/>
    <s v="Completed"/>
    <s v="Pune"/>
    <x v="0"/>
    <x v="4"/>
    <x v="2"/>
    <n v="1559"/>
    <n v="3870"/>
  </r>
  <r>
    <s v="ORD-00939"/>
    <x v="340"/>
    <s v="CUST-0130"/>
    <s v="PROD-052"/>
    <s v="R014"/>
    <n v="8"/>
    <n v="5410"/>
    <n v="28.4"/>
    <n v="30988.48"/>
    <s v="Pending"/>
    <s v="Bengaluru"/>
    <x v="4"/>
    <x v="1"/>
    <x v="1"/>
    <n v="2265"/>
    <n v="5410"/>
  </r>
  <r>
    <s v="ORD-00940"/>
    <x v="221"/>
    <s v="CUST-0241"/>
    <s v="PROD-006"/>
    <s v="R030"/>
    <n v="7"/>
    <n v="3970"/>
    <n v="12.3"/>
    <n v="24371.83"/>
    <s v="Completed"/>
    <s v="Pune"/>
    <x v="0"/>
    <x v="4"/>
    <x v="2"/>
    <n v="2865"/>
    <n v="3970"/>
  </r>
  <r>
    <s v="ORD-00941"/>
    <x v="294"/>
    <s v="CUST-0151"/>
    <s v="PROD-056"/>
    <s v="R001"/>
    <n v="5"/>
    <n v="6940"/>
    <n v="1.5"/>
    <n v="34179.5"/>
    <s v="Completed"/>
    <s v="Mumbai"/>
    <x v="3"/>
    <x v="1"/>
    <x v="0"/>
    <n v="2827"/>
    <n v="6940"/>
  </r>
  <r>
    <s v="ORD-00942"/>
    <x v="110"/>
    <s v="CUST-0022"/>
    <s v="PROD-012"/>
    <s v="R006"/>
    <n v="7"/>
    <n v="3160"/>
    <n v="2.4"/>
    <n v="21589.119999999999"/>
    <s v="Refunded"/>
    <s v="Bengaluru"/>
    <x v="4"/>
    <x v="0"/>
    <x v="0"/>
    <n v="1886"/>
    <n v="3160"/>
  </r>
  <r>
    <s v="ORD-00943"/>
    <x v="255"/>
    <s v="CUST-0030"/>
    <s v="PROD-020"/>
    <s v="R024"/>
    <n v="2"/>
    <n v="820"/>
    <n v="8.1"/>
    <n v="1507.16"/>
    <s v="Completed"/>
    <s v="Bengaluru"/>
    <x v="4"/>
    <x v="0"/>
    <x v="2"/>
    <n v="391"/>
    <n v="820"/>
  </r>
  <r>
    <s v="ORD-00944"/>
    <x v="237"/>
    <s v="CUST-0176"/>
    <s v="PROD-041"/>
    <s v="R030"/>
    <n v="2"/>
    <n v="1540"/>
    <n v="17.7"/>
    <n v="2534.84"/>
    <s v="Completed"/>
    <s v="Bengaluru"/>
    <x v="4"/>
    <x v="5"/>
    <x v="2"/>
    <n v="647"/>
    <n v="1540"/>
  </r>
  <r>
    <s v="ORD-00945"/>
    <x v="310"/>
    <s v="CUST-0270"/>
    <s v="PROD-004"/>
    <s v="R001"/>
    <n v="10"/>
    <n v="3870"/>
    <n v="12.2"/>
    <n v="33978.6"/>
    <s v="Refunded"/>
    <s v="Bengaluru"/>
    <x v="4"/>
    <x v="4"/>
    <x v="0"/>
    <n v="1559"/>
    <n v="3870"/>
  </r>
  <r>
    <s v="ORD-00946"/>
    <x v="56"/>
    <s v="CUST-0216"/>
    <s v="PROD-008"/>
    <s v="R002"/>
    <n v="7"/>
    <n v="2660"/>
    <n v="4.7"/>
    <n v="17744.86"/>
    <s v="Completed"/>
    <s v="Mumbai"/>
    <x v="3"/>
    <x v="4"/>
    <x v="0"/>
    <n v="1259"/>
    <n v="2660"/>
  </r>
  <r>
    <s v="ORD-00947"/>
    <x v="313"/>
    <s v="CUST-0187"/>
    <s v="PROD-003"/>
    <s v="R009"/>
    <n v="4"/>
    <n v="3570"/>
    <n v="19.3"/>
    <n v="11523.96"/>
    <s v="Completed"/>
    <s v="Chennai"/>
    <x v="1"/>
    <x v="4"/>
    <x v="1"/>
    <n v="1665"/>
    <n v="3570"/>
  </r>
  <r>
    <s v="ORD-00948"/>
    <x v="274"/>
    <s v="CUST-0143"/>
    <s v="PROD-033"/>
    <s v="R002"/>
    <n v="2"/>
    <n v="2030"/>
    <n v="2.6"/>
    <n v="3954.44"/>
    <s v="Completed"/>
    <s v="Chennai"/>
    <x v="1"/>
    <x v="3"/>
    <x v="0"/>
    <n v="1143"/>
    <n v="2030"/>
  </r>
  <r>
    <s v="ORD-00949"/>
    <x v="273"/>
    <s v="CUST-0104"/>
    <s v="PROD-012"/>
    <s v="R013"/>
    <n v="6"/>
    <n v="3160"/>
    <n v="25.8"/>
    <n v="14068.32"/>
    <s v="Completed"/>
    <s v="Hyderabad"/>
    <x v="5"/>
    <x v="0"/>
    <x v="1"/>
    <n v="1886"/>
    <n v="3160"/>
  </r>
  <r>
    <s v="ORD-00950"/>
    <x v="157"/>
    <s v="CUST-0121"/>
    <s v="PROD-034"/>
    <s v="R014"/>
    <n v="4"/>
    <n v="5080"/>
    <n v="2"/>
    <n v="19913.599999999999"/>
    <s v="Completed"/>
    <s v=" Delhi "/>
    <x v="2"/>
    <x v="3"/>
    <x v="1"/>
    <n v="2459"/>
    <n v="5080"/>
  </r>
  <r>
    <s v="ORD-00951"/>
    <x v="322"/>
    <s v="CUST-0228"/>
    <s v="PROD-047"/>
    <s v="R010"/>
    <n v="6"/>
    <n v="3450"/>
    <n v="1.8"/>
    <n v="20327.400000000001"/>
    <s v="Cancelled"/>
    <s v="Pune"/>
    <x v="0"/>
    <x v="5"/>
    <x v="1"/>
    <n v="2420"/>
    <n v="3450"/>
  </r>
  <r>
    <s v="ORD-00952"/>
    <x v="189"/>
    <s v="CUST-0218"/>
    <s v="PROD-051"/>
    <s v="R016"/>
    <n v="3"/>
    <n v="3450"/>
    <n v="4.7"/>
    <n v="9863.5499999999993"/>
    <s v="Pending"/>
    <s v="Mumbai"/>
    <x v="3"/>
    <x v="1"/>
    <x v="1"/>
    <n v="2467"/>
    <n v="3450"/>
  </r>
  <r>
    <s v="ORD-00953"/>
    <x v="27"/>
    <s v="CUST-0118"/>
    <s v="PROD-001"/>
    <s v="R027"/>
    <n v="7"/>
    <n v="5330"/>
    <n v="16.399999999999999"/>
    <n v="31191.16"/>
    <s v="Completed"/>
    <s v="Hyderabad"/>
    <x v="5"/>
    <x v="4"/>
    <x v="2"/>
    <n v="2405"/>
    <n v="5330"/>
  </r>
  <r>
    <s v="ORD-00954"/>
    <x v="190"/>
    <s v="CUST-0262"/>
    <s v="PROD-029"/>
    <s v="R003"/>
    <n v="6"/>
    <n v="2210"/>
    <n v="13.1"/>
    <n v="11522.94"/>
    <s v="Completed"/>
    <s v="Mumbai"/>
    <x v="3"/>
    <x v="2"/>
    <x v="0"/>
    <n v="1010"/>
    <n v="2210"/>
  </r>
  <r>
    <s v="ORD-00955"/>
    <x v="133"/>
    <s v="CUST-0137"/>
    <s v="PROD-040"/>
    <s v="R026"/>
    <n v="8"/>
    <n v="1080"/>
    <n v="8.6999999999999993"/>
    <n v="7888.32"/>
    <s v="Completed"/>
    <s v="Mumbai"/>
    <x v="3"/>
    <x v="3"/>
    <x v="2"/>
    <n v="519"/>
    <n v="1080"/>
  </r>
  <r>
    <s v="ORD-00956"/>
    <x v="185"/>
    <s v="CUST-0145"/>
    <s v="PROD-014"/>
    <s v="R015"/>
    <n v="5"/>
    <n v="3620"/>
    <n v="16.100000000000001"/>
    <n v="15185.9"/>
    <s v="Completed"/>
    <s v="Bengaluru"/>
    <x v="4"/>
    <x v="0"/>
    <x v="1"/>
    <n v="2509"/>
    <n v="3620"/>
  </r>
  <r>
    <s v="ORD-00957"/>
    <x v="64"/>
    <s v="CUST-0275"/>
    <s v="PROD-018"/>
    <s v="R011"/>
    <n v="7"/>
    <n v="3560"/>
    <n v="8.5"/>
    <n v="22801.8"/>
    <s v="Completed"/>
    <s v="Mumbai"/>
    <x v="3"/>
    <x v="0"/>
    <x v="1"/>
    <n v="2629"/>
    <n v="3560"/>
  </r>
  <r>
    <s v="ORD-00958"/>
    <x v="263"/>
    <s v="CUST-0189"/>
    <s v="PROD-033"/>
    <s v="R025"/>
    <n v="8"/>
    <n v="2030"/>
    <n v="18.100000000000001"/>
    <n v="13300.56"/>
    <s v="Completed"/>
    <s v="Chennai"/>
    <x v="1"/>
    <x v="3"/>
    <x v="2"/>
    <n v="1143"/>
    <n v="2030"/>
  </r>
  <r>
    <s v="ORD-00959"/>
    <x v="154"/>
    <s v="CUST-0105"/>
    <s v="PROD-044"/>
    <s v="R011"/>
    <n v="10"/>
    <n v="1650"/>
    <n v="7.1"/>
    <n v="15328.5"/>
    <s v="Completed"/>
    <s v="Chennai"/>
    <x v="1"/>
    <x v="5"/>
    <x v="1"/>
    <n v="1222"/>
    <n v="1650"/>
  </r>
  <r>
    <s v="ORD-00960"/>
    <x v="25"/>
    <s v="CUST-0284"/>
    <s v="PROD-021"/>
    <s v="R017"/>
    <n v="4"/>
    <n v="2760"/>
    <n v="17.600000000000001"/>
    <n v="9096.9599999999991"/>
    <s v="Cancelled"/>
    <s v="Hyderabad"/>
    <x v="5"/>
    <x v="2"/>
    <x v="3"/>
    <n v="1435"/>
    <n v="2760"/>
  </r>
  <r>
    <s v="ORD-00961"/>
    <x v="151"/>
    <s v="CUST-0296"/>
    <s v="PROD-006"/>
    <s v="R009"/>
    <n v="4"/>
    <n v="3970"/>
    <n v="4.3"/>
    <n v="15197.16"/>
    <s v="Completed"/>
    <s v="Delhi"/>
    <x v="2"/>
    <x v="4"/>
    <x v="1"/>
    <n v="2865"/>
    <n v="3970"/>
  </r>
  <r>
    <s v="ORD-00962"/>
    <x v="89"/>
    <s v="CUST-0087"/>
    <s v="PROD-050"/>
    <s v="R010"/>
    <n v="2"/>
    <n v="6080"/>
    <n v="23.8"/>
    <n v="9265.92"/>
    <s v="Completed"/>
    <s v="Pune"/>
    <x v="0"/>
    <x v="5"/>
    <x v="1"/>
    <n v="2617"/>
    <n v="6080"/>
  </r>
  <r>
    <s v="ORD-00963"/>
    <x v="341"/>
    <s v="CUST-0012"/>
    <s v="PROD-024"/>
    <s v="R004"/>
    <n v="4"/>
    <n v="2270"/>
    <n v="28.9"/>
    <n v="6455.88"/>
    <s v="Completed"/>
    <s v="Pune"/>
    <x v="0"/>
    <x v="2"/>
    <x v="0"/>
    <n v="1203"/>
    <n v="2270"/>
  </r>
  <r>
    <s v="ORD-00964"/>
    <x v="236"/>
    <s v="CUST-0241"/>
    <s v="PROD-006"/>
    <s v="R004"/>
    <n v="10"/>
    <n v="3970"/>
    <n v="26.2"/>
    <n v="29298.6"/>
    <s v="Completed"/>
    <s v="Pune"/>
    <x v="0"/>
    <x v="4"/>
    <x v="0"/>
    <n v="2865"/>
    <n v="3970"/>
  </r>
  <r>
    <s v="ORD-00965"/>
    <x v="239"/>
    <s v="CUST-0133"/>
    <s v="PROD-048"/>
    <s v="R013"/>
    <n v="4"/>
    <n v="5100"/>
    <n v="2.1"/>
    <n v="19971.599999999999"/>
    <s v="Completed"/>
    <s v="Chennai"/>
    <x v="1"/>
    <x v="5"/>
    <x v="1"/>
    <n v="2237"/>
    <n v="5100"/>
  </r>
  <r>
    <s v="ORD-00966"/>
    <x v="49"/>
    <s v="CUST-0230"/>
    <s v="PROD-045"/>
    <s v="R024"/>
    <n v="5"/>
    <n v="3020"/>
    <n v="17.3"/>
    <n v="12487.7"/>
    <s v="Completed"/>
    <s v="Pune"/>
    <x v="0"/>
    <x v="5"/>
    <x v="2"/>
    <n v="1626"/>
    <n v="3020"/>
  </r>
  <r>
    <s v="ORD-00967"/>
    <x v="126"/>
    <s v="CUST-0126"/>
    <s v="PROD-057"/>
    <s v="R016"/>
    <n v="8"/>
    <n v="960"/>
    <n v="1.3"/>
    <n v="7580.16"/>
    <s v="Cancelled"/>
    <s v="Mumbai"/>
    <x v="3"/>
    <x v="1"/>
    <x v="1"/>
    <n v="705"/>
    <n v="960"/>
  </r>
  <r>
    <s v="ORD-00968"/>
    <x v="109"/>
    <s v="CUST-0233"/>
    <s v="PROD-019"/>
    <s v="R008"/>
    <n v="9"/>
    <n v="2480"/>
    <n v="15.6"/>
    <n v="18838.080000000002"/>
    <s v="Completed"/>
    <s v="Mumbai"/>
    <x v="3"/>
    <x v="0"/>
    <x v="0"/>
    <n v="1173"/>
    <n v="2480"/>
  </r>
  <r>
    <s v="ORD-00969"/>
    <x v="286"/>
    <s v="CUST-9555"/>
    <s v="PROD-030"/>
    <s v="R012"/>
    <n v="1"/>
    <n v="970"/>
    <n v="24.9"/>
    <n v="728.47"/>
    <s v="Completed"/>
    <s v="Bengaluru"/>
    <x v="4"/>
    <x v="2"/>
    <x v="1"/>
    <n v="434"/>
    <n v="970"/>
  </r>
  <r>
    <s v="ORD-00970"/>
    <x v="38"/>
    <s v="CUST-0150"/>
    <s v="PROD-023"/>
    <s v="R022"/>
    <n v="4"/>
    <n v="2380"/>
    <n v="9.5"/>
    <n v="8615.6"/>
    <s v="Cancelled"/>
    <s v="Pune"/>
    <x v="0"/>
    <x v="2"/>
    <x v="3"/>
    <n v="1182"/>
    <n v="2380"/>
  </r>
  <r>
    <s v="ORD-00971"/>
    <x v="318"/>
    <s v="CUST-0204"/>
    <s v="PROD-052"/>
    <s v="R005"/>
    <n v="4"/>
    <n v="5410"/>
    <n v="18.7"/>
    <n v="17593.32"/>
    <s v="Completed"/>
    <s v="Hyderabad"/>
    <x v="5"/>
    <x v="1"/>
    <x v="0"/>
    <n v="2265"/>
    <n v="5410"/>
  </r>
  <r>
    <s v="ORD-00972"/>
    <x v="52"/>
    <s v="CUST-0040"/>
    <s v="PROD-034"/>
    <s v="R022"/>
    <n v="7"/>
    <n v="5080"/>
    <n v="6.5"/>
    <n v="33248.6"/>
    <s v="Completed"/>
    <s v="Chennai"/>
    <x v="1"/>
    <x v="3"/>
    <x v="3"/>
    <n v="2459"/>
    <n v="5080"/>
  </r>
  <r>
    <s v="ORD-00973"/>
    <x v="220"/>
    <s v="CUST-0060"/>
    <s v="PROD-007"/>
    <s v="R025"/>
    <n v="5"/>
    <n v="1430"/>
    <n v="19.8"/>
    <n v="5734.3"/>
    <s v="Completed"/>
    <s v="Pune"/>
    <x v="0"/>
    <x v="4"/>
    <x v="2"/>
    <n v="861"/>
    <n v="1430"/>
  </r>
  <r>
    <s v="ORD-00974"/>
    <x v="4"/>
    <s v="CUST-0017"/>
    <s v="PROD-037"/>
    <s v="R011"/>
    <n v="7"/>
    <n v="660"/>
    <n v="17.3"/>
    <n v="3820.74"/>
    <s v="Completed"/>
    <s v="Delhi"/>
    <x v="2"/>
    <x v="3"/>
    <x v="1"/>
    <n v="329"/>
    <n v="660"/>
  </r>
  <r>
    <s v="ORD-00975"/>
    <x v="265"/>
    <s v="CUST-0093"/>
    <s v="PROD-041"/>
    <s v="R004"/>
    <n v="10"/>
    <n v="1540"/>
    <n v="17.5"/>
    <n v="12705"/>
    <s v="Completed"/>
    <s v="Pune"/>
    <x v="0"/>
    <x v="5"/>
    <x v="0"/>
    <n v="647"/>
    <n v="1540"/>
  </r>
  <r>
    <s v="ORD-01662"/>
    <x v="243"/>
    <s v="CUST-0068"/>
    <s v="PROD-029"/>
    <s v="R003"/>
    <n v="10"/>
    <n v="2210"/>
    <n v="24.1"/>
    <n v="16773.900000000001"/>
    <s v="Pending"/>
    <s v="Delhi"/>
    <x v="2"/>
    <x v="2"/>
    <x v="0"/>
    <n v="1010"/>
    <n v="2210"/>
  </r>
  <r>
    <s v="ORD-00977"/>
    <x v="281"/>
    <s v="CUST-0251"/>
    <s v="PROD-057"/>
    <s v="R022"/>
    <n v="4"/>
    <n v="960"/>
    <n v="13.4"/>
    <n v="3325.44"/>
    <s v="Completed"/>
    <s v="Mumbai"/>
    <x v="3"/>
    <x v="1"/>
    <x v="3"/>
    <n v="705"/>
    <n v="960"/>
  </r>
  <r>
    <s v="ORD-00978"/>
    <x v="108"/>
    <s v="CUST-0076"/>
    <s v="PROD-047"/>
    <s v="R022"/>
    <n v="8"/>
    <n v="3450"/>
    <n v="3.7"/>
    <n v="26578.799999999999"/>
    <s v="Completed"/>
    <s v="Mumbai"/>
    <x v="3"/>
    <x v="5"/>
    <x v="3"/>
    <n v="2420"/>
    <n v="3450"/>
  </r>
  <r>
    <s v="ORD-00979"/>
    <x v="214"/>
    <s v="CUST-9927"/>
    <s v="PROD-033"/>
    <s v="R005"/>
    <n v="6"/>
    <n v="2030"/>
    <n v="9.5"/>
    <n v="11022.9"/>
    <s v="Completed"/>
    <s v="Mumbai"/>
    <x v="3"/>
    <x v="3"/>
    <x v="0"/>
    <n v="1143"/>
    <n v="2030"/>
  </r>
  <r>
    <s v="ORD-00980"/>
    <x v="342"/>
    <s v="CUST-0135"/>
    <s v="PROD-011"/>
    <s v="R009"/>
    <n v="7"/>
    <n v="3450"/>
    <n v="28.2"/>
    <n v="17339.7"/>
    <s v="Completed"/>
    <s v="Pune"/>
    <x v="0"/>
    <x v="0"/>
    <x v="1"/>
    <n v="1748"/>
    <n v="3450"/>
  </r>
  <r>
    <s v="ORD-00981"/>
    <x v="101"/>
    <s v="CUST-0163"/>
    <s v="PROD-027"/>
    <s v="R011"/>
    <n v="7"/>
    <n v="3780"/>
    <n v="15.1"/>
    <n v="22464.54"/>
    <s v="Completed"/>
    <s v="Pune"/>
    <x v="0"/>
    <x v="2"/>
    <x v="1"/>
    <n v="2436"/>
    <n v="3780"/>
  </r>
  <r>
    <s v="ORD-00947"/>
    <x v="53"/>
    <s v="CUST-0107"/>
    <s v="PROD-021"/>
    <s v="R002"/>
    <n v="4"/>
    <n v="2760"/>
    <n v="14.8"/>
    <n v="9406.08"/>
    <s v="Completed"/>
    <s v="Pune"/>
    <x v="0"/>
    <x v="2"/>
    <x v="0"/>
    <n v="1435"/>
    <n v="2760"/>
  </r>
  <r>
    <s v="ORD-00983"/>
    <x v="322"/>
    <s v="CUST-0209"/>
    <s v="PROD-041"/>
    <s v="R029"/>
    <n v="4"/>
    <n v="1540"/>
    <n v="13.9"/>
    <n v="5303.76"/>
    <s v="Completed"/>
    <s v="Pune"/>
    <x v="0"/>
    <x v="5"/>
    <x v="2"/>
    <n v="647"/>
    <n v="1540"/>
  </r>
  <r>
    <s v="ORD-00984"/>
    <x v="334"/>
    <s v="CUST-0074"/>
    <s v="PROD-031"/>
    <s v="R007"/>
    <n v="2"/>
    <n v="3730"/>
    <n v="15.7"/>
    <n v="6288.78"/>
    <s v="Cancelled"/>
    <s v="Bengaluru"/>
    <x v="4"/>
    <x v="3"/>
    <x v="0"/>
    <n v="2135"/>
    <n v="3730"/>
  </r>
  <r>
    <s v="ORD-00985"/>
    <x v="251"/>
    <s v="CUST-0037"/>
    <s v="PROD-031"/>
    <s v="R027"/>
    <n v="4"/>
    <n v="3730"/>
    <n v="2.1"/>
    <n v="14606.68"/>
    <s v="Completed"/>
    <s v="Bengaluru"/>
    <x v="4"/>
    <x v="3"/>
    <x v="2"/>
    <n v="2135"/>
    <n v="3730"/>
  </r>
  <r>
    <s v="ORD-00986"/>
    <x v="136"/>
    <s v="CUST-0026"/>
    <s v="PROD-012"/>
    <s v="R013"/>
    <n v="1"/>
    <n v="3160"/>
    <n v="29.8"/>
    <n v="2218.3200000000002"/>
    <s v="Completed"/>
    <s v="Pune"/>
    <x v="0"/>
    <x v="0"/>
    <x v="1"/>
    <n v="1886"/>
    <n v="3160"/>
  </r>
  <r>
    <s v="ORD-00987"/>
    <x v="227"/>
    <s v="CUST-0151"/>
    <s v="PROD-042"/>
    <s v="R022"/>
    <n v="9"/>
    <n v="2290"/>
    <n v="8.3000000000000007"/>
    <n v="18899.37"/>
    <s v="Pending"/>
    <s v="Mumbai"/>
    <x v="3"/>
    <x v="5"/>
    <x v="3"/>
    <n v="1219"/>
    <n v="2290"/>
  </r>
  <r>
    <s v="ORD-00988"/>
    <x v="215"/>
    <s v="CUST-0210"/>
    <s v="PROD-004"/>
    <s v="R013"/>
    <n v="2"/>
    <n v="3870"/>
    <n v="5.2"/>
    <n v="7337.52"/>
    <s v="Completed"/>
    <s v="Pune"/>
    <x v="0"/>
    <x v="4"/>
    <x v="1"/>
    <n v="1559"/>
    <n v="3870"/>
  </r>
  <r>
    <s v="ORD-00989"/>
    <x v="57"/>
    <s v="CUST-0192"/>
    <s v="PROD-003"/>
    <s v="R007"/>
    <n v="5"/>
    <n v="3570"/>
    <n v="19.899999999999999"/>
    <n v="14297.85"/>
    <s v="Completed"/>
    <s v="Bengaluru"/>
    <x v="4"/>
    <x v="4"/>
    <x v="0"/>
    <n v="1665"/>
    <n v="3570"/>
  </r>
  <r>
    <s v="ORD-00990"/>
    <x v="305"/>
    <s v="CUST-0161"/>
    <s v="PROD-054"/>
    <s v="R001"/>
    <n v="5"/>
    <n v="1010"/>
    <n v="2.2000000000000002"/>
    <n v="4938.8999999999996"/>
    <s v="Completed"/>
    <s v="Chennai"/>
    <x v="1"/>
    <x v="1"/>
    <x v="0"/>
    <n v="516"/>
    <n v="1010"/>
  </r>
  <r>
    <s v="ORD-00991"/>
    <x v="119"/>
    <s v="CUST-0255"/>
    <s v="PROD-042"/>
    <s v="R004"/>
    <n v="10"/>
    <n v="2290"/>
    <n v="16.8"/>
    <n v="19052.8"/>
    <s v="Cancelled"/>
    <s v="Chennai"/>
    <x v="1"/>
    <x v="5"/>
    <x v="0"/>
    <n v="1219"/>
    <n v="2290"/>
  </r>
  <r>
    <s v="ORD-00992"/>
    <x v="293"/>
    <s v="CUST-0027"/>
    <s v="PROD-039"/>
    <s v="R019"/>
    <n v="3"/>
    <n v="4610"/>
    <n v="13.2"/>
    <n v="12004.44"/>
    <s v="Pending"/>
    <s v="Hyderabad"/>
    <x v="5"/>
    <x v="3"/>
    <x v="3"/>
    <n v="1850"/>
    <n v="4610"/>
  </r>
  <r>
    <s v="ORD-00993"/>
    <x v="320"/>
    <s v="CUST-0228"/>
    <s v="PROD-017"/>
    <s v="R003"/>
    <n v="1"/>
    <n v="2510"/>
    <n v="16.899999999999999"/>
    <n v="2085.81"/>
    <s v="Completed"/>
    <s v="Pune"/>
    <x v="0"/>
    <x v="0"/>
    <x v="0"/>
    <n v="1075"/>
    <n v="2510"/>
  </r>
  <r>
    <s v="ORD-00994"/>
    <x v="27"/>
    <s v="CUST-0183"/>
    <s v="PROD-045"/>
    <s v="R009"/>
    <n v="1"/>
    <n v="3020"/>
    <n v="26.7"/>
    <n v="2213.66"/>
    <s v="Completed"/>
    <s v="Mumbai"/>
    <x v="3"/>
    <x v="5"/>
    <x v="1"/>
    <n v="1626"/>
    <n v="3020"/>
  </r>
  <r>
    <s v="ORD-00995"/>
    <x v="343"/>
    <s v="CUST-0026"/>
    <s v="PROD-060"/>
    <s v="R012"/>
    <n v="6"/>
    <n v="190"/>
    <n v="7.1"/>
    <n v="1059.06"/>
    <s v="Completed"/>
    <s v="Pune"/>
    <x v="0"/>
    <x v="1"/>
    <x v="1"/>
    <n v="147"/>
    <n v="190"/>
  </r>
  <r>
    <s v="ORD-00996"/>
    <x v="201"/>
    <s v="CUST-0211"/>
    <s v="PROD-033"/>
    <s v="R002"/>
    <n v="6"/>
    <n v="2030"/>
    <n v="13.5"/>
    <n v="10535.7"/>
    <s v="Cancelled"/>
    <s v="Bengaluru"/>
    <x v="4"/>
    <x v="3"/>
    <x v="0"/>
    <n v="1143"/>
    <n v="2030"/>
  </r>
  <r>
    <s v="ORD-00997"/>
    <x v="74"/>
    <s v="CUST-0190"/>
    <s v="PROD-036"/>
    <s v="R012"/>
    <n v="10"/>
    <n v="3250"/>
    <n v="8.6999999999999993"/>
    <n v="29672.5"/>
    <s v="Completed"/>
    <s v="Hyderabad"/>
    <x v="5"/>
    <x v="3"/>
    <x v="1"/>
    <n v="1556"/>
    <n v="3250"/>
  </r>
  <r>
    <s v="ORD-00998"/>
    <x v="193"/>
    <s v="CUST-0172"/>
    <s v="PROD-033"/>
    <s v="R029"/>
    <n v="9"/>
    <n v="2030"/>
    <n v="29.3"/>
    <n v="12916.89"/>
    <s v="Completed"/>
    <s v="Pune"/>
    <x v="0"/>
    <x v="3"/>
    <x v="2"/>
    <n v="1143"/>
    <n v="2030"/>
  </r>
  <r>
    <s v="ORD-00999"/>
    <x v="82"/>
    <s v="CUST-0272"/>
    <s v="PROD-023"/>
    <s v="R025"/>
    <n v="1"/>
    <n v="2380"/>
    <n v="12.9"/>
    <n v="2072.98"/>
    <s v="Completed"/>
    <s v="Mumbai"/>
    <x v="3"/>
    <x v="2"/>
    <x v="2"/>
    <n v="1182"/>
    <n v="2380"/>
  </r>
  <r>
    <s v="ORD-01000"/>
    <x v="126"/>
    <s v="CUST-0232"/>
    <s v="PROD-011"/>
    <s v="R024"/>
    <n v="10"/>
    <n v="3450"/>
    <n v="18.5"/>
    <n v="28117.5"/>
    <s v="Completed"/>
    <s v="Hyderabad"/>
    <x v="5"/>
    <x v="0"/>
    <x v="2"/>
    <n v="1748"/>
    <n v="3450"/>
  </r>
  <r>
    <s v="ORD-01001"/>
    <x v="66"/>
    <s v="CUST-0282"/>
    <s v="PROD-012"/>
    <s v="R002"/>
    <n v="10"/>
    <n v="3160"/>
    <n v="26.3"/>
    <n v="23289.200000000001"/>
    <s v="Completed"/>
    <s v="Hyderabad"/>
    <x v="5"/>
    <x v="0"/>
    <x v="0"/>
    <n v="1886"/>
    <n v="3160"/>
  </r>
  <r>
    <s v="ORD-01002"/>
    <x v="101"/>
    <s v="CUST-0164"/>
    <s v="PROD-038"/>
    <s v="R026"/>
    <n v="10"/>
    <n v="5490"/>
    <n v="22.7"/>
    <n v="42437.7"/>
    <s v="Completed"/>
    <s v="Chennai"/>
    <x v="1"/>
    <x v="3"/>
    <x v="2"/>
    <n v="2549"/>
    <n v="5490"/>
  </r>
  <r>
    <s v="ORD-01003"/>
    <x v="232"/>
    <s v="CUST-0212"/>
    <s v="PROD-055"/>
    <s v="R006"/>
    <n v="8"/>
    <n v="2860"/>
    <n v="14.3"/>
    <n v="19608.16"/>
    <s v="Completed"/>
    <s v="Chennai"/>
    <x v="1"/>
    <x v="1"/>
    <x v="0"/>
    <n v="2028"/>
    <n v="2860"/>
  </r>
  <r>
    <s v="ORD-01004"/>
    <x v="104"/>
    <s v="CUST-0234"/>
    <s v="PROD-049"/>
    <s v="R011"/>
    <n v="1"/>
    <n v="960"/>
    <n v="11.9"/>
    <n v="845.76"/>
    <s v="Completed"/>
    <s v="Bengaluru"/>
    <x v="4"/>
    <x v="5"/>
    <x v="1"/>
    <n v="675"/>
    <n v="960"/>
  </r>
  <r>
    <s v="ORD-01005"/>
    <x v="195"/>
    <s v="CUST-0292"/>
    <s v="PROD-040"/>
    <s v="R007"/>
    <n v="3"/>
    <n v="1080"/>
    <n v="26"/>
    <n v="2397.6"/>
    <s v="Completed"/>
    <s v="Bengaluru"/>
    <x v="4"/>
    <x v="3"/>
    <x v="0"/>
    <n v="519"/>
    <n v="1080"/>
  </r>
  <r>
    <s v="ORD-01006"/>
    <x v="65"/>
    <s v="CUST-0018"/>
    <s v="PROD-055"/>
    <s v="R001"/>
    <n v="10"/>
    <n v="2860"/>
    <n v="13.1"/>
    <n v="24853.4"/>
    <s v="Refunded"/>
    <s v="Pune"/>
    <x v="0"/>
    <x v="1"/>
    <x v="0"/>
    <n v="2028"/>
    <n v="2860"/>
  </r>
  <r>
    <s v="ORD-01007"/>
    <x v="316"/>
    <s v="CUST-0220"/>
    <s v="PROD-013"/>
    <s v="R001"/>
    <n v="3"/>
    <n v="3640"/>
    <n v="18.2"/>
    <n v="8932.56"/>
    <s v="Completed"/>
    <s v="Chennai"/>
    <x v="1"/>
    <x v="0"/>
    <x v="0"/>
    <n v="2611"/>
    <n v="3640"/>
  </r>
  <r>
    <s v="ORD-01008"/>
    <x v="171"/>
    <s v="CUST-0064"/>
    <s v="PROD-015"/>
    <s v="R018"/>
    <n v="3"/>
    <n v="2720"/>
    <n v="3.6"/>
    <n v="7866.24"/>
    <s v="Completed"/>
    <s v="Hyderabad"/>
    <x v="5"/>
    <x v="0"/>
    <x v="3"/>
    <n v="1962"/>
    <n v="2720"/>
  </r>
  <r>
    <s v="ORD-01009"/>
    <x v="316"/>
    <s v="CUST-0077"/>
    <s v="PROD-024"/>
    <s v="R008"/>
    <n v="4"/>
    <n v="2270"/>
    <n v="18.399999999999999"/>
    <n v="7409.28"/>
    <s v="Completed"/>
    <s v="Hyderabad"/>
    <x v="5"/>
    <x v="2"/>
    <x v="0"/>
    <n v="1203"/>
    <n v="2270"/>
  </r>
  <r>
    <s v="ORD-01010"/>
    <x v="64"/>
    <s v="CUST-0229"/>
    <s v="PROD-009"/>
    <s v="R029"/>
    <n v="5"/>
    <n v="1220"/>
    <n v="13.9"/>
    <n v="5252.1"/>
    <s v="Completed"/>
    <s v="Hyderabad"/>
    <x v="5"/>
    <x v="4"/>
    <x v="2"/>
    <n v="517"/>
    <n v="1220"/>
  </r>
  <r>
    <s v="ORD-01011"/>
    <x v="21"/>
    <s v="CUST-0129"/>
    <s v="PROD-010"/>
    <s v="R015"/>
    <n v="8"/>
    <n v="2640"/>
    <n v="17.3"/>
    <n v="17466.240000000002"/>
    <s v="Completed"/>
    <s v="Hyderabad"/>
    <x v="5"/>
    <x v="4"/>
    <x v="1"/>
    <n v="1149"/>
    <n v="2640"/>
  </r>
  <r>
    <s v="ORD-01012"/>
    <x v="66"/>
    <s v="CUST-0145"/>
    <s v="PROD-030"/>
    <s v="R015"/>
    <n v="1"/>
    <n v="970"/>
    <n v="28"/>
    <n v="698.4"/>
    <s v="Cancelled"/>
    <s v="Bengaluru"/>
    <x v="4"/>
    <x v="2"/>
    <x v="1"/>
    <n v="434"/>
    <n v="970"/>
  </r>
  <r>
    <s v="ORD-01013"/>
    <x v="243"/>
    <s v="CUST-0258"/>
    <s v="PROD-031"/>
    <s v="R025"/>
    <n v="8"/>
    <n v="3730"/>
    <n v="2.1"/>
    <n v="29213.360000000001"/>
    <s v="Refunded"/>
    <s v="Pune"/>
    <x v="0"/>
    <x v="3"/>
    <x v="2"/>
    <n v="2135"/>
    <n v="3730"/>
  </r>
  <r>
    <s v="ORD-01014"/>
    <x v="311"/>
    <s v="CUST-0209"/>
    <s v="PROD-030"/>
    <s v="R024"/>
    <n v="7"/>
    <n v="970"/>
    <n v="25.5"/>
    <n v="5058.55"/>
    <s v="Completed"/>
    <s v="Pune"/>
    <x v="0"/>
    <x v="2"/>
    <x v="2"/>
    <n v="434"/>
    <n v="970"/>
  </r>
  <r>
    <s v="ORD-01015"/>
    <x v="125"/>
    <s v="CUST-0131"/>
    <s v="PROD-003"/>
    <s v="R022"/>
    <n v="6"/>
    <n v="3570"/>
    <n v="9.9"/>
    <n v="19299.419999999998"/>
    <s v="Completed"/>
    <s v="Delhi"/>
    <x v="2"/>
    <x v="4"/>
    <x v="3"/>
    <n v="1665"/>
    <n v="3570"/>
  </r>
  <r>
    <s v="ORD-01016"/>
    <x v="111"/>
    <s v="CUST-0276"/>
    <s v="PROD-030"/>
    <s v="R016"/>
    <n v="6"/>
    <n v="970"/>
    <n v="19.600000000000001"/>
    <n v="4679.28"/>
    <s v="Completed"/>
    <s v="Chennai"/>
    <x v="1"/>
    <x v="2"/>
    <x v="1"/>
    <n v="434"/>
    <n v="970"/>
  </r>
  <r>
    <s v="ORD-01017"/>
    <x v="211"/>
    <s v="CUST-0283"/>
    <s v="PROD-059"/>
    <s v="R011"/>
    <n v="8"/>
    <n v="3780"/>
    <n v="26.5"/>
    <n v="22226.400000000001"/>
    <s v="Completed"/>
    <s v="Delhi"/>
    <x v="2"/>
    <x v="1"/>
    <x v="1"/>
    <n v="1860"/>
    <n v="3780"/>
  </r>
  <r>
    <s v="ORD-01018"/>
    <x v="72"/>
    <s v="CUST-0195"/>
    <s v="PROD-058"/>
    <s v="R011"/>
    <n v="6"/>
    <n v="2400"/>
    <n v="1.4"/>
    <n v="14198.4"/>
    <s v="Completed"/>
    <s v="Bengaluru"/>
    <x v="4"/>
    <x v="1"/>
    <x v="1"/>
    <n v="974"/>
    <n v="2400"/>
  </r>
  <r>
    <s v="ORD-01019"/>
    <x v="97"/>
    <s v="CUST-0181"/>
    <s v="PROD-036"/>
    <s v="R021"/>
    <n v="10"/>
    <n v="3250"/>
    <n v="19.3"/>
    <n v="26227.5"/>
    <s v="Completed"/>
    <s v="Delhi"/>
    <x v="2"/>
    <x v="3"/>
    <x v="3"/>
    <n v="1556"/>
    <n v="3250"/>
  </r>
  <r>
    <s v="ORD-01020"/>
    <x v="260"/>
    <s v="CUST-0149"/>
    <s v="PROD-021"/>
    <s v="R014"/>
    <n v="7"/>
    <n v="2760"/>
    <n v="23.6"/>
    <n v="14760.48"/>
    <s v="Pending"/>
    <s v="Hyderabad"/>
    <x v="5"/>
    <x v="2"/>
    <x v="1"/>
    <n v="1435"/>
    <n v="2760"/>
  </r>
  <r>
    <s v="ORD-01021"/>
    <x v="113"/>
    <s v="CUST-0152"/>
    <s v="PROD-003"/>
    <s v="R001"/>
    <n v="3"/>
    <n v="3570"/>
    <n v="26.3"/>
    <n v="7893.27"/>
    <s v="Completed"/>
    <s v="Bengaluru"/>
    <x v="4"/>
    <x v="4"/>
    <x v="0"/>
    <n v="1665"/>
    <n v="3570"/>
  </r>
  <r>
    <s v="ORD-01022"/>
    <x v="40"/>
    <s v="CUST-0085"/>
    <s v="PROD-027"/>
    <s v="R015"/>
    <n v="4"/>
    <n v="3780"/>
    <n v="10.1"/>
    <n v="13592.88"/>
    <s v="Completed"/>
    <s v="Chennai"/>
    <x v="1"/>
    <x v="2"/>
    <x v="1"/>
    <n v="2436"/>
    <n v="3780"/>
  </r>
  <r>
    <s v="ORD-01023"/>
    <x v="77"/>
    <s v="CUST-0231"/>
    <s v="PROD-007"/>
    <s v="R019"/>
    <n v="10"/>
    <n v="1430"/>
    <n v="3.7"/>
    <n v="13770.9"/>
    <s v="Completed"/>
    <s v="Chennai"/>
    <x v="1"/>
    <x v="4"/>
    <x v="3"/>
    <n v="861"/>
    <n v="1430"/>
  </r>
  <r>
    <s v="ORD-01024"/>
    <x v="91"/>
    <s v="CUST-0044"/>
    <s v="PROD-022"/>
    <s v="R011"/>
    <n v="6"/>
    <n v="2270"/>
    <n v="7.9"/>
    <n v="12544.02"/>
    <s v="Refunded"/>
    <s v="Hyderabad"/>
    <x v="5"/>
    <x v="2"/>
    <x v="1"/>
    <n v="1412"/>
    <n v="2270"/>
  </r>
  <r>
    <s v="ORD-01025"/>
    <x v="5"/>
    <s v="CUST-0027"/>
    <s v="PROD-054"/>
    <s v="R013"/>
    <n v="1"/>
    <n v="1010"/>
    <n v="6.9"/>
    <n v="940.31"/>
    <s v="Pending"/>
    <s v="Hyderabad"/>
    <x v="5"/>
    <x v="1"/>
    <x v="1"/>
    <n v="516"/>
    <n v="1010"/>
  </r>
  <r>
    <s v="ORD-01026"/>
    <x v="91"/>
    <s v="CUST-0101"/>
    <s v="PROD-055"/>
    <s v="R014"/>
    <n v="2"/>
    <n v="2860"/>
    <n v="20.100000000000001"/>
    <n v="4570.28"/>
    <s v="Completed"/>
    <s v="Hyderabad"/>
    <x v="5"/>
    <x v="1"/>
    <x v="1"/>
    <n v="2028"/>
    <n v="2860"/>
  </r>
  <r>
    <s v="ORD-01027"/>
    <x v="76"/>
    <s v="CUST-0123"/>
    <s v="PROD-002"/>
    <s v="R019"/>
    <n v="9"/>
    <n v="2600"/>
    <n v="15.9"/>
    <n v="19679.400000000001"/>
    <s v="Cancelled"/>
    <s v="Chennai"/>
    <x v="1"/>
    <x v="4"/>
    <x v="3"/>
    <n v="1052"/>
    <n v="2600"/>
  </r>
  <r>
    <s v="ORD-01028"/>
    <x v="132"/>
    <s v="CUST-0124"/>
    <s v="PROD-053"/>
    <s v="R024"/>
    <n v="10"/>
    <n v="470"/>
    <n v="23.1"/>
    <n v="3614.3"/>
    <s v="Pending"/>
    <s v="Pune"/>
    <x v="0"/>
    <x v="1"/>
    <x v="2"/>
    <n v="302"/>
    <n v="470"/>
  </r>
  <r>
    <s v="ORD-01029"/>
    <x v="185"/>
    <s v="CUST-0159"/>
    <s v="PROD-037"/>
    <s v="R013"/>
    <n v="10"/>
    <n v="660"/>
    <n v="9.4"/>
    <n v="5979.6"/>
    <s v="Completed"/>
    <s v="Hyderabad"/>
    <x v="5"/>
    <x v="3"/>
    <x v="1"/>
    <n v="329"/>
    <n v="660"/>
  </r>
  <r>
    <s v="ORD-01030"/>
    <x v="246"/>
    <s v="CUST-0087"/>
    <s v="PROD-009"/>
    <s v="R023"/>
    <n v="5"/>
    <n v="1220"/>
    <n v="23.3"/>
    <n v="4678.7"/>
    <s v="Completed"/>
    <s v="Pune"/>
    <x v="0"/>
    <x v="4"/>
    <x v="3"/>
    <n v="517"/>
    <n v="1220"/>
  </r>
  <r>
    <s v="ORD-01031"/>
    <x v="137"/>
    <s v="CUST-0295"/>
    <s v="PROD-036"/>
    <s v="R011"/>
    <n v="9"/>
    <n v="3250"/>
    <n v="19.600000000000001"/>
    <n v="23517"/>
    <s v="Pending"/>
    <s v="Delhi"/>
    <x v="2"/>
    <x v="3"/>
    <x v="1"/>
    <n v="1556"/>
    <n v="3250"/>
  </r>
  <r>
    <s v="ORD-01032"/>
    <x v="176"/>
    <s v="CUST-0211"/>
    <s v="PROD-016"/>
    <s v="R018"/>
    <n v="7"/>
    <n v="620"/>
    <n v="29"/>
    <n v="3081.4"/>
    <s v="Completed"/>
    <s v="Bengaluru"/>
    <x v="4"/>
    <x v="0"/>
    <x v="3"/>
    <n v="396"/>
    <n v="620"/>
  </r>
  <r>
    <s v="ORD-01033"/>
    <x v="99"/>
    <s v="CUST-0265"/>
    <s v="PROD-026"/>
    <s v="R006"/>
    <n v="9"/>
    <n v="4070"/>
    <n v="16.2"/>
    <n v="30695.94"/>
    <s v="Completed"/>
    <s v="Chennai"/>
    <x v="1"/>
    <x v="2"/>
    <x v="0"/>
    <n v="2027"/>
    <n v="4070"/>
  </r>
  <r>
    <s v="ORD-01034"/>
    <x v="116"/>
    <s v="CUST-0252"/>
    <s v="PROD-012"/>
    <s v="R007"/>
    <n v="8"/>
    <n v="3160"/>
    <n v="23.8"/>
    <n v="19263.36"/>
    <s v="Completed"/>
    <s v="Bengaluru"/>
    <x v="4"/>
    <x v="0"/>
    <x v="0"/>
    <n v="1886"/>
    <n v="3160"/>
  </r>
  <r>
    <s v="ORD-01035"/>
    <x v="124"/>
    <s v="CUST-0180"/>
    <s v="PROD-029"/>
    <s v="R022"/>
    <n v="3"/>
    <n v="2210"/>
    <n v="29.7"/>
    <n v="4660.8900000000003"/>
    <s v="Completed"/>
    <s v="Chennai"/>
    <x v="1"/>
    <x v="2"/>
    <x v="3"/>
    <n v="1010"/>
    <n v="2210"/>
  </r>
  <r>
    <s v="ORD-01036"/>
    <x v="268"/>
    <s v="CUST-0231"/>
    <s v="PROD-053"/>
    <s v="R025"/>
    <n v="9"/>
    <n v="470"/>
    <n v="27.1"/>
    <n v="3083.67"/>
    <s v="Completed"/>
    <s v="Chennai"/>
    <x v="1"/>
    <x v="1"/>
    <x v="2"/>
    <n v="302"/>
    <n v="470"/>
  </r>
  <r>
    <s v="ORD-01037"/>
    <x v="81"/>
    <s v="CUST-0161"/>
    <s v="PROD-032"/>
    <s v="R020"/>
    <n v="6"/>
    <n v="370"/>
    <n v="5.4"/>
    <n v="2100.12"/>
    <s v="Completed"/>
    <s v="Chennai"/>
    <x v="1"/>
    <x v="3"/>
    <x v="3"/>
    <n v="288"/>
    <n v="370"/>
  </r>
  <r>
    <s v="ORD-01038"/>
    <x v="263"/>
    <s v="CUST-0249"/>
    <s v="PROD-059"/>
    <s v="R018"/>
    <n v="10"/>
    <n v="3780"/>
    <n v="21.5"/>
    <n v="29673"/>
    <s v="Pending"/>
    <s v="Mumbai"/>
    <x v="3"/>
    <x v="1"/>
    <x v="3"/>
    <n v="1860"/>
    <n v="3780"/>
  </r>
  <r>
    <s v="ORD-01039"/>
    <x v="344"/>
    <s v="CUST-0048"/>
    <s v="PROD-056"/>
    <s v="R009"/>
    <n v="4"/>
    <n v="6940"/>
    <n v="3.9"/>
    <n v="26677.360000000001"/>
    <s v="Cancelled"/>
    <s v="Delhi"/>
    <x v="2"/>
    <x v="1"/>
    <x v="1"/>
    <n v="2827"/>
    <n v="6940"/>
  </r>
  <r>
    <s v="ORD-01040"/>
    <x v="233"/>
    <s v="CUST-0068"/>
    <s v="PROD-031"/>
    <s v="R022"/>
    <n v="3"/>
    <n v="3730"/>
    <n v="20.7"/>
    <n v="8873.67"/>
    <s v="Completed"/>
    <s v="Delhi"/>
    <x v="2"/>
    <x v="3"/>
    <x v="3"/>
    <n v="2135"/>
    <n v="3730"/>
  </r>
  <r>
    <s v="ORD-01041"/>
    <x v="212"/>
    <s v="CUST-0213"/>
    <s v="PROD-034"/>
    <s v="R025"/>
    <n v="8"/>
    <n v="5080"/>
    <n v="6.2"/>
    <n v="38120.32"/>
    <s v="Completed"/>
    <s v="Mumbai"/>
    <x v="3"/>
    <x v="3"/>
    <x v="2"/>
    <n v="2459"/>
    <n v="5080"/>
  </r>
  <r>
    <s v="ORD-01042"/>
    <x v="6"/>
    <s v="CUST-0159"/>
    <s v="PROD-052"/>
    <s v="R001"/>
    <n v="5"/>
    <n v="5410"/>
    <n v="5.2"/>
    <n v="25643.4"/>
    <s v="Completed"/>
    <s v="Hyderabad"/>
    <x v="5"/>
    <x v="1"/>
    <x v="0"/>
    <n v="2265"/>
    <n v="5410"/>
  </r>
  <r>
    <s v="ORD-01043"/>
    <x v="280"/>
    <s v="CUST-0298"/>
    <s v="PROD-015"/>
    <s v="R026"/>
    <n v="6"/>
    <n v="2720"/>
    <n v="29.8"/>
    <n v="11456.64"/>
    <s v="Pending"/>
    <s v="Delhi"/>
    <x v="2"/>
    <x v="0"/>
    <x v="2"/>
    <n v="1962"/>
    <n v="2720"/>
  </r>
  <r>
    <s v="ORD-01044"/>
    <x v="290"/>
    <s v="CUST-0145"/>
    <s v="PROD-009"/>
    <s v="R010"/>
    <n v="1"/>
    <n v="1220"/>
    <n v="22.6"/>
    <n v="944.28"/>
    <s v="Completed"/>
    <s v="Bengaluru"/>
    <x v="4"/>
    <x v="4"/>
    <x v="1"/>
    <n v="517"/>
    <n v="1220"/>
  </r>
  <r>
    <s v="ORD-01045"/>
    <x v="93"/>
    <s v="CUST-0015"/>
    <s v="PROD-046"/>
    <s v="R008"/>
    <n v="10"/>
    <n v="4880"/>
    <n v="7.3"/>
    <n v="45237.599999999999"/>
    <s v="Completed"/>
    <s v="Chennai"/>
    <x v="1"/>
    <x v="5"/>
    <x v="0"/>
    <n v="2768"/>
    <n v="4880"/>
  </r>
  <r>
    <s v="ORD-01046"/>
    <x v="216"/>
    <s v="CUST-0054"/>
    <s v="PROD-022"/>
    <s v="R021"/>
    <n v="10"/>
    <n v="2270"/>
    <n v="1.6"/>
    <n v="22336.799999999999"/>
    <s v="Completed"/>
    <s v="Mumbai"/>
    <x v="3"/>
    <x v="2"/>
    <x v="3"/>
    <n v="1412"/>
    <n v="2270"/>
  </r>
  <r>
    <s v="ORD-01047"/>
    <x v="55"/>
    <s v="CUST-0150"/>
    <s v="PROD-030"/>
    <s v="R003"/>
    <n v="8"/>
    <n v="970"/>
    <n v="13.1"/>
    <n v="6743.44"/>
    <s v="Completed"/>
    <s v="Pune"/>
    <x v="0"/>
    <x v="2"/>
    <x v="0"/>
    <n v="434"/>
    <n v="970"/>
  </r>
  <r>
    <s v="ORD-01048"/>
    <x v="34"/>
    <s v="CUST-0096"/>
    <s v="PROD-023"/>
    <s v="R012"/>
    <n v="7"/>
    <n v="2380"/>
    <n v="10.6"/>
    <n v="14894.04"/>
    <s v="Cancelled"/>
    <s v="Delhi"/>
    <x v="2"/>
    <x v="2"/>
    <x v="1"/>
    <n v="1182"/>
    <n v="2380"/>
  </r>
  <r>
    <s v="ORD-01049"/>
    <x v="56"/>
    <s v="CUST-0288"/>
    <s v="PROD-014"/>
    <s v="R016"/>
    <n v="6"/>
    <n v="3620"/>
    <n v="21.3"/>
    <n v="17093.64"/>
    <s v="Cancelled"/>
    <s v="Hyderabad"/>
    <x v="5"/>
    <x v="0"/>
    <x v="1"/>
    <n v="2509"/>
    <n v="3620"/>
  </r>
  <r>
    <s v="ORD-01050"/>
    <x v="122"/>
    <s v="CUST-0048"/>
    <s v="PROD-026"/>
    <s v="R027"/>
    <n v="3"/>
    <n v="4070"/>
    <n v="8.1999999999999993"/>
    <n v="11208.78"/>
    <s v="Cancelled"/>
    <s v="Delhi"/>
    <x v="2"/>
    <x v="2"/>
    <x v="2"/>
    <n v="2027"/>
    <n v="4070"/>
  </r>
  <r>
    <s v="ORD-01051"/>
    <x v="344"/>
    <s v="CUST-0104"/>
    <s v="PROD-048"/>
    <s v="R026"/>
    <n v="8"/>
    <n v="5100"/>
    <n v="26.9"/>
    <n v="29824.799999999999"/>
    <s v="Completed"/>
    <s v="Hyderabad"/>
    <x v="5"/>
    <x v="5"/>
    <x v="2"/>
    <n v="2237"/>
    <n v="5100"/>
  </r>
  <r>
    <s v="ORD-01052"/>
    <x v="197"/>
    <s v="CUST-0054"/>
    <s v="PROD-045"/>
    <s v="R017"/>
    <n v="3"/>
    <n v="3020"/>
    <n v="18.5"/>
    <n v="7383.9"/>
    <s v="Cancelled"/>
    <s v="Mumbai"/>
    <x v="3"/>
    <x v="5"/>
    <x v="3"/>
    <n v="1626"/>
    <n v="3020"/>
  </r>
  <r>
    <s v="ORD-01053"/>
    <x v="148"/>
    <s v="CUST-0158"/>
    <s v="PROD-049"/>
    <s v="R002"/>
    <n v="8"/>
    <n v="960"/>
    <n v="7.1"/>
    <n v="7134.72"/>
    <s v="Completed"/>
    <s v="Pune"/>
    <x v="0"/>
    <x v="5"/>
    <x v="0"/>
    <n v="675"/>
    <n v="960"/>
  </r>
  <r>
    <s v="ORD-01054"/>
    <x v="266"/>
    <s v="CUST-0231"/>
    <s v="PROD-034"/>
    <s v="R015"/>
    <n v="8"/>
    <n v="5080"/>
    <n v="6.2"/>
    <n v="38120.32"/>
    <s v="Completed"/>
    <s v="Chennai"/>
    <x v="1"/>
    <x v="3"/>
    <x v="1"/>
    <n v="2459"/>
    <n v="5080"/>
  </r>
  <r>
    <s v="ORD-01055"/>
    <x v="295"/>
    <s v="CUST-0277"/>
    <s v="PROD-050"/>
    <s v="R010"/>
    <n v="6"/>
    <n v="6080"/>
    <n v="25.8"/>
    <n v="27068.16"/>
    <s v="Completed"/>
    <s v="Chennai"/>
    <x v="1"/>
    <x v="5"/>
    <x v="1"/>
    <n v="2617"/>
    <n v="6080"/>
  </r>
  <r>
    <s v="ORD-01056"/>
    <x v="227"/>
    <s v="CUST-0232"/>
    <s v="PROD-041"/>
    <s v="R010"/>
    <n v="5"/>
    <n v="1540"/>
    <n v="24.6"/>
    <n v="5805.8"/>
    <s v="Completed"/>
    <s v="Hyderabad"/>
    <x v="5"/>
    <x v="5"/>
    <x v="1"/>
    <n v="647"/>
    <n v="1540"/>
  </r>
  <r>
    <s v="ORD-01057"/>
    <x v="280"/>
    <s v="CUST-0074"/>
    <s v="PROD-054"/>
    <s v="R024"/>
    <n v="4"/>
    <n v="1010"/>
    <n v="2.9"/>
    <n v="3922.84"/>
    <s v="Pending"/>
    <s v="Bengaluru"/>
    <x v="4"/>
    <x v="1"/>
    <x v="2"/>
    <n v="516"/>
    <n v="1010"/>
  </r>
  <r>
    <s v="ORD-01058"/>
    <x v="261"/>
    <s v="CUST-0068"/>
    <s v="PROD-049"/>
    <s v="R026"/>
    <n v="5"/>
    <n v="960"/>
    <n v="11.4"/>
    <n v="4252.8"/>
    <s v="Completed"/>
    <s v="Delhi"/>
    <x v="2"/>
    <x v="5"/>
    <x v="2"/>
    <n v="675"/>
    <n v="960"/>
  </r>
  <r>
    <s v="ORD-01059"/>
    <x v="111"/>
    <s v="CUST-0152"/>
    <s v="PROD-041"/>
    <s v="R010"/>
    <n v="1"/>
    <n v="1540"/>
    <n v="5.6"/>
    <n v="1453.76"/>
    <s v="Completed"/>
    <s v="Bengaluru"/>
    <x v="4"/>
    <x v="5"/>
    <x v="1"/>
    <n v="647"/>
    <n v="1540"/>
  </r>
  <r>
    <s v="ORD-01060"/>
    <x v="245"/>
    <s v="CUST-0046"/>
    <s v="PROD-043"/>
    <s v="R019"/>
    <n v="9"/>
    <n v="3350"/>
    <n v="2.1"/>
    <n v="29516.85"/>
    <s v="Completed"/>
    <s v="Delhi"/>
    <x v="2"/>
    <x v="5"/>
    <x v="3"/>
    <n v="1728"/>
    <n v="3350"/>
  </r>
  <r>
    <s v="ORD-01061"/>
    <x v="260"/>
    <s v="CUST-0201"/>
    <s v="PROD-051"/>
    <s v="R021"/>
    <n v="7"/>
    <n v="3450"/>
    <n v="4.7"/>
    <n v="23014.95"/>
    <s v="Completed"/>
    <s v="Hyderabad"/>
    <x v="5"/>
    <x v="1"/>
    <x v="3"/>
    <n v="2467"/>
    <n v="3450"/>
  </r>
  <r>
    <s v="ORD-01062"/>
    <x v="345"/>
    <s v="CUST-0191"/>
    <s v="PROD-057"/>
    <s v="R019"/>
    <n v="10"/>
    <n v="960"/>
    <n v="17.899999999999999"/>
    <n v="7881.6"/>
    <s v="Completed"/>
    <s v="Hyderabad"/>
    <x v="5"/>
    <x v="1"/>
    <x v="3"/>
    <n v="705"/>
    <n v="960"/>
  </r>
  <r>
    <s v="ORD-01063"/>
    <x v="7"/>
    <s v="CUST-0192"/>
    <s v="PROD-013"/>
    <s v="R014"/>
    <n v="1"/>
    <n v="3640"/>
    <n v="8.8000000000000007"/>
    <n v="3319.68"/>
    <s v="Completed"/>
    <s v="Bengaluru"/>
    <x v="4"/>
    <x v="0"/>
    <x v="1"/>
    <n v="2611"/>
    <n v="3640"/>
  </r>
  <r>
    <s v="ORD-01064"/>
    <x v="239"/>
    <s v="CUST-0074"/>
    <s v="PROD-029"/>
    <s v="R017"/>
    <n v="1"/>
    <n v="2210"/>
    <n v="10.7"/>
    <n v="1973.53"/>
    <s v="Completed"/>
    <s v="Bengaluru"/>
    <x v="4"/>
    <x v="2"/>
    <x v="3"/>
    <n v="1010"/>
    <n v="2210"/>
  </r>
  <r>
    <s v="ORD-01065"/>
    <x v="125"/>
    <s v="CUST-0071"/>
    <s v="PROD-031"/>
    <s v="R005"/>
    <n v="2"/>
    <n v="3730"/>
    <n v="13.9"/>
    <n v="6423.06"/>
    <s v="Completed"/>
    <s v="Delhi"/>
    <x v="2"/>
    <x v="3"/>
    <x v="0"/>
    <n v="2135"/>
    <n v="3730"/>
  </r>
  <r>
    <s v="ORD-01066"/>
    <x v="176"/>
    <s v="CUST-0210"/>
    <s v="PROD-052"/>
    <s v="R010"/>
    <n v="7"/>
    <n v="5410"/>
    <n v="23.6"/>
    <n v="28932.68"/>
    <s v="Completed"/>
    <s v="Pune"/>
    <x v="0"/>
    <x v="1"/>
    <x v="1"/>
    <n v="2265"/>
    <n v="5410"/>
  </r>
  <r>
    <s v="ORD-01067"/>
    <x v="221"/>
    <s v="CUST-0054"/>
    <s v="PROD-027"/>
    <s v="R018"/>
    <n v="7"/>
    <n v="3780"/>
    <n v="8.5"/>
    <n v="24210.9"/>
    <s v="Cancelled"/>
    <s v="Mumbai"/>
    <x v="3"/>
    <x v="2"/>
    <x v="3"/>
    <n v="2436"/>
    <n v="3780"/>
  </r>
  <r>
    <s v="ORD-01068"/>
    <x v="122"/>
    <s v="CUST-0194"/>
    <s v="PROD-039"/>
    <s v="R016"/>
    <n v="9"/>
    <n v="4610"/>
    <n v="26.6"/>
    <n v="30453.66"/>
    <s v="Completed"/>
    <s v="Delhi"/>
    <x v="2"/>
    <x v="3"/>
    <x v="1"/>
    <n v="1850"/>
    <n v="4610"/>
  </r>
  <r>
    <s v="ORD-01069"/>
    <x v="41"/>
    <s v="CUST-0231"/>
    <s v="PROD-010"/>
    <s v="R025"/>
    <n v="5"/>
    <n v="2640"/>
    <n v="1.5"/>
    <n v="13002"/>
    <s v="Completed"/>
    <s v="Chennai"/>
    <x v="1"/>
    <x v="4"/>
    <x v="2"/>
    <n v="1149"/>
    <n v="2640"/>
  </r>
  <r>
    <s v="ORD-01070"/>
    <x v="50"/>
    <s v="CUST-0053"/>
    <s v="PROD-014"/>
    <s v="R010"/>
    <n v="3"/>
    <n v="3620"/>
    <n v="3.1"/>
    <n v="10523.34"/>
    <s v="Completed"/>
    <s v="Delhi"/>
    <x v="2"/>
    <x v="0"/>
    <x v="1"/>
    <n v="2509"/>
    <n v="3620"/>
  </r>
  <r>
    <s v="ORD-01071"/>
    <x v="21"/>
    <s v="CUST-0290"/>
    <s v="PROD-053"/>
    <s v="R018"/>
    <n v="5"/>
    <n v="470"/>
    <n v="10.6"/>
    <n v="2100.9"/>
    <s v="Cancelled"/>
    <s v="Delhi"/>
    <x v="2"/>
    <x v="1"/>
    <x v="3"/>
    <n v="302"/>
    <n v="470"/>
  </r>
  <r>
    <s v="ORD-01072"/>
    <x v="113"/>
    <s v="CUST-0261"/>
    <s v="PROD-001"/>
    <s v="R009"/>
    <n v="7"/>
    <n v="5330"/>
    <n v="25"/>
    <n v="27982.5"/>
    <s v="Cancelled"/>
    <s v="Delhi"/>
    <x v="2"/>
    <x v="4"/>
    <x v="1"/>
    <n v="2405"/>
    <n v="5330"/>
  </r>
  <r>
    <s v="ORD-01073"/>
    <x v="346"/>
    <s v="CUST-0045"/>
    <s v="PROD-050"/>
    <s v="R014"/>
    <n v="1"/>
    <n v="6080"/>
    <n v="27.8"/>
    <n v="4389.76"/>
    <s v="Completed"/>
    <s v="Chennai"/>
    <x v="1"/>
    <x v="5"/>
    <x v="1"/>
    <n v="2617"/>
    <n v="6080"/>
  </r>
  <r>
    <s v="ORD-01074"/>
    <x v="324"/>
    <s v="CUST-0064"/>
    <s v="PROD-043"/>
    <s v="R024"/>
    <n v="6"/>
    <n v="3350"/>
    <n v="12"/>
    <n v="17688"/>
    <s v="Completed"/>
    <s v="Hyderabad"/>
    <x v="5"/>
    <x v="5"/>
    <x v="2"/>
    <n v="1728"/>
    <n v="3350"/>
  </r>
  <r>
    <s v="ORD-01075"/>
    <x v="95"/>
    <s v="CUST-9754"/>
    <s v="PROD-056"/>
    <s v="R027"/>
    <n v="6"/>
    <n v="6940"/>
    <n v="20"/>
    <n v="33312"/>
    <s v="Completed"/>
    <s v="Chennai"/>
    <x v="1"/>
    <x v="1"/>
    <x v="2"/>
    <n v="2827"/>
    <n v="6940"/>
  </r>
  <r>
    <s v="ORD-01076"/>
    <x v="184"/>
    <s v="CUST-0200"/>
    <s v="PROD-032"/>
    <s v="R007"/>
    <n v="1"/>
    <n v="370"/>
    <n v="10"/>
    <n v="333"/>
    <s v="Completed"/>
    <s v="Hyderabad"/>
    <x v="5"/>
    <x v="3"/>
    <x v="0"/>
    <n v="288"/>
    <n v="370"/>
  </r>
  <r>
    <s v="ORD-01077"/>
    <x v="39"/>
    <s v="CUST-0058"/>
    <s v="PROD-038"/>
    <s v="R020"/>
    <n v="2"/>
    <n v="5490"/>
    <n v="27.9"/>
    <n v="7916.58"/>
    <s v="Completed"/>
    <s v="Bengaluru"/>
    <x v="4"/>
    <x v="3"/>
    <x v="3"/>
    <n v="2549"/>
    <n v="5490"/>
  </r>
  <r>
    <s v="ORD-01078"/>
    <x v="319"/>
    <s v="CUST-0156"/>
    <s v="PROD-028"/>
    <s v="R009"/>
    <n v="5"/>
    <n v="3660"/>
    <n v="4.5999999999999996"/>
    <n v="17458.2"/>
    <s v="Completed"/>
    <s v="Mumbai"/>
    <x v="3"/>
    <x v="2"/>
    <x v="1"/>
    <n v="2214"/>
    <n v="3660"/>
  </r>
  <r>
    <s v="ORD-01079"/>
    <x v="232"/>
    <s v="CUST-0107"/>
    <s v="PROD-005"/>
    <s v="R029"/>
    <n v="6"/>
    <n v="300"/>
    <n v="9"/>
    <n v="1638"/>
    <s v="Completed"/>
    <s v="Pune"/>
    <x v="0"/>
    <x v="4"/>
    <x v="2"/>
    <n v="128"/>
    <n v="300"/>
  </r>
  <r>
    <s v="ORD-01080"/>
    <x v="271"/>
    <s v="CUST-0184"/>
    <s v="PROD-005"/>
    <s v="R012"/>
    <n v="3"/>
    <n v="300"/>
    <n v="19.2"/>
    <n v="727.2"/>
    <s v="Completed"/>
    <s v="Pune"/>
    <x v="0"/>
    <x v="4"/>
    <x v="1"/>
    <n v="128"/>
    <n v="300"/>
  </r>
  <r>
    <s v="ORD-01081"/>
    <x v="205"/>
    <s v="CUST-0202"/>
    <s v="PROD-049"/>
    <s v="R014"/>
    <n v="6"/>
    <n v="960"/>
    <n v="29.3"/>
    <n v="4072.32"/>
    <s v="Cancelled"/>
    <s v="Chennai"/>
    <x v="1"/>
    <x v="5"/>
    <x v="1"/>
    <n v="675"/>
    <n v="960"/>
  </r>
  <r>
    <s v="ORD-01082"/>
    <x v="266"/>
    <s v="CUST-0137"/>
    <s v="PROD-022"/>
    <s v="R025"/>
    <n v="1"/>
    <n v="2270"/>
    <n v="12.4"/>
    <n v="1988.52"/>
    <s v="Completed"/>
    <s v="Mumbai"/>
    <x v="3"/>
    <x v="2"/>
    <x v="2"/>
    <n v="1412"/>
    <n v="2270"/>
  </r>
  <r>
    <s v="ORD-01083"/>
    <x v="110"/>
    <s v="CUST-0108"/>
    <s v="PROD-033"/>
    <s v="R027"/>
    <n v="10"/>
    <n v="2030"/>
    <n v="4"/>
    <n v="19488"/>
    <s v="Completed"/>
    <s v="Bengaluru"/>
    <x v="4"/>
    <x v="3"/>
    <x v="2"/>
    <n v="1143"/>
    <n v="2030"/>
  </r>
  <r>
    <s v="ORD-01084"/>
    <x v="303"/>
    <s v="CUST-0126"/>
    <s v="PROD-040"/>
    <s v="R021"/>
    <n v="9"/>
    <n v="1080"/>
    <n v="19.2"/>
    <n v="7853.76"/>
    <s v="Pending"/>
    <s v="Mumbai"/>
    <x v="3"/>
    <x v="3"/>
    <x v="3"/>
    <n v="519"/>
    <n v="1080"/>
  </r>
  <r>
    <s v="ORD-01085"/>
    <x v="113"/>
    <s v="CUST-0107"/>
    <s v="PROD-055"/>
    <s v="R025"/>
    <n v="5"/>
    <n v="2860"/>
    <n v="25"/>
    <n v="10725"/>
    <s v="Pending"/>
    <s v="Pune"/>
    <x v="0"/>
    <x v="1"/>
    <x v="2"/>
    <n v="2028"/>
    <n v="2860"/>
  </r>
  <r>
    <s v="ORD-01086"/>
    <x v="276"/>
    <s v="CUST-0071"/>
    <s v="PROD-024"/>
    <s v="R012"/>
    <n v="6"/>
    <n v="2270"/>
    <n v="9.3000000000000007"/>
    <n v="12353.34"/>
    <s v="Completed"/>
    <s v="Delhi"/>
    <x v="2"/>
    <x v="2"/>
    <x v="1"/>
    <n v="1203"/>
    <n v="2270"/>
  </r>
  <r>
    <s v="ORD-01087"/>
    <x v="60"/>
    <s v="CUST-0238"/>
    <s v="PROD-015"/>
    <s v="R024"/>
    <n v="1"/>
    <n v="2720"/>
    <n v="15.2"/>
    <n v="2306.56"/>
    <s v="Completed"/>
    <s v="Delhi"/>
    <x v="2"/>
    <x v="0"/>
    <x v="2"/>
    <n v="1962"/>
    <n v="2720"/>
  </r>
  <r>
    <s v="ORD-01088"/>
    <x v="198"/>
    <s v="CUST-0022"/>
    <s v="PROD-004"/>
    <s v="R005"/>
    <n v="10"/>
    <n v="3870"/>
    <n v="4.9000000000000004"/>
    <n v="36803.699999999997"/>
    <s v="Cancelled"/>
    <s v="Bengaluru"/>
    <x v="4"/>
    <x v="4"/>
    <x v="0"/>
    <n v="1559"/>
    <n v="3870"/>
  </r>
  <r>
    <s v="ORD-01089"/>
    <x v="10"/>
    <s v="CUST-0100"/>
    <s v="PROD-011"/>
    <s v="R019"/>
    <n v="8"/>
    <n v="3450"/>
    <n v="20.6"/>
    <n v="21914.400000000001"/>
    <s v="Completed"/>
    <s v="Hyderabad"/>
    <x v="5"/>
    <x v="0"/>
    <x v="3"/>
    <n v="1748"/>
    <n v="3450"/>
  </r>
  <r>
    <s v="ORD-01090"/>
    <x v="5"/>
    <s v="CUST-0263"/>
    <s v="PROD-053"/>
    <s v="R002"/>
    <n v="1"/>
    <n v="470"/>
    <n v="5.4"/>
    <n v="444.62"/>
    <s v="Refunded"/>
    <s v="Mumbai"/>
    <x v="3"/>
    <x v="1"/>
    <x v="0"/>
    <n v="302"/>
    <n v="470"/>
  </r>
  <r>
    <s v="ORD-01091"/>
    <x v="171"/>
    <s v="CUST-0032"/>
    <s v="PROD-006"/>
    <s v="R009"/>
    <n v="5"/>
    <n v="3970"/>
    <n v="5.8"/>
    <n v="18698.7"/>
    <s v="Completed"/>
    <s v="Hyderabad"/>
    <x v="5"/>
    <x v="4"/>
    <x v="1"/>
    <n v="2865"/>
    <n v="3970"/>
  </r>
  <r>
    <s v="ORD-01092"/>
    <x v="277"/>
    <s v="CUST-0227"/>
    <s v="PROD-048"/>
    <s v="R012"/>
    <n v="2"/>
    <n v="5100"/>
    <n v="19.899999999999999"/>
    <n v="8170.2"/>
    <s v="Completed"/>
    <s v="Bengaluru"/>
    <x v="4"/>
    <x v="5"/>
    <x v="1"/>
    <n v="2237"/>
    <n v="5100"/>
  </r>
  <r>
    <s v="ORD-01093"/>
    <x v="165"/>
    <s v="CUST-0124"/>
    <s v="PROD-047"/>
    <s v="R001"/>
    <n v="6"/>
    <n v="3450"/>
    <n v="13"/>
    <n v="18009"/>
    <s v="Completed"/>
    <s v="Pune"/>
    <x v="0"/>
    <x v="5"/>
    <x v="0"/>
    <n v="2420"/>
    <n v="3450"/>
  </r>
  <r>
    <s v="ORD-01094"/>
    <x v="168"/>
    <s v="CUST-0276"/>
    <s v="PROD-031"/>
    <s v="R012"/>
    <n v="9"/>
    <n v="3730"/>
    <n v="15.5"/>
    <n v="28366.65"/>
    <s v="Completed"/>
    <s v="Chennai"/>
    <x v="1"/>
    <x v="3"/>
    <x v="1"/>
    <n v="2135"/>
    <n v="3730"/>
  </r>
  <r>
    <s v="ORD-01095"/>
    <x v="242"/>
    <s v="CUST-0100"/>
    <s v="PROD-049"/>
    <s v="R020"/>
    <n v="5"/>
    <n v="960"/>
    <n v="9.3000000000000007"/>
    <n v="4353.6000000000004"/>
    <s v="Completed"/>
    <s v="Hyderabad"/>
    <x v="5"/>
    <x v="5"/>
    <x v="3"/>
    <n v="675"/>
    <n v="960"/>
  </r>
  <r>
    <s v="ORD-01096"/>
    <x v="187"/>
    <s v="CUST-0221"/>
    <s v="PROD-034"/>
    <s v="R008"/>
    <n v="3"/>
    <n v="5080"/>
    <n v="17.399999999999999"/>
    <n v="12588.24"/>
    <s v="Cancelled"/>
    <s v="Delhi"/>
    <x v="2"/>
    <x v="3"/>
    <x v="0"/>
    <n v="2459"/>
    <n v="5080"/>
  </r>
  <r>
    <s v="ORD-01097"/>
    <x v="212"/>
    <s v="CUST-0266"/>
    <s v="PROD-004"/>
    <s v="R003"/>
    <n v="4"/>
    <n v="3870"/>
    <n v="20.5"/>
    <n v="12306.6"/>
    <s v="Pending"/>
    <s v="Pune"/>
    <x v="0"/>
    <x v="4"/>
    <x v="0"/>
    <n v="1559"/>
    <n v="3870"/>
  </r>
  <r>
    <s v="ORD-01098"/>
    <x v="72"/>
    <s v="CUST-0210"/>
    <s v="PROD-059"/>
    <s v="R024"/>
    <n v="1"/>
    <n v="3780"/>
    <n v="21.5"/>
    <n v="2967.3"/>
    <s v="Completed"/>
    <s v="Pune"/>
    <x v="0"/>
    <x v="1"/>
    <x v="2"/>
    <n v="1860"/>
    <n v="3780"/>
  </r>
  <r>
    <s v="ORD-01099"/>
    <x v="81"/>
    <s v="CUST-0293"/>
    <s v="PROD-004"/>
    <s v="R017"/>
    <n v="3"/>
    <n v="3870"/>
    <n v="21.9"/>
    <n v="9067.41"/>
    <s v="Pending"/>
    <s v="Bengaluru"/>
    <x v="4"/>
    <x v="4"/>
    <x v="3"/>
    <n v="1559"/>
    <n v="3870"/>
  </r>
  <r>
    <s v="ORD-01100"/>
    <x v="113"/>
    <s v="CUST-0291"/>
    <s v="PROD-033"/>
    <s v="R009"/>
    <n v="4"/>
    <n v="2030"/>
    <n v="23.4"/>
    <n v="6219.92"/>
    <s v="Completed"/>
    <s v="Pune"/>
    <x v="0"/>
    <x v="3"/>
    <x v="1"/>
    <n v="1143"/>
    <n v="2030"/>
  </r>
  <r>
    <s v="ORD-01101"/>
    <x v="192"/>
    <s v="CUST-0295"/>
    <s v="PROD-029"/>
    <s v="R003"/>
    <n v="6"/>
    <n v="2210"/>
    <n v="9.1"/>
    <n v="12053.34"/>
    <s v="Completed"/>
    <s v="Delhi"/>
    <x v="2"/>
    <x v="2"/>
    <x v="0"/>
    <n v="1010"/>
    <n v="2210"/>
  </r>
  <r>
    <s v="ORD-01102"/>
    <x v="180"/>
    <s v="CUST-0123"/>
    <s v="PROD-041"/>
    <s v="R017"/>
    <n v="5"/>
    <n v="1540"/>
    <n v="18.100000000000001"/>
    <n v="6306.3"/>
    <s v="Completed"/>
    <s v="Chennai"/>
    <x v="1"/>
    <x v="5"/>
    <x v="3"/>
    <n v="647"/>
    <n v="1540"/>
  </r>
  <r>
    <s v="ORD-01103"/>
    <x v="274"/>
    <s v="CUST-0167"/>
    <s v="PROD-054"/>
    <s v="R011"/>
    <n v="1"/>
    <n v="1010"/>
    <n v="7.3"/>
    <n v="936.27"/>
    <s v="Completed"/>
    <s v="Delhi"/>
    <x v="2"/>
    <x v="1"/>
    <x v="1"/>
    <n v="516"/>
    <n v="1010"/>
  </r>
  <r>
    <s v="ORD-01104"/>
    <x v="107"/>
    <s v="CUST-0247"/>
    <s v="PROD-001"/>
    <s v="R015"/>
    <n v="10"/>
    <n v="5330"/>
    <n v="27.3"/>
    <n v="38749.1"/>
    <s v="Completed"/>
    <s v="Pune"/>
    <x v="0"/>
    <x v="4"/>
    <x v="1"/>
    <n v="2405"/>
    <n v="5330"/>
  </r>
  <r>
    <s v="ORD-01105"/>
    <x v="289"/>
    <s v="CUST-0224"/>
    <s v="PROD-003"/>
    <s v="R022"/>
    <n v="7"/>
    <n v="3570"/>
    <n v="24.3"/>
    <n v="18917.43"/>
    <s v="Completed"/>
    <s v="Chennai"/>
    <x v="1"/>
    <x v="4"/>
    <x v="3"/>
    <n v="1665"/>
    <n v="3570"/>
  </r>
  <r>
    <s v="ORD-01106"/>
    <x v="28"/>
    <s v="CUST-0102"/>
    <s v="PROD-043"/>
    <s v="R017"/>
    <n v="1"/>
    <n v="3350"/>
    <n v="14.9"/>
    <n v="2850.85"/>
    <s v="Completed"/>
    <s v="Chennai"/>
    <x v="1"/>
    <x v="5"/>
    <x v="3"/>
    <n v="1728"/>
    <n v="3350"/>
  </r>
  <r>
    <s v="ORD-01107"/>
    <x v="110"/>
    <s v="CUST-0151"/>
    <s v="PROD-017"/>
    <s v="R023"/>
    <n v="2"/>
    <n v="2510"/>
    <n v="10.6"/>
    <n v="4487.88"/>
    <s v="Completed"/>
    <s v="Mumbai"/>
    <x v="3"/>
    <x v="0"/>
    <x v="3"/>
    <n v="1075"/>
    <n v="2510"/>
  </r>
  <r>
    <s v="ORD-01108"/>
    <x v="264"/>
    <s v="CUST-0182"/>
    <s v="PROD-030"/>
    <s v="R025"/>
    <n v="5"/>
    <n v="970"/>
    <n v="6.8"/>
    <n v="4520.2"/>
    <s v="Pending"/>
    <s v="Mumbai"/>
    <x v="3"/>
    <x v="2"/>
    <x v="2"/>
    <n v="434"/>
    <n v="970"/>
  </r>
  <r>
    <s v="ORD-01109"/>
    <x v="281"/>
    <s v="CUST-0152"/>
    <s v="PROD-027"/>
    <s v="R002"/>
    <n v="5"/>
    <n v="3780"/>
    <n v="16.600000000000001"/>
    <n v="15762.6"/>
    <s v="Completed"/>
    <s v="Bengaluru"/>
    <x v="4"/>
    <x v="2"/>
    <x v="0"/>
    <n v="2436"/>
    <n v="3780"/>
  </r>
  <r>
    <s v="ORD-01110"/>
    <x v="229"/>
    <s v="CUST-0247"/>
    <s v="PROD-017"/>
    <s v="R007"/>
    <n v="3"/>
    <n v="2510"/>
    <n v="24.9"/>
    <n v="5655.03"/>
    <s v="Cancelled"/>
    <s v="Pune"/>
    <x v="0"/>
    <x v="0"/>
    <x v="0"/>
    <n v="1075"/>
    <n v="2510"/>
  </r>
  <r>
    <s v="ORD-01111"/>
    <x v="289"/>
    <s v="CUST-0220"/>
    <s v="PROD-033"/>
    <s v="R008"/>
    <n v="3"/>
    <n v="2030"/>
    <n v="3.8"/>
    <n v="5858.58"/>
    <s v="Completed"/>
    <s v="Chennai"/>
    <x v="1"/>
    <x v="3"/>
    <x v="0"/>
    <n v="1143"/>
    <n v="2030"/>
  </r>
  <r>
    <s v="ORD-01112"/>
    <x v="35"/>
    <s v="CUST-0206"/>
    <s v="PROD-060"/>
    <s v="R014"/>
    <n v="9"/>
    <n v="190"/>
    <n v="5.4"/>
    <n v="1617.66"/>
    <s v="Completed"/>
    <s v="Mumbai"/>
    <x v="3"/>
    <x v="1"/>
    <x v="1"/>
    <n v="147"/>
    <n v="190"/>
  </r>
  <r>
    <s v="ORD-01113"/>
    <x v="200"/>
    <s v="CUST-0219"/>
    <s v="PROD-029"/>
    <s v="R020"/>
    <n v="6"/>
    <n v="2210"/>
    <n v="29.4"/>
    <n v="9361.56"/>
    <s v="Completed"/>
    <s v="Chennai"/>
    <x v="1"/>
    <x v="2"/>
    <x v="3"/>
    <n v="1010"/>
    <n v="2210"/>
  </r>
  <r>
    <s v="ORD-01114"/>
    <x v="14"/>
    <s v="CUST-0298"/>
    <s v="PROD-013"/>
    <s v="R005"/>
    <n v="4"/>
    <n v="3640"/>
    <n v="0.6"/>
    <n v="14472.64"/>
    <s v="Completed"/>
    <s v="Delhi"/>
    <x v="2"/>
    <x v="0"/>
    <x v="0"/>
    <n v="2611"/>
    <n v="3640"/>
  </r>
  <r>
    <s v="ORD-01115"/>
    <x v="17"/>
    <s v="CUST-0254"/>
    <s v="PROD-009"/>
    <s v="R009"/>
    <n v="9"/>
    <n v="1220"/>
    <n v="24.1"/>
    <n v="8333.82"/>
    <s v="Completed"/>
    <s v="Bengaluru"/>
    <x v="4"/>
    <x v="4"/>
    <x v="1"/>
    <n v="517"/>
    <n v="1220"/>
  </r>
  <r>
    <s v="ORD-01116"/>
    <x v="73"/>
    <s v="CUST-0085"/>
    <s v="PROD-056"/>
    <s v="R009"/>
    <n v="2"/>
    <n v="6940"/>
    <n v="27"/>
    <n v="10132.4"/>
    <s v="Completed"/>
    <s v="Chennai"/>
    <x v="1"/>
    <x v="1"/>
    <x v="1"/>
    <n v="2827"/>
    <n v="6940"/>
  </r>
  <r>
    <s v="ORD-01117"/>
    <x v="117"/>
    <s v="CUST-0181"/>
    <s v="PROD-055"/>
    <s v="R010"/>
    <n v="6"/>
    <n v="2860"/>
    <n v="6.6"/>
    <n v="16027.44"/>
    <s v="Completed"/>
    <s v="Delhi"/>
    <x v="2"/>
    <x v="1"/>
    <x v="1"/>
    <n v="2028"/>
    <n v="2860"/>
  </r>
  <r>
    <s v="ORD-01118"/>
    <x v="182"/>
    <s v="CUST-0143"/>
    <s v="PROD-015"/>
    <s v="R018"/>
    <n v="5"/>
    <n v="2720"/>
    <n v="21.4"/>
    <n v="10689.6"/>
    <s v="Completed"/>
    <s v="Chennai"/>
    <x v="1"/>
    <x v="0"/>
    <x v="3"/>
    <n v="1962"/>
    <n v="2720"/>
  </r>
  <r>
    <s v="ORD-01119"/>
    <x v="338"/>
    <s v="CUST-0263"/>
    <s v="PROD-020"/>
    <s v="R006"/>
    <n v="5"/>
    <n v="820"/>
    <n v="28.6"/>
    <n v="2927.4"/>
    <s v="Completed"/>
    <s v="Mumbai"/>
    <x v="3"/>
    <x v="0"/>
    <x v="0"/>
    <n v="391"/>
    <n v="820"/>
  </r>
  <r>
    <s v="ORD-01120"/>
    <x v="135"/>
    <s v="CUST-0105"/>
    <s v="PROD-042"/>
    <s v="R022"/>
    <n v="6"/>
    <n v="2290"/>
    <n v="18.8"/>
    <n v="11156.88"/>
    <s v="Completed"/>
    <s v="Chennai"/>
    <x v="1"/>
    <x v="5"/>
    <x v="3"/>
    <n v="1219"/>
    <n v="2290"/>
  </r>
  <r>
    <s v="ORD-01121"/>
    <x v="18"/>
    <s v="CUST-0256"/>
    <s v="PROD-047"/>
    <s v="R021"/>
    <n v="6"/>
    <n v="3450"/>
    <n v="28.4"/>
    <n v="14821.2"/>
    <s v="Completed"/>
    <s v="Hyderabad"/>
    <x v="5"/>
    <x v="5"/>
    <x v="3"/>
    <n v="2420"/>
    <n v="3450"/>
  </r>
  <r>
    <s v="ORD-01122"/>
    <x v="1"/>
    <s v="CUST-0260"/>
    <s v="PROD-033"/>
    <s v="R002"/>
    <n v="10"/>
    <n v="2030"/>
    <n v="8"/>
    <n v="18676"/>
    <s v="Completed"/>
    <s v="Bengaluru"/>
    <x v="4"/>
    <x v="3"/>
    <x v="0"/>
    <n v="1143"/>
    <n v="2030"/>
  </r>
  <r>
    <s v="ORD-01123"/>
    <x v="239"/>
    <s v="CUST-0233"/>
    <s v="PROD-058"/>
    <s v="R022"/>
    <n v="1"/>
    <n v="2400"/>
    <n v="9.6999999999999993"/>
    <n v="2167.1999999999998"/>
    <s v="Completed"/>
    <s v="Mumbai"/>
    <x v="3"/>
    <x v="1"/>
    <x v="3"/>
    <n v="974"/>
    <n v="2400"/>
  </r>
  <r>
    <s v="ORD-01124"/>
    <x v="264"/>
    <s v="CUST-0183"/>
    <s v="PROD-033"/>
    <s v="R014"/>
    <n v="4"/>
    <n v="2030"/>
    <n v="24.8"/>
    <n v="6106.24"/>
    <s v="Pending"/>
    <s v="Mumbai"/>
    <x v="3"/>
    <x v="3"/>
    <x v="1"/>
    <n v="1143"/>
    <n v="2030"/>
  </r>
  <r>
    <s v="ORD-01125"/>
    <x v="191"/>
    <s v="CUST-0142"/>
    <s v="PROD-025"/>
    <s v="R002"/>
    <n v="5"/>
    <n v="4060"/>
    <n v="9.1"/>
    <n v="18452.7"/>
    <s v="Pending"/>
    <s v="Chennai"/>
    <x v="1"/>
    <x v="2"/>
    <x v="0"/>
    <n v="2911"/>
    <n v="4060"/>
  </r>
  <r>
    <s v="ORD-01126"/>
    <x v="334"/>
    <s v="CUST-0150"/>
    <s v="PROD-033"/>
    <s v="R013"/>
    <n v="9"/>
    <n v="2030"/>
    <n v="15.9"/>
    <n v="15365.07"/>
    <s v="Pending"/>
    <s v="Pune"/>
    <x v="0"/>
    <x v="3"/>
    <x v="1"/>
    <n v="1143"/>
    <n v="2030"/>
  </r>
  <r>
    <s v="ORD-01127"/>
    <x v="201"/>
    <s v="CUST-0001"/>
    <s v="PROD-043"/>
    <s v="R014"/>
    <n v="1"/>
    <n v="3350"/>
    <n v="23.2"/>
    <n v="2572.8000000000002"/>
    <s v="Refunded"/>
    <s v="Pune"/>
    <x v="0"/>
    <x v="5"/>
    <x v="1"/>
    <n v="1728"/>
    <n v="3350"/>
  </r>
  <r>
    <s v="ORD-01128"/>
    <x v="287"/>
    <s v="CUST-0104"/>
    <s v="PROD-037"/>
    <s v="R006"/>
    <n v="4"/>
    <n v="660"/>
    <n v="27.1"/>
    <n v="1924.56"/>
    <s v="Completed"/>
    <s v="Hyderabad"/>
    <x v="5"/>
    <x v="3"/>
    <x v="0"/>
    <n v="329"/>
    <n v="660"/>
  </r>
  <r>
    <s v="ORD-01129"/>
    <x v="236"/>
    <s v="CUST-0261"/>
    <s v="PROD-045"/>
    <s v="R014"/>
    <n v="3"/>
    <n v="3020"/>
    <n v="7.2"/>
    <n v="8407.68"/>
    <s v="Completed"/>
    <s v="Delhi"/>
    <x v="2"/>
    <x v="5"/>
    <x v="1"/>
    <n v="1626"/>
    <n v="3020"/>
  </r>
  <r>
    <s v="ORD-01130"/>
    <x v="132"/>
    <s v="CUST-0010"/>
    <s v="PROD-008"/>
    <s v="R006"/>
    <n v="3"/>
    <n v="2660"/>
    <n v="0.2"/>
    <n v="7964.04"/>
    <s v="Completed"/>
    <s v="Mumbai"/>
    <x v="3"/>
    <x v="4"/>
    <x v="0"/>
    <n v="1259"/>
    <n v="2660"/>
  </r>
  <r>
    <s v="ORD-01131"/>
    <x v="181"/>
    <s v="CUST-0237"/>
    <s v="PROD-054"/>
    <s v="R006"/>
    <n v="4"/>
    <n v="1010"/>
    <n v="3.1"/>
    <n v="3914.76"/>
    <s v="Completed"/>
    <s v="Mumbai"/>
    <x v="3"/>
    <x v="1"/>
    <x v="0"/>
    <n v="516"/>
    <n v="1010"/>
  </r>
  <r>
    <s v="ORD-01132"/>
    <x v="82"/>
    <s v="CUST-0128"/>
    <s v="PROD-038"/>
    <s v="R017"/>
    <n v="5"/>
    <n v="5490"/>
    <n v="3.6"/>
    <n v="26461.8"/>
    <s v="Completed"/>
    <s v="Hyderabad"/>
    <x v="5"/>
    <x v="3"/>
    <x v="3"/>
    <n v="2549"/>
    <n v="5490"/>
  </r>
  <r>
    <s v="ORD-01133"/>
    <x v="94"/>
    <s v="CUST-0182"/>
    <s v="PROD-058"/>
    <s v="R019"/>
    <n v="1"/>
    <n v="2400"/>
    <n v="24.3"/>
    <n v="1816.8"/>
    <s v="Completed"/>
    <s v="Mumbai"/>
    <x v="3"/>
    <x v="1"/>
    <x v="3"/>
    <n v="974"/>
    <n v="2400"/>
  </r>
  <r>
    <s v="ORD-01134"/>
    <x v="147"/>
    <s v="CUST-0131"/>
    <s v="PROD-037"/>
    <s v="R009"/>
    <n v="8"/>
    <n v="660"/>
    <n v="19.8"/>
    <n v="4234.5600000000004"/>
    <s v="Completed"/>
    <s v="Delhi"/>
    <x v="2"/>
    <x v="3"/>
    <x v="1"/>
    <n v="329"/>
    <n v="660"/>
  </r>
  <r>
    <s v="ORD-01135"/>
    <x v="172"/>
    <s v="CUST-0023"/>
    <s v="PROD-001"/>
    <s v="R016"/>
    <n v="9"/>
    <n v="5330"/>
    <n v="16.5"/>
    <n v="40054.949999999997"/>
    <s v="Completed"/>
    <s v="Chennai"/>
    <x v="1"/>
    <x v="4"/>
    <x v="1"/>
    <n v="2405"/>
    <n v="5330"/>
  </r>
  <r>
    <s v="ORD-01136"/>
    <x v="340"/>
    <s v="CUST-0171"/>
    <s v="PROD-002"/>
    <s v="R007"/>
    <n v="5"/>
    <n v="2600"/>
    <n v="0.3"/>
    <n v="12961"/>
    <s v="Completed"/>
    <s v="Chennai"/>
    <x v="1"/>
    <x v="4"/>
    <x v="0"/>
    <n v="1052"/>
    <n v="2600"/>
  </r>
  <r>
    <s v="ORD-01137"/>
    <x v="32"/>
    <s v="CUST-0116"/>
    <s v="PROD-034"/>
    <s v="R018"/>
    <n v="4"/>
    <n v="5080"/>
    <n v="13.8"/>
    <n v="17515.84"/>
    <s v="Pending"/>
    <s v="Bengaluru"/>
    <x v="4"/>
    <x v="3"/>
    <x v="3"/>
    <n v="2459"/>
    <n v="5080"/>
  </r>
  <r>
    <s v="ORD-01138"/>
    <x v="100"/>
    <s v="CUST-0021"/>
    <s v="PROD-023"/>
    <s v="R002"/>
    <n v="7"/>
    <n v="2380"/>
    <n v="15.5"/>
    <n v="14077.7"/>
    <s v="Completed"/>
    <s v="Pune"/>
    <x v="0"/>
    <x v="2"/>
    <x v="0"/>
    <n v="1182"/>
    <n v="2380"/>
  </r>
  <r>
    <s v="ORD-01139"/>
    <x v="83"/>
    <s v="CUST-0234"/>
    <s v="PROD-046"/>
    <s v="R006"/>
    <n v="3"/>
    <n v="4880"/>
    <n v="6.1"/>
    <n v="13746.96"/>
    <s v="Completed"/>
    <s v="Bengaluru"/>
    <x v="4"/>
    <x v="5"/>
    <x v="0"/>
    <n v="2768"/>
    <n v="4880"/>
  </r>
  <r>
    <s v="ORD-01140"/>
    <x v="36"/>
    <s v="CUST-0225"/>
    <s v="PROD-043"/>
    <s v="R009"/>
    <n v="2"/>
    <n v="3350"/>
    <n v="17.2"/>
    <n v="5547.6"/>
    <s v="Completed"/>
    <s v="Chennai"/>
    <x v="1"/>
    <x v="5"/>
    <x v="1"/>
    <n v="1728"/>
    <n v="3350"/>
  </r>
  <r>
    <s v="ORD-01141"/>
    <x v="238"/>
    <s v="CUST-0268"/>
    <s v="PROD-030"/>
    <s v="R024"/>
    <n v="5"/>
    <n v="970"/>
    <n v="23.6"/>
    <n v="3705.4"/>
    <s v="Completed"/>
    <s v="Chennai"/>
    <x v="1"/>
    <x v="2"/>
    <x v="2"/>
    <n v="434"/>
    <n v="970"/>
  </r>
  <r>
    <s v="ORD-01142"/>
    <x v="215"/>
    <s v="CUST-0248"/>
    <s v="PROD-005"/>
    <s v="R022"/>
    <n v="5"/>
    <n v="300"/>
    <n v="3.8"/>
    <n v="1443"/>
    <s v="Completed"/>
    <s v="Chennai"/>
    <x v="1"/>
    <x v="4"/>
    <x v="3"/>
    <n v="128"/>
    <n v="300"/>
  </r>
  <r>
    <s v="ORD-01143"/>
    <x v="243"/>
    <s v="CUST-0026"/>
    <s v="PROD-006"/>
    <s v="R005"/>
    <n v="9"/>
    <n v="3970"/>
    <n v="0.8"/>
    <n v="35444.160000000003"/>
    <s v="Completed"/>
    <s v="Pune"/>
    <x v="0"/>
    <x v="4"/>
    <x v="0"/>
    <n v="2865"/>
    <n v="3970"/>
  </r>
  <r>
    <s v="ORD-01144"/>
    <x v="242"/>
    <s v="CUST-0257"/>
    <s v="PROD-015"/>
    <s v="R013"/>
    <n v="4"/>
    <n v="2720"/>
    <n v="12.7"/>
    <n v="9498.24"/>
    <s v="Completed"/>
    <s v="Mumbai"/>
    <x v="3"/>
    <x v="0"/>
    <x v="1"/>
    <n v="1962"/>
    <n v="2720"/>
  </r>
  <r>
    <s v="ORD-01145"/>
    <x v="249"/>
    <s v="CUST-0258"/>
    <s v="PROD-016"/>
    <s v="R021"/>
    <n v="3"/>
    <n v="620"/>
    <n v="5.5"/>
    <n v="1757.7"/>
    <s v="Completed"/>
    <s v="Pune"/>
    <x v="0"/>
    <x v="0"/>
    <x v="3"/>
    <n v="396"/>
    <n v="620"/>
  </r>
  <r>
    <s v="ORD-01146"/>
    <x v="319"/>
    <s v="CUST-0142"/>
    <s v="PROD-041"/>
    <s v="R024"/>
    <n v="2"/>
    <n v="1540"/>
    <n v="2.2000000000000002"/>
    <n v="3012.24"/>
    <s v="Pending"/>
    <s v="Chennai"/>
    <x v="1"/>
    <x v="5"/>
    <x v="2"/>
    <n v="647"/>
    <n v="1540"/>
  </r>
  <r>
    <s v="ORD-01147"/>
    <x v="166"/>
    <s v="CUST-0020"/>
    <s v="PROD-042"/>
    <s v="R026"/>
    <n v="1"/>
    <n v="2290"/>
    <n v="24.4"/>
    <n v="1731.24"/>
    <s v="Cancelled"/>
    <s v="Hyderabad"/>
    <x v="5"/>
    <x v="5"/>
    <x v="2"/>
    <n v="1219"/>
    <n v="2290"/>
  </r>
  <r>
    <s v="ORD-01148"/>
    <x v="343"/>
    <s v="CUST-0016"/>
    <s v="PROD-015"/>
    <s v="R018"/>
    <n v="8"/>
    <n v="2720"/>
    <n v="1.7"/>
    <n v="21390.080000000002"/>
    <s v="Completed"/>
    <s v="Delhi"/>
    <x v="2"/>
    <x v="0"/>
    <x v="3"/>
    <n v="1962"/>
    <n v="2720"/>
  </r>
  <r>
    <s v="ORD-01149"/>
    <x v="69"/>
    <s v="CUST-0288"/>
    <s v="PROD-025"/>
    <s v="R023"/>
    <n v="4"/>
    <n v="4060"/>
    <n v="19.600000000000001"/>
    <n v="13056.96"/>
    <s v="Cancelled"/>
    <s v="Hyderabad"/>
    <x v="5"/>
    <x v="2"/>
    <x v="3"/>
    <n v="2911"/>
    <n v="4060"/>
  </r>
  <r>
    <s v="ORD-01150"/>
    <x v="43"/>
    <s v="CUST-0133"/>
    <s v="PROD-003"/>
    <s v="R016"/>
    <n v="8"/>
    <n v="3570"/>
    <n v="10.8"/>
    <n v="25475.52"/>
    <s v="Completed"/>
    <s v="Chennai"/>
    <x v="1"/>
    <x v="4"/>
    <x v="1"/>
    <n v="1665"/>
    <n v="3570"/>
  </r>
  <r>
    <s v="ORD-01151"/>
    <x v="258"/>
    <s v="CUST-0192"/>
    <s v="PROD-051"/>
    <s v="R004"/>
    <n v="10"/>
    <n v="3450"/>
    <n v="13.5"/>
    <n v="29842.5"/>
    <s v="Pending"/>
    <s v="Bengaluru"/>
    <x v="4"/>
    <x v="1"/>
    <x v="0"/>
    <n v="2467"/>
    <n v="3450"/>
  </r>
  <r>
    <s v="ORD-01152"/>
    <x v="277"/>
    <s v="CUST-0298"/>
    <s v="PROD-010"/>
    <s v="R007"/>
    <n v="10"/>
    <n v="2640"/>
    <n v="29.8"/>
    <n v="18532.8"/>
    <s v="Completed"/>
    <s v="Delhi"/>
    <x v="2"/>
    <x v="4"/>
    <x v="0"/>
    <n v="1149"/>
    <n v="2640"/>
  </r>
  <r>
    <s v="ORD-01153"/>
    <x v="204"/>
    <s v="CUST-0088"/>
    <s v="PROD-032"/>
    <s v="R009"/>
    <n v="3"/>
    <n v="370"/>
    <n v="25.5"/>
    <n v="826.95"/>
    <s v="Completed"/>
    <s v="Chennai"/>
    <x v="1"/>
    <x v="3"/>
    <x v="1"/>
    <n v="288"/>
    <n v="370"/>
  </r>
  <r>
    <s v="ORD-01154"/>
    <x v="180"/>
    <s v="CUST-0274"/>
    <s v="PROD-009"/>
    <s v="R030"/>
    <n v="3"/>
    <n v="1220"/>
    <n v="7.7"/>
    <n v="3378.18"/>
    <s v="Pending"/>
    <s v="Bengaluru"/>
    <x v="4"/>
    <x v="4"/>
    <x v="2"/>
    <n v="517"/>
    <n v="1220"/>
  </r>
  <r>
    <s v="ORD-01155"/>
    <x v="59"/>
    <s v="CUST-0165"/>
    <s v="PROD-010"/>
    <s v="R022"/>
    <n v="1"/>
    <n v="2640"/>
    <n v="23.6"/>
    <n v="2016.96"/>
    <s v="Completed"/>
    <s v="Pune"/>
    <x v="0"/>
    <x v="4"/>
    <x v="3"/>
    <n v="1149"/>
    <n v="2640"/>
  </r>
  <r>
    <s v="ORD-01156"/>
    <x v="232"/>
    <s v="CUST-0275"/>
    <s v="PROD-048"/>
    <s v="R011"/>
    <n v="9"/>
    <n v="5100"/>
    <n v="9.5"/>
    <n v="41539.5"/>
    <s v="Completed"/>
    <s v="Mumbai"/>
    <x v="3"/>
    <x v="5"/>
    <x v="1"/>
    <n v="2237"/>
    <n v="5100"/>
  </r>
  <r>
    <s v="ORD-01157"/>
    <x v="347"/>
    <s v="CUST-0225"/>
    <s v="PROD-050"/>
    <s v="R008"/>
    <n v="7"/>
    <n v="6080"/>
    <n v="17.5"/>
    <n v="35112"/>
    <s v="Completed"/>
    <s v="Chennai"/>
    <x v="1"/>
    <x v="5"/>
    <x v="0"/>
    <n v="2617"/>
    <n v="6080"/>
  </r>
  <r>
    <s v="ORD-01158"/>
    <x v="341"/>
    <s v="CUST-0059"/>
    <s v="PROD-005"/>
    <s v="R026"/>
    <n v="1"/>
    <n v="300"/>
    <n v="26.9"/>
    <n v="219.3"/>
    <s v="Completed"/>
    <s v="Pune"/>
    <x v="0"/>
    <x v="4"/>
    <x v="2"/>
    <n v="128"/>
    <n v="300"/>
  </r>
  <r>
    <s v="ORD-01159"/>
    <x v="181"/>
    <s v="CUST-0149"/>
    <s v="PROD-045"/>
    <s v="R020"/>
    <n v="6"/>
    <n v="3020"/>
    <n v="28.5"/>
    <n v="12955.8"/>
    <s v="Completed"/>
    <s v="Hyderabad"/>
    <x v="5"/>
    <x v="5"/>
    <x v="3"/>
    <n v="1626"/>
    <n v="3020"/>
  </r>
  <r>
    <s v="ORD-01160"/>
    <x v="137"/>
    <s v="CUST-0283"/>
    <s v="PROD-005"/>
    <s v="R018"/>
    <n v="8"/>
    <n v="300"/>
    <n v="1.2"/>
    <n v="2371.1999999999998"/>
    <s v="Completed"/>
    <s v="Delhi"/>
    <x v="2"/>
    <x v="4"/>
    <x v="3"/>
    <n v="128"/>
    <n v="300"/>
  </r>
  <r>
    <s v="ORD-01161"/>
    <x v="271"/>
    <s v="CUST-0039"/>
    <s v="PROD-043"/>
    <s v="R011"/>
    <n v="9"/>
    <n v="3350"/>
    <n v="0.6"/>
    <n v="29969.1"/>
    <s v="Refunded"/>
    <s v="Bengaluru"/>
    <x v="4"/>
    <x v="5"/>
    <x v="1"/>
    <n v="1728"/>
    <n v="3350"/>
  </r>
  <r>
    <s v="ORD-01162"/>
    <x v="319"/>
    <s v="CUST-0046"/>
    <s v="PROD-026"/>
    <s v="R024"/>
    <n v="4"/>
    <n v="4070"/>
    <n v="10.1"/>
    <n v="14635.72"/>
    <s v="Completed"/>
    <s v="Delhi"/>
    <x v="2"/>
    <x v="2"/>
    <x v="2"/>
    <n v="2027"/>
    <n v="4070"/>
  </r>
  <r>
    <s v="ORD-01163"/>
    <x v="105"/>
    <s v="CUST-0105"/>
    <s v="PROD-059"/>
    <s v="R024"/>
    <n v="9"/>
    <n v="3780"/>
    <n v="27.8"/>
    <n v="24562.44"/>
    <s v="Cancelled"/>
    <s v="Chennai"/>
    <x v="1"/>
    <x v="1"/>
    <x v="2"/>
    <n v="1860"/>
    <n v="3780"/>
  </r>
  <r>
    <s v="ORD-01164"/>
    <x v="192"/>
    <s v="CUST-0006"/>
    <s v="PROD-040"/>
    <s v="R030"/>
    <n v="6"/>
    <n v="1080"/>
    <n v="17.5"/>
    <n v="5346"/>
    <s v="Completed"/>
    <s v="Pune"/>
    <x v="0"/>
    <x v="3"/>
    <x v="2"/>
    <n v="519"/>
    <n v="1080"/>
  </r>
  <r>
    <s v="ORD-01165"/>
    <x v="348"/>
    <s v="CUST-0192"/>
    <s v="PROD-002"/>
    <s v="R023"/>
    <n v="3"/>
    <n v="2600"/>
    <n v="1.9"/>
    <n v="7651.8"/>
    <s v="Completed"/>
    <s v="Bengaluru"/>
    <x v="4"/>
    <x v="4"/>
    <x v="3"/>
    <n v="1052"/>
    <n v="2600"/>
  </r>
  <r>
    <s v="ORD-01166"/>
    <x v="67"/>
    <s v="CUST-0290"/>
    <s v="PROD-015"/>
    <s v="R008"/>
    <n v="5"/>
    <n v="2720"/>
    <n v="1.8"/>
    <n v="13355.2"/>
    <s v="Cancelled"/>
    <s v="Delhi"/>
    <x v="2"/>
    <x v="0"/>
    <x v="0"/>
    <n v="1962"/>
    <n v="2720"/>
  </r>
  <r>
    <s v="ORD-01167"/>
    <x v="270"/>
    <s v="CUST-0287"/>
    <s v="PROD-028"/>
    <s v="R012"/>
    <n v="8"/>
    <n v="3660"/>
    <n v="29.5"/>
    <n v="20642.400000000001"/>
    <s v="Completed"/>
    <s v="Chennai"/>
    <x v="1"/>
    <x v="2"/>
    <x v="1"/>
    <n v="2214"/>
    <n v="3660"/>
  </r>
  <r>
    <s v="ORD-01168"/>
    <x v="237"/>
    <s v="CUST-0025"/>
    <s v="PROD-044"/>
    <s v="R005"/>
    <n v="9"/>
    <n v="1650"/>
    <n v="19.8"/>
    <n v="11909.7"/>
    <s v="Refunded"/>
    <s v="Bengaluru"/>
    <x v="4"/>
    <x v="5"/>
    <x v="0"/>
    <n v="1222"/>
    <n v="1650"/>
  </r>
  <r>
    <s v="ORD-01169"/>
    <x v="349"/>
    <s v="CUST-0139"/>
    <s v="PROD-055"/>
    <s v="R019"/>
    <n v="3"/>
    <n v="2860"/>
    <n v="22.7"/>
    <n v="6632.34"/>
    <s v="Completed"/>
    <s v="Hyderabad"/>
    <x v="5"/>
    <x v="1"/>
    <x v="3"/>
    <n v="2028"/>
    <n v="2860"/>
  </r>
  <r>
    <s v="ORD-01170"/>
    <x v="335"/>
    <s v="CUST-0278"/>
    <s v="PROD-051"/>
    <s v="R025"/>
    <n v="4"/>
    <n v="3450"/>
    <n v="9.1999999999999993"/>
    <n v="12530.4"/>
    <s v="Completed"/>
    <s v="Hyderabad"/>
    <x v="5"/>
    <x v="1"/>
    <x v="2"/>
    <n v="2467"/>
    <n v="3450"/>
  </r>
  <r>
    <s v="ORD-01171"/>
    <x v="171"/>
    <s v="CUST-0258"/>
    <s v="PROD-033"/>
    <s v="R003"/>
    <n v="4"/>
    <n v="2030"/>
    <n v="17.100000000000001"/>
    <n v="6731.48"/>
    <s v="Completed"/>
    <s v="Pune"/>
    <x v="0"/>
    <x v="3"/>
    <x v="0"/>
    <n v="1143"/>
    <n v="2030"/>
  </r>
  <r>
    <s v="ORD-01172"/>
    <x v="24"/>
    <s v="CUST-0106"/>
    <s v="PROD-022"/>
    <s v="R016"/>
    <n v="4"/>
    <n v="2270"/>
    <n v="27.3"/>
    <n v="6601.16"/>
    <s v="Completed"/>
    <s v="Pune"/>
    <x v="0"/>
    <x v="2"/>
    <x v="1"/>
    <n v="1412"/>
    <n v="2270"/>
  </r>
  <r>
    <s v="ORD-01173"/>
    <x v="41"/>
    <s v="CUST-0009"/>
    <s v="PROD-034"/>
    <s v="R013"/>
    <n v="9"/>
    <n v="5080"/>
    <n v="10.9"/>
    <n v="40736.519999999997"/>
    <s v="Completed"/>
    <s v="Mumbai"/>
    <x v="3"/>
    <x v="3"/>
    <x v="1"/>
    <n v="2459"/>
    <n v="5080"/>
  </r>
  <r>
    <s v="ORD-01174"/>
    <x v="341"/>
    <s v="CUST-0209"/>
    <s v="PROD-026"/>
    <s v="R029"/>
    <n v="8"/>
    <n v="4070"/>
    <n v="17.7"/>
    <n v="26796.880000000001"/>
    <s v="Completed"/>
    <s v="Pune"/>
    <x v="0"/>
    <x v="2"/>
    <x v="2"/>
    <n v="2027"/>
    <n v="4070"/>
  </r>
  <r>
    <s v="ORD-01175"/>
    <x v="332"/>
    <s v="CUST-0111"/>
    <s v="PROD-041"/>
    <s v="R005"/>
    <n v="1"/>
    <n v="1540"/>
    <n v="0.9"/>
    <n v="1526.14"/>
    <s v="Completed"/>
    <s v="Chennai"/>
    <x v="1"/>
    <x v="5"/>
    <x v="0"/>
    <n v="647"/>
    <n v="1540"/>
  </r>
  <r>
    <s v="ORD-01176"/>
    <x v="104"/>
    <s v="CUST-0014"/>
    <s v="PROD-048"/>
    <s v="R024"/>
    <n v="10"/>
    <n v="5100"/>
    <n v="3"/>
    <n v="49470"/>
    <s v="Completed"/>
    <s v="Bengaluru"/>
    <x v="4"/>
    <x v="5"/>
    <x v="0"/>
    <n v="2237"/>
    <n v="5100"/>
  </r>
  <r>
    <s v="ORD-01177"/>
    <x v="165"/>
    <s v="CUST-0073"/>
    <s v="PROD-014"/>
    <s v="R006"/>
    <n v="6"/>
    <n v="3620"/>
    <n v="20.2"/>
    <n v="17332.560000000001"/>
    <s v="Completed"/>
    <s v="Pune"/>
    <x v="0"/>
    <x v="0"/>
    <x v="1"/>
    <n v="2509"/>
    <n v="3620"/>
  </r>
  <r>
    <s v="ORD-01178"/>
    <x v="258"/>
    <s v="CUST-0147"/>
    <s v="PROD-046"/>
    <s v="R003"/>
    <n v="7"/>
    <n v="4880"/>
    <n v="5"/>
    <n v="32452"/>
    <s v="Completed"/>
    <s v="Pune"/>
    <x v="0"/>
    <x v="5"/>
    <x v="0"/>
    <n v="2768"/>
    <n v="4880"/>
  </r>
  <r>
    <s v="ORD-01179"/>
    <x v="22"/>
    <s v="CUST-0006"/>
    <s v="PROD-010"/>
    <s v="R024"/>
    <n v="1"/>
    <n v="2640"/>
    <n v="4.0999999999999996"/>
    <n v="2531.7600000000002"/>
    <s v="Completed"/>
    <s v="Pune"/>
    <x v="0"/>
    <x v="4"/>
    <x v="0"/>
    <n v="1149"/>
    <n v="2640"/>
  </r>
  <r>
    <s v="ORD-01180"/>
    <x v="118"/>
    <s v="CUST-0031"/>
    <s v="PROD-026"/>
    <s v="R020"/>
    <n v="9"/>
    <n v="4070"/>
    <n v="4.4000000000000004"/>
    <n v="35018.28"/>
    <s v="Completed"/>
    <s v="Hyderabad"/>
    <x v="5"/>
    <x v="2"/>
    <x v="2"/>
    <n v="2027"/>
    <n v="4070"/>
  </r>
  <r>
    <s v="ORD-01181"/>
    <x v="7"/>
    <s v="CUST-0084"/>
    <s v="PROD-003"/>
    <s v="R025"/>
    <n v="9"/>
    <n v="3570"/>
    <n v="24.8"/>
    <n v="24161.759999999998"/>
    <s v="Completed"/>
    <s v="Chennai"/>
    <x v="1"/>
    <x v="4"/>
    <x v="2"/>
    <n v="1665"/>
    <n v="3570"/>
  </r>
  <r>
    <s v="ORD-01182"/>
    <x v="19"/>
    <s v="CUST-0203"/>
    <s v="PROD-043"/>
    <s v="R005"/>
    <n v="10"/>
    <n v="3350"/>
    <n v="25.1"/>
    <n v="25091.5"/>
    <s v="Cancelled"/>
    <s v="Chennai"/>
    <x v="1"/>
    <x v="5"/>
    <x v="3"/>
    <n v="1728"/>
    <n v="3350"/>
  </r>
  <r>
    <s v="ORD-01183"/>
    <x v="246"/>
    <s v="CUST-0138"/>
    <s v="PROD-059"/>
    <s v="R025"/>
    <n v="3"/>
    <n v="3780"/>
    <n v="3.8"/>
    <n v="10909.08"/>
    <s v="Completed"/>
    <s v="Chennai"/>
    <x v="1"/>
    <x v="1"/>
    <x v="0"/>
    <n v="1860"/>
    <n v="3780"/>
  </r>
  <r>
    <s v="ORD-01184"/>
    <x v="330"/>
    <s v="CUST-0157"/>
    <s v="PROD-003"/>
    <s v="R008"/>
    <n v="4"/>
    <n v="3570"/>
    <n v="0.9"/>
    <n v="14151.48"/>
    <s v="Pending"/>
    <s v="Pune"/>
    <x v="0"/>
    <x v="4"/>
    <x v="2"/>
    <n v="1665"/>
    <n v="3570"/>
  </r>
  <r>
    <s v="ORD-01185"/>
    <x v="295"/>
    <s v="CUST-0298"/>
    <s v="PROD-055"/>
    <s v="R024"/>
    <n v="5"/>
    <n v="2860"/>
    <n v="20.100000000000001"/>
    <n v="11425.7"/>
    <s v="Completed"/>
    <s v="Delhi"/>
    <x v="2"/>
    <x v="1"/>
    <x v="1"/>
    <n v="2028"/>
    <n v="2860"/>
  </r>
  <r>
    <s v="ORD-01186"/>
    <x v="79"/>
    <s v="CUST-0132"/>
    <s v="PROD-016"/>
    <s v="R003"/>
    <n v="1"/>
    <n v="620"/>
    <n v="1.1000000000000001"/>
    <n v="613.17999999999995"/>
    <s v="Cancelled"/>
    <s v="Delhi"/>
    <x v="2"/>
    <x v="0"/>
    <x v="2"/>
    <n v="396"/>
    <n v="620"/>
  </r>
  <r>
    <s v="ORD-01187"/>
    <x v="39"/>
    <s v="CUST-0006"/>
    <s v="PROD-003"/>
    <s v="R012"/>
    <n v="1"/>
    <n v="3570"/>
    <n v="11.1"/>
    <n v="3173.73"/>
    <s v="Cancelled"/>
    <s v="Pune"/>
    <x v="0"/>
    <x v="4"/>
    <x v="0"/>
    <n v="1665"/>
    <n v="3570"/>
  </r>
  <r>
    <s v="ORD-01188"/>
    <x v="317"/>
    <s v="CUST-0011"/>
    <s v="PROD-001"/>
    <s v="R012"/>
    <n v="1"/>
    <n v="5330"/>
    <n v="3.5"/>
    <n v="5143.45"/>
    <s v="Completed"/>
    <s v="Chennai"/>
    <x v="1"/>
    <x v="4"/>
    <x v="2"/>
    <n v="2405"/>
    <n v="5330"/>
  </r>
  <r>
    <s v="ORD-01189"/>
    <x v="333"/>
    <s v="CUST-0170"/>
    <s v="PROD-052"/>
    <s v="R018"/>
    <n v="7"/>
    <n v="5410"/>
    <n v="26.2"/>
    <n v="27948.06"/>
    <s v="Completed"/>
    <s v="Mumbai"/>
    <x v="3"/>
    <x v="1"/>
    <x v="0"/>
    <n v="2265"/>
    <n v="5410"/>
  </r>
  <r>
    <s v="ORD-01190"/>
    <x v="163"/>
    <s v="CUST-0109"/>
    <s v="PROD-034"/>
    <s v="R016"/>
    <n v="10"/>
    <n v="5080"/>
    <n v="3.7"/>
    <n v="48920.4"/>
    <s v="Pending"/>
    <s v="Pune"/>
    <x v="0"/>
    <x v="3"/>
    <x v="1"/>
    <n v="2459"/>
    <n v="5080"/>
  </r>
  <r>
    <s v="ORD-01191"/>
    <x v="43"/>
    <s v="CUST-0066"/>
    <s v="PROD-003"/>
    <s v="R005"/>
    <n v="9"/>
    <n v="3570"/>
    <n v="5.6"/>
    <n v="30330.720000000001"/>
    <s v="Completed"/>
    <s v="Delhi"/>
    <x v="2"/>
    <x v="4"/>
    <x v="3"/>
    <n v="1665"/>
    <n v="3570"/>
  </r>
  <r>
    <s v="ORD-01192"/>
    <x v="165"/>
    <s v="CUST-0055"/>
    <s v="PROD-030"/>
    <s v="R022"/>
    <n v="9"/>
    <n v="970"/>
    <n v="19.5"/>
    <n v="7027.65"/>
    <s v="Completed"/>
    <s v="Bengaluru"/>
    <x v="4"/>
    <x v="2"/>
    <x v="3"/>
    <n v="434"/>
    <n v="970"/>
  </r>
  <r>
    <s v="ORD-01193"/>
    <x v="298"/>
    <s v="CUST-0298"/>
    <s v="PROD-005"/>
    <s v="R009"/>
    <n v="10"/>
    <n v="300"/>
    <n v="23"/>
    <n v="2310"/>
    <s v="Cancelled"/>
    <s v="Delhi"/>
    <x v="2"/>
    <x v="4"/>
    <x v="3"/>
    <n v="128"/>
    <n v="300"/>
  </r>
  <r>
    <s v="ORD-01194"/>
    <x v="319"/>
    <s v="CUST-0024"/>
    <s v="PROD-050"/>
    <s v="R003"/>
    <n v="10"/>
    <n v="6080"/>
    <n v="3.9"/>
    <n v="58428.800000000003"/>
    <s v="Completed"/>
    <s v="Chennai"/>
    <x v="1"/>
    <x v="5"/>
    <x v="3"/>
    <n v="2617"/>
    <n v="6080"/>
  </r>
  <r>
    <s v="ORD-01195"/>
    <x v="149"/>
    <s v="CUST-0008"/>
    <s v="PROD-048"/>
    <s v="R011"/>
    <n v="2"/>
    <n v="5100"/>
    <n v="11"/>
    <n v="9078"/>
    <s v="Completed"/>
    <s v="Pune"/>
    <x v="0"/>
    <x v="5"/>
    <x v="0"/>
    <n v="2237"/>
    <n v="5100"/>
  </r>
  <r>
    <s v="ORD-01196"/>
    <x v="18"/>
    <s v="CUST-0070"/>
    <s v="PROD-011"/>
    <s v="R019"/>
    <n v="9"/>
    <n v="3450"/>
    <n v="23.7"/>
    <n v="23691.15"/>
    <s v="Completed"/>
    <s v="Mumbai"/>
    <x v="3"/>
    <x v="0"/>
    <x v="2"/>
    <n v="1748"/>
    <n v="3450"/>
  </r>
  <r>
    <s v="ORD-01197"/>
    <x v="164"/>
    <s v="CUST-0270"/>
    <s v="PROD-019"/>
    <s v="R011"/>
    <n v="5"/>
    <n v="2480"/>
    <n v="20.399999999999999"/>
    <n v="9870.4"/>
    <s v="Completed"/>
    <s v="Bengaluru"/>
    <x v="4"/>
    <x v="0"/>
    <x v="2"/>
    <n v="1173"/>
    <n v="2480"/>
  </r>
  <r>
    <s v="ORD-01198"/>
    <x v="323"/>
    <s v="CUST-0175"/>
    <s v="PROD-060"/>
    <s v="R010"/>
    <n v="4"/>
    <n v="190"/>
    <n v="2.6"/>
    <n v="740.24"/>
    <s v="Completed"/>
    <s v="Delhi"/>
    <x v="2"/>
    <x v="1"/>
    <x v="0"/>
    <n v="147"/>
    <n v="190"/>
  </r>
  <r>
    <s v="ORD-01199"/>
    <x v="212"/>
    <s v="CUST-0227"/>
    <s v="PROD-022"/>
    <s v="R020"/>
    <n v="4"/>
    <n v="2270"/>
    <n v="8.1"/>
    <n v="8344.52"/>
    <s v="Pending"/>
    <s v="Bengaluru"/>
    <x v="4"/>
    <x v="2"/>
    <x v="3"/>
    <n v="1412"/>
    <n v="2270"/>
  </r>
  <r>
    <s v="ORD-01200"/>
    <x v="169"/>
    <s v="CUST-0041"/>
    <s v="PROD-017"/>
    <s v="R028"/>
    <n v="7"/>
    <n v="2510"/>
    <n v="25.5"/>
    <n v="13089.65"/>
    <s v="Completed"/>
    <s v="Bengaluru"/>
    <x v="4"/>
    <x v="0"/>
    <x v="3"/>
    <n v="1075"/>
    <n v="2510"/>
  </r>
  <r>
    <s v="ORD-01201"/>
    <x v="318"/>
    <s v="CUST-0147"/>
    <s v="PROD-059"/>
    <s v="R004"/>
    <n v="3"/>
    <n v="3780"/>
    <n v="16.8"/>
    <n v="9434.8799999999992"/>
    <s v="Completed"/>
    <s v="Pune"/>
    <x v="0"/>
    <x v="1"/>
    <x v="0"/>
    <n v="1860"/>
    <n v="3780"/>
  </r>
  <r>
    <s v="ORD-01202"/>
    <x v="79"/>
    <s v="CUST-0185"/>
    <s v="PROD-003"/>
    <s v="R010"/>
    <n v="7"/>
    <n v="3570"/>
    <n v="23.7"/>
    <n v="19067.37"/>
    <s v="Completed"/>
    <s v="Hyderabad"/>
    <x v="5"/>
    <x v="4"/>
    <x v="1"/>
    <n v="1665"/>
    <n v="3570"/>
  </r>
  <r>
    <s v="ORD-01203"/>
    <x v="115"/>
    <s v="CUST-0210"/>
    <s v="PROD-037"/>
    <s v="R011"/>
    <n v="4"/>
    <n v="660"/>
    <n v="3.6"/>
    <n v="2544.96"/>
    <s v="Completed"/>
    <s v="Pune"/>
    <x v="0"/>
    <x v="3"/>
    <x v="3"/>
    <n v="329"/>
    <n v="660"/>
  </r>
  <r>
    <s v="ORD-01204"/>
    <x v="350"/>
    <s v="CUST-0289"/>
    <s v="PROD-030"/>
    <s v="R010"/>
    <n v="7"/>
    <n v="970"/>
    <n v="23.7"/>
    <n v="5180.7700000000004"/>
    <s v="Completed"/>
    <s v="Mumbai"/>
    <x v="3"/>
    <x v="2"/>
    <x v="0"/>
    <n v="434"/>
    <n v="970"/>
  </r>
  <r>
    <s v="ORD-01205"/>
    <x v="200"/>
    <s v="CUST-0017"/>
    <s v="PROD-024"/>
    <s v="R006"/>
    <n v="8"/>
    <n v="2270"/>
    <n v="6.8"/>
    <n v="16925.12"/>
    <s v="Completed"/>
    <s v="Delhi"/>
    <x v="2"/>
    <x v="2"/>
    <x v="0"/>
    <n v="1203"/>
    <n v="2270"/>
  </r>
  <r>
    <s v="ORD-01206"/>
    <x v="65"/>
    <s v="CUST-0115"/>
    <s v="PROD-058"/>
    <s v="R012"/>
    <n v="1"/>
    <n v="2400"/>
    <n v="26.5"/>
    <n v="1764"/>
    <s v="Completed"/>
    <s v="Mumbai"/>
    <x v="3"/>
    <x v="1"/>
    <x v="2"/>
    <n v="974"/>
    <n v="2400"/>
  </r>
  <r>
    <s v="ORD-01207"/>
    <x v="283"/>
    <s v="CUST-0183"/>
    <s v="PROD-034"/>
    <s v="R010"/>
    <n v="5"/>
    <n v="5080"/>
    <n v="29.6"/>
    <n v="17881.599999999999"/>
    <s v="Completed"/>
    <s v="Mumbai"/>
    <x v="3"/>
    <x v="3"/>
    <x v="1"/>
    <n v="2459"/>
    <n v="5080"/>
  </r>
  <r>
    <s v="ORD-01208"/>
    <x v="116"/>
    <s v="CUST-0193"/>
    <s v="PROD-043"/>
    <s v="R014"/>
    <n v="9"/>
    <n v="3350"/>
    <n v="6.2"/>
    <n v="28280.7"/>
    <s v="Completed"/>
    <s v="Bengaluru"/>
    <x v="4"/>
    <x v="5"/>
    <x v="3"/>
    <n v="1728"/>
    <n v="3350"/>
  </r>
  <r>
    <s v="ORD-01209"/>
    <x v="9"/>
    <s v="CUST-0019"/>
    <s v="PROD-041"/>
    <s v="R001"/>
    <n v="4"/>
    <n v="1540"/>
    <n v="22.2"/>
    <n v="4792.4799999999996"/>
    <s v="Completed"/>
    <s v="Chennai"/>
    <x v="1"/>
    <x v="5"/>
    <x v="3"/>
    <n v="647"/>
    <n v="1540"/>
  </r>
  <r>
    <s v="ORD-01210"/>
    <x v="313"/>
    <s v="CUST-0097"/>
    <s v="PROD-034"/>
    <s v="R002"/>
    <n v="10"/>
    <n v="5080"/>
    <n v="11.8"/>
    <n v="44805.599999999999"/>
    <s v="Completed"/>
    <s v="Mumbai"/>
    <x v="3"/>
    <x v="3"/>
    <x v="3"/>
    <n v="2459"/>
    <n v="5080"/>
  </r>
  <r>
    <s v="ORD-01211"/>
    <x v="197"/>
    <s v="CUST-0237"/>
    <s v="PROD-018"/>
    <s v="R012"/>
    <n v="9"/>
    <n v="3560"/>
    <n v="15.9"/>
    <n v="26945.64"/>
    <s v="Completed"/>
    <s v="Mumbai"/>
    <x v="3"/>
    <x v="0"/>
    <x v="1"/>
    <n v="2629"/>
    <n v="3560"/>
  </r>
  <r>
    <s v="ORD-01212"/>
    <x v="98"/>
    <s v="CUST-0252"/>
    <s v="PROD-040"/>
    <s v="R009"/>
    <n v="2"/>
    <n v="1080"/>
    <n v="21.1"/>
    <n v="1704.24"/>
    <s v="Completed"/>
    <s v="Bengaluru"/>
    <x v="4"/>
    <x v="3"/>
    <x v="0"/>
    <n v="519"/>
    <n v="1080"/>
  </r>
  <r>
    <s v="ORD-01213"/>
    <x v="202"/>
    <s v="CUST-0216"/>
    <s v="PROD-023"/>
    <s v="R018"/>
    <n v="5"/>
    <n v="2380"/>
    <n v="20.5"/>
    <n v="9460.5"/>
    <s v="Completed"/>
    <s v="Mumbai"/>
    <x v="3"/>
    <x v="2"/>
    <x v="1"/>
    <n v="1182"/>
    <n v="2380"/>
  </r>
  <r>
    <s v="ORD-01214"/>
    <x v="71"/>
    <s v="CUST-0248"/>
    <s v="PROD-019"/>
    <s v="R025"/>
    <n v="9"/>
    <n v="2480"/>
    <n v="1.2"/>
    <n v="22052.16"/>
    <s v="Completed"/>
    <s v="Chennai"/>
    <x v="1"/>
    <x v="0"/>
    <x v="3"/>
    <n v="1173"/>
    <n v="2480"/>
  </r>
  <r>
    <s v="ORD-01215"/>
    <x v="333"/>
    <s v="CUST-0044"/>
    <s v="PROD-042"/>
    <s v="R012"/>
    <n v="9"/>
    <n v="2290"/>
    <n v="0.9"/>
    <n v="20424.509999999998"/>
    <s v="Completed"/>
    <s v="Hyderabad"/>
    <x v="5"/>
    <x v="5"/>
    <x v="0"/>
    <n v="1219"/>
    <n v="2290"/>
  </r>
  <r>
    <s v="ORD-01216"/>
    <x v="143"/>
    <s v="CUST-0251"/>
    <s v="PROD-011"/>
    <s v="R011"/>
    <n v="3"/>
    <n v="3450"/>
    <n v="29.5"/>
    <n v="7296.75"/>
    <s v="Completed"/>
    <s v="Mumbai"/>
    <x v="3"/>
    <x v="0"/>
    <x v="1"/>
    <n v="1748"/>
    <n v="3450"/>
  </r>
  <r>
    <s v="ORD-01217"/>
    <x v="28"/>
    <s v="CUST-0280"/>
    <s v="PROD-047"/>
    <s v="R024"/>
    <n v="9"/>
    <n v="3450"/>
    <n v="19.399999999999999"/>
    <n v="25026.3"/>
    <s v="Completed"/>
    <s v="Delhi"/>
    <x v="2"/>
    <x v="5"/>
    <x v="3"/>
    <n v="2420"/>
    <n v="3450"/>
  </r>
  <r>
    <s v="ORD-01218"/>
    <x v="340"/>
    <s v="CUST-0108"/>
    <s v="PROD-002"/>
    <s v="R030"/>
    <n v="2"/>
    <n v="2600"/>
    <n v="20.2"/>
    <n v="4149.6000000000004"/>
    <s v="Cancelled"/>
    <s v="Bengaluru"/>
    <x v="4"/>
    <x v="4"/>
    <x v="2"/>
    <n v="1052"/>
    <n v="2600"/>
  </r>
  <r>
    <s v="ORD-01219"/>
    <x v="281"/>
    <s v="CUST-0058"/>
    <s v="PROD-021"/>
    <s v="R025"/>
    <n v="1"/>
    <n v="2760"/>
    <n v="9.5"/>
    <n v="2497.8000000000002"/>
    <s v="Completed"/>
    <s v="Bengaluru"/>
    <x v="4"/>
    <x v="2"/>
    <x v="3"/>
    <n v="1435"/>
    <n v="2760"/>
  </r>
  <r>
    <s v="ORD-01220"/>
    <x v="106"/>
    <s v="CUST-0090"/>
    <s v="PROD-039"/>
    <s v="R003"/>
    <n v="4"/>
    <n v="4610"/>
    <n v="14.8"/>
    <n v="15710.88"/>
    <s v="Completed"/>
    <s v="Bengaluru"/>
    <x v="4"/>
    <x v="3"/>
    <x v="1"/>
    <n v="1850"/>
    <n v="4610"/>
  </r>
  <r>
    <s v="ORD-01221"/>
    <x v="147"/>
    <s v="CUST-0204"/>
    <s v="PROD-019"/>
    <s v="R024"/>
    <n v="3"/>
    <n v="2480"/>
    <n v="3.7"/>
    <n v="7164.72"/>
    <s v="Completed"/>
    <s v="Hyderabad"/>
    <x v="5"/>
    <x v="0"/>
    <x v="3"/>
    <n v="1173"/>
    <n v="2480"/>
  </r>
  <r>
    <s v="ORD-01222"/>
    <x v="294"/>
    <s v="CUST-0044"/>
    <s v="PROD-056"/>
    <s v="R011"/>
    <n v="5"/>
    <n v="6940"/>
    <n v="0.3"/>
    <n v="34595.9"/>
    <s v="Completed"/>
    <s v="Hyderabad"/>
    <x v="5"/>
    <x v="1"/>
    <x v="0"/>
    <n v="2827"/>
    <n v="6940"/>
  </r>
  <r>
    <s v="ORD-01223"/>
    <x v="9"/>
    <s v="CUST-0068"/>
    <s v="PROD-022"/>
    <s v="R023"/>
    <n v="8"/>
    <n v="2270"/>
    <n v="15.6"/>
    <n v="15327.04"/>
    <s v="Pending"/>
    <s v="Delhi"/>
    <x v="2"/>
    <x v="2"/>
    <x v="0"/>
    <n v="1412"/>
    <n v="2270"/>
  </r>
  <r>
    <s v="ORD-01224"/>
    <x v="313"/>
    <s v="CUST-0127"/>
    <s v="PROD-048"/>
    <s v="R030"/>
    <n v="5"/>
    <n v="5100"/>
    <n v="9.5"/>
    <n v="23077.5"/>
    <s v="Completed"/>
    <s v="Bengaluru"/>
    <x v="4"/>
    <x v="5"/>
    <x v="2"/>
    <n v="2237"/>
    <n v="5100"/>
  </r>
  <r>
    <s v="ORD-01225"/>
    <x v="345"/>
    <s v="CUST-0191"/>
    <s v="PROD-036"/>
    <s v="R011"/>
    <n v="5"/>
    <n v="3250"/>
    <n v="8.1"/>
    <n v="14933.75"/>
    <s v="Completed"/>
    <s v="Hyderabad"/>
    <x v="5"/>
    <x v="3"/>
    <x v="3"/>
    <n v="1556"/>
    <n v="3250"/>
  </r>
  <r>
    <s v="ORD-01226"/>
    <x v="303"/>
    <s v="CUST-0028"/>
    <s v="PROD-006"/>
    <s v="R003"/>
    <n v="6"/>
    <n v="3970"/>
    <n v="18.8"/>
    <n v="19341.84"/>
    <s v="Pending"/>
    <s v="Bengaluru"/>
    <x v="4"/>
    <x v="4"/>
    <x v="1"/>
    <n v="2865"/>
    <n v="3970"/>
  </r>
  <r>
    <s v="ORD-01227"/>
    <x v="14"/>
    <s v="CUST-0027"/>
    <s v="PROD-001"/>
    <s v="R025"/>
    <n v="4"/>
    <n v="5330"/>
    <n v="19.7"/>
    <n v="17119.96"/>
    <s v="Completed"/>
    <s v="Hyderabad"/>
    <x v="5"/>
    <x v="4"/>
    <x v="1"/>
    <n v="2405"/>
    <n v="5330"/>
  </r>
  <r>
    <s v="ORD-01228"/>
    <x v="84"/>
    <s v="CUST-0193"/>
    <s v="PROD-008"/>
    <s v="R004"/>
    <n v="7"/>
    <n v="2660"/>
    <n v="8.5"/>
    <n v="17037.3"/>
    <s v="Completed"/>
    <s v="Bengaluru"/>
    <x v="4"/>
    <x v="4"/>
    <x v="3"/>
    <n v="1259"/>
    <n v="2660"/>
  </r>
  <r>
    <s v="ORD-01229"/>
    <x v="124"/>
    <s v="CUST-0202"/>
    <s v="PROD-012"/>
    <s v="R029"/>
    <n v="5"/>
    <n v="3160"/>
    <n v="13.4"/>
    <n v="13682.8"/>
    <s v="Pending"/>
    <s v="Chennai"/>
    <x v="1"/>
    <x v="0"/>
    <x v="0"/>
    <n v="1886"/>
    <n v="3160"/>
  </r>
  <r>
    <s v="ORD-01230"/>
    <x v="287"/>
    <s v="CUST-0230"/>
    <s v="PROD-054"/>
    <s v="R019"/>
    <n v="10"/>
    <n v="1010"/>
    <n v="14"/>
    <n v="8686"/>
    <s v="Completed"/>
    <s v="Pune"/>
    <x v="0"/>
    <x v="1"/>
    <x v="3"/>
    <n v="516"/>
    <n v="1010"/>
  </r>
  <r>
    <s v="ORD-01231"/>
    <x v="351"/>
    <s v="CUST-0280"/>
    <s v="PROD-041"/>
    <s v="R003"/>
    <n v="3"/>
    <n v="1540"/>
    <n v="13.7"/>
    <n v="3987.06"/>
    <s v="Pending"/>
    <s v="Delhi"/>
    <x v="2"/>
    <x v="5"/>
    <x v="3"/>
    <n v="647"/>
    <n v="1540"/>
  </r>
  <r>
    <s v="ORD-01232"/>
    <x v="343"/>
    <s v="CUST-0196"/>
    <s v="PROD-048"/>
    <s v="R009"/>
    <n v="10"/>
    <n v="5100"/>
    <n v="13.8"/>
    <n v="43962"/>
    <s v="Completed"/>
    <s v="Chennai"/>
    <x v="1"/>
    <x v="5"/>
    <x v="0"/>
    <n v="2237"/>
    <n v="5100"/>
  </r>
  <r>
    <s v="ORD-01233"/>
    <x v="136"/>
    <s v="CUST-0019"/>
    <s v="PROD-007"/>
    <s v="R030"/>
    <n v="3"/>
    <n v="1430"/>
    <n v="1.5"/>
    <n v="4225.6499999999996"/>
    <s v="Completed"/>
    <s v="Chennai"/>
    <x v="1"/>
    <x v="4"/>
    <x v="2"/>
    <n v="861"/>
    <n v="1430"/>
  </r>
  <r>
    <s v="ORD-01234"/>
    <x v="247"/>
    <s v="CUST-0201"/>
    <s v="PROD-038"/>
    <s v="R013"/>
    <n v="8"/>
    <n v="5490"/>
    <n v="23.2"/>
    <n v="33730.559999999998"/>
    <s v="Completed"/>
    <s v="Hyderabad"/>
    <x v="5"/>
    <x v="3"/>
    <x v="2"/>
    <n v="2549"/>
    <n v="5490"/>
  </r>
  <r>
    <s v="ORD-01235"/>
    <x v="185"/>
    <s v="CUST-0146"/>
    <s v="PROD-044"/>
    <s v="R008"/>
    <n v="6"/>
    <n v="1650"/>
    <n v="16.8"/>
    <n v="8236.7999999999993"/>
    <s v="Completed"/>
    <s v="Hyderabad"/>
    <x v="5"/>
    <x v="5"/>
    <x v="1"/>
    <n v="1222"/>
    <n v="1650"/>
  </r>
  <r>
    <s v="ORD-01236"/>
    <x v="151"/>
    <s v="CUST-0199"/>
    <s v="PROD-045"/>
    <s v="R018"/>
    <n v="3"/>
    <n v="3020"/>
    <n v="14.5"/>
    <n v="7746.3"/>
    <s v="Completed"/>
    <s v="Hyderabad"/>
    <x v="5"/>
    <x v="5"/>
    <x v="0"/>
    <n v="1626"/>
    <n v="3020"/>
  </r>
  <r>
    <s v="ORD-01237"/>
    <x v="334"/>
    <s v="CUST-0099"/>
    <s v="PROD-041"/>
    <s v="R003"/>
    <n v="5"/>
    <n v="1540"/>
    <n v="27.2"/>
    <n v="5605.6"/>
    <s v="Completed"/>
    <s v="Bengaluru"/>
    <x v="4"/>
    <x v="5"/>
    <x v="3"/>
    <n v="647"/>
    <n v="1540"/>
  </r>
  <r>
    <s v="ORD-00372"/>
    <x v="246"/>
    <s v="CUST-0094"/>
    <s v="PROD-056"/>
    <s v="R023"/>
    <n v="4"/>
    <n v="6940"/>
    <n v="3.2"/>
    <n v="26871.68"/>
    <s v="Completed"/>
    <s v="Pune"/>
    <x v="0"/>
    <x v="1"/>
    <x v="0"/>
    <n v="2827"/>
    <n v="6940"/>
  </r>
  <r>
    <s v="ORD-01239"/>
    <x v="25"/>
    <s v="CUST-0275"/>
    <s v="PROD-048"/>
    <s v="R017"/>
    <n v="2"/>
    <n v="5100"/>
    <n v="18.100000000000001"/>
    <n v="8353.7999999999993"/>
    <s v="Completed"/>
    <s v="Mumbai"/>
    <x v="3"/>
    <x v="5"/>
    <x v="3"/>
    <n v="2237"/>
    <n v="5100"/>
  </r>
  <r>
    <s v="ORD-01240"/>
    <x v="189"/>
    <s v="CUST-0230"/>
    <s v="PROD-001"/>
    <s v="R016"/>
    <n v="6"/>
    <n v="5330"/>
    <n v="0.3"/>
    <n v="31884.06"/>
    <s v="Pending"/>
    <s v="Pune"/>
    <x v="0"/>
    <x v="4"/>
    <x v="3"/>
    <n v="2405"/>
    <n v="5330"/>
  </r>
  <r>
    <s v="ORD-01241"/>
    <x v="121"/>
    <s v="CUST-0227"/>
    <s v="PROD-057"/>
    <s v="R029"/>
    <n v="5"/>
    <n v="960"/>
    <n v="16.600000000000001"/>
    <n v="4003.2"/>
    <s v="Completed"/>
    <s v="Bengaluru"/>
    <x v="4"/>
    <x v="1"/>
    <x v="2"/>
    <n v="705"/>
    <n v="960"/>
  </r>
  <r>
    <s v="ORD-01365"/>
    <x v="214"/>
    <s v="CUST-0200"/>
    <s v="PROD-014"/>
    <s v="R022"/>
    <n v="7"/>
    <n v="3620"/>
    <n v="5.4"/>
    <n v="23971.64"/>
    <s v="Completed"/>
    <s v="Hyderabad"/>
    <x v="5"/>
    <x v="0"/>
    <x v="3"/>
    <n v="2509"/>
    <n v="3620"/>
  </r>
  <r>
    <s v="ORD-01243"/>
    <x v="213"/>
    <s v="CUST-0268"/>
    <s v="PROD-002"/>
    <s v="R006"/>
    <n v="6"/>
    <n v="2600"/>
    <n v="25.9"/>
    <n v="11559.6"/>
    <s v="Completed"/>
    <s v="Chennai"/>
    <x v="1"/>
    <x v="4"/>
    <x v="2"/>
    <n v="1052"/>
    <n v="2600"/>
  </r>
  <r>
    <s v="ORD-01244"/>
    <x v="129"/>
    <s v="CUST-0163"/>
    <s v="PROD-008"/>
    <s v="R013"/>
    <n v="7"/>
    <n v="2660"/>
    <n v="20.2"/>
    <n v="14858.76"/>
    <s v="Completed"/>
    <s v="Pune"/>
    <x v="0"/>
    <x v="4"/>
    <x v="2"/>
    <n v="1259"/>
    <n v="2660"/>
  </r>
  <r>
    <s v="ORD-01245"/>
    <x v="22"/>
    <s v="CUST-0233"/>
    <s v="PROD-019"/>
    <s v="R022"/>
    <n v="9"/>
    <n v="2480"/>
    <n v="14.7"/>
    <n v="19038.96"/>
    <s v="Completed"/>
    <s v="Mumbai"/>
    <x v="3"/>
    <x v="0"/>
    <x v="0"/>
    <n v="1173"/>
    <n v="2480"/>
  </r>
  <r>
    <s v="ORD-01246"/>
    <x v="296"/>
    <s v="CUST-0181"/>
    <s v="PROD-008"/>
    <s v="R015"/>
    <n v="4"/>
    <n v="2660"/>
    <n v="8.9"/>
    <n v="9693.0400000000009"/>
    <s v="Completed"/>
    <s v="Delhi"/>
    <x v="2"/>
    <x v="4"/>
    <x v="0"/>
    <n v="1259"/>
    <n v="2660"/>
  </r>
  <r>
    <s v="ORD-01247"/>
    <x v="326"/>
    <s v="CUST-0254"/>
    <s v="PROD-001"/>
    <s v="R010"/>
    <n v="1"/>
    <n v="5330"/>
    <n v="26.8"/>
    <n v="3901.56"/>
    <s v="Completed"/>
    <s v="Bengaluru"/>
    <x v="4"/>
    <x v="4"/>
    <x v="0"/>
    <n v="2405"/>
    <n v="5330"/>
  </r>
  <r>
    <s v="ORD-01248"/>
    <x v="227"/>
    <s v="CUST-0116"/>
    <s v="PROD-051"/>
    <s v="R027"/>
    <n v="6"/>
    <n v="3450"/>
    <n v="19.2"/>
    <n v="16725.599999999999"/>
    <s v="Pending"/>
    <s v="Bengaluru"/>
    <x v="4"/>
    <x v="1"/>
    <x v="3"/>
    <n v="2467"/>
    <n v="3450"/>
  </r>
  <r>
    <s v="ORD-01249"/>
    <x v="323"/>
    <s v="CUST-0259"/>
    <s v="PROD-060"/>
    <s v="R025"/>
    <n v="10"/>
    <n v="190"/>
    <n v="18.100000000000001"/>
    <n v="1556.1"/>
    <s v="Completed"/>
    <s v="Mumbai"/>
    <x v="3"/>
    <x v="1"/>
    <x v="1"/>
    <n v="147"/>
    <n v="190"/>
  </r>
  <r>
    <s v="ORD-01250"/>
    <x v="241"/>
    <s v="CUST-0198"/>
    <s v="PROD-006"/>
    <s v="R009"/>
    <n v="9"/>
    <n v="3970"/>
    <n v="18.2"/>
    <n v="29227.14"/>
    <s v="Pending"/>
    <s v="Chennai"/>
    <x v="1"/>
    <x v="4"/>
    <x v="3"/>
    <n v="2865"/>
    <n v="3970"/>
  </r>
  <r>
    <s v="ORD-01251"/>
    <x v="280"/>
    <s v="CUST-0204"/>
    <s v="PROD-039"/>
    <s v="R002"/>
    <n v="4"/>
    <n v="4610"/>
    <n v="15.1"/>
    <n v="15655.56"/>
    <s v="Cancelled"/>
    <s v="Hyderabad"/>
    <x v="5"/>
    <x v="3"/>
    <x v="3"/>
    <n v="1850"/>
    <n v="4610"/>
  </r>
  <r>
    <s v="ORD-01252"/>
    <x v="233"/>
    <s v="CUST-0216"/>
    <s v="PROD-016"/>
    <s v="R025"/>
    <n v="2"/>
    <n v="620"/>
    <n v="3.3"/>
    <n v="1199.08"/>
    <s v="Completed"/>
    <s v="Mumbai"/>
    <x v="3"/>
    <x v="0"/>
    <x v="3"/>
    <n v="396"/>
    <n v="620"/>
  </r>
  <r>
    <s v="ORD-01253"/>
    <x v="214"/>
    <s v="CUST-0030"/>
    <s v="PROD-041"/>
    <s v="R025"/>
    <n v="7"/>
    <n v="1540"/>
    <n v="27.5"/>
    <n v="7815.5"/>
    <s v="Completed"/>
    <s v="Bengaluru"/>
    <x v="4"/>
    <x v="5"/>
    <x v="2"/>
    <n v="647"/>
    <n v="1540"/>
  </r>
  <r>
    <s v="ORD-01254"/>
    <x v="178"/>
    <s v="CUST-0019"/>
    <s v="PROD-053"/>
    <s v="R017"/>
    <n v="10"/>
    <n v="470"/>
    <n v="3.9"/>
    <n v="4516.7"/>
    <s v="Completed"/>
    <s v="Chennai"/>
    <x v="1"/>
    <x v="1"/>
    <x v="2"/>
    <n v="302"/>
    <n v="470"/>
  </r>
  <r>
    <s v="ORD-01255"/>
    <x v="348"/>
    <s v="CUST-0034"/>
    <s v="PROD-046"/>
    <s v="R002"/>
    <n v="5"/>
    <n v="4880"/>
    <n v="27.4"/>
    <n v="17714.400000000001"/>
    <s v="Completed"/>
    <s v="Delhi"/>
    <x v="2"/>
    <x v="5"/>
    <x v="0"/>
    <n v="2768"/>
    <n v="4880"/>
  </r>
  <r>
    <s v="ORD-01256"/>
    <x v="289"/>
    <s v="CUST-0063"/>
    <s v="PROD-052"/>
    <s v="R029"/>
    <n v="1"/>
    <n v="5410"/>
    <n v="8.3000000000000007"/>
    <n v="4960.97"/>
    <s v="Completed"/>
    <s v="Mumbai"/>
    <x v="3"/>
    <x v="1"/>
    <x v="3"/>
    <n v="2265"/>
    <n v="5410"/>
  </r>
  <r>
    <s v="ORD-01257"/>
    <x v="337"/>
    <s v="CUST-0203"/>
    <s v="PROD-004"/>
    <s v="R022"/>
    <n v="8"/>
    <n v="3870"/>
    <n v="9.3000000000000007"/>
    <n v="28080.720000000001"/>
    <s v="Pending"/>
    <s v="Chennai"/>
    <x v="1"/>
    <x v="4"/>
    <x v="0"/>
    <n v="1559"/>
    <n v="3870"/>
  </r>
  <r>
    <s v="ORD-01258"/>
    <x v="136"/>
    <s v="CUST-0016"/>
    <s v="PROD-010"/>
    <s v="R017"/>
    <n v="10"/>
    <n v="2640"/>
    <n v="19.899999999999999"/>
    <n v="21146.400000000001"/>
    <s v="Completed"/>
    <s v="Delhi"/>
    <x v="2"/>
    <x v="4"/>
    <x v="2"/>
    <n v="1149"/>
    <n v="2640"/>
  </r>
  <r>
    <s v="ORD-01259"/>
    <x v="118"/>
    <s v="CUST-0198"/>
    <s v="PROD-034"/>
    <s v="R007"/>
    <n v="1"/>
    <n v="5080"/>
    <n v="8.6"/>
    <n v="4643.12"/>
    <s v="Completed"/>
    <s v="Chennai"/>
    <x v="1"/>
    <x v="3"/>
    <x v="1"/>
    <n v="2459"/>
    <n v="5080"/>
  </r>
  <r>
    <s v="ORD-01260"/>
    <x v="342"/>
    <s v="CUST-0212"/>
    <s v="PROD-036"/>
    <s v="R018"/>
    <n v="9"/>
    <n v="3250"/>
    <n v="18.2"/>
    <n v="23926.5"/>
    <s v="Pending"/>
    <s v="Chennai"/>
    <x v="1"/>
    <x v="3"/>
    <x v="2"/>
    <n v="1556"/>
    <n v="3250"/>
  </r>
  <r>
    <s v="ORD-01261"/>
    <x v="84"/>
    <s v="CUST-0265"/>
    <s v="PROD-006"/>
    <s v="R002"/>
    <n v="8"/>
    <n v="3970"/>
    <n v="22.4"/>
    <n v="24645.759999999998"/>
    <s v="Completed"/>
    <s v="Chennai"/>
    <x v="1"/>
    <x v="4"/>
    <x v="2"/>
    <n v="2865"/>
    <n v="3970"/>
  </r>
  <r>
    <s v="ORD-01262"/>
    <x v="192"/>
    <s v="CUST-0165"/>
    <s v="PROD-037"/>
    <s v="R017"/>
    <n v="3"/>
    <n v="660"/>
    <n v="3.1"/>
    <n v="1918.62"/>
    <s v="Completed"/>
    <s v="Pune"/>
    <x v="0"/>
    <x v="3"/>
    <x v="1"/>
    <n v="329"/>
    <n v="660"/>
  </r>
  <r>
    <s v="ORD-01263"/>
    <x v="298"/>
    <s v="CUST-0109"/>
    <s v="PROD-002"/>
    <s v="R022"/>
    <n v="7"/>
    <n v="2600"/>
    <n v="15.4"/>
    <n v="15397.2"/>
    <s v="Completed"/>
    <s v="Pune"/>
    <x v="0"/>
    <x v="4"/>
    <x v="0"/>
    <n v="1052"/>
    <n v="2600"/>
  </r>
  <r>
    <s v="ORD-01264"/>
    <x v="45"/>
    <s v="CUST-0155"/>
    <s v="PROD-037"/>
    <s v="R015"/>
    <n v="9"/>
    <n v="660"/>
    <n v="23.7"/>
    <n v="4532.22"/>
    <s v="Completed"/>
    <s v="Pune"/>
    <x v="0"/>
    <x v="3"/>
    <x v="1"/>
    <n v="329"/>
    <n v="660"/>
  </r>
  <r>
    <s v="ORD-01265"/>
    <x v="183"/>
    <s v="CUST-0194"/>
    <s v="PROD-023"/>
    <s v="R021"/>
    <n v="3"/>
    <n v="2380"/>
    <n v="19.5"/>
    <n v="5747.7"/>
    <s v="Cancelled"/>
    <s v="Delhi"/>
    <x v="2"/>
    <x v="2"/>
    <x v="1"/>
    <n v="1182"/>
    <n v="2380"/>
  </r>
  <r>
    <s v="ORD-01266"/>
    <x v="207"/>
    <s v="CUST-0084"/>
    <s v="PROD-044"/>
    <s v="R010"/>
    <n v="9"/>
    <n v="1650"/>
    <n v="2.5"/>
    <n v="14478.75"/>
    <s v="Completed"/>
    <s v="Chennai"/>
    <x v="1"/>
    <x v="5"/>
    <x v="1"/>
    <n v="1222"/>
    <n v="1650"/>
  </r>
  <r>
    <s v="ORD-01267"/>
    <x v="181"/>
    <s v="CUST-9684"/>
    <s v="PROD-010"/>
    <s v="R006"/>
    <n v="8"/>
    <n v="2640"/>
    <n v="24.4"/>
    <n v="15966.72"/>
    <s v="Completed"/>
    <s v="Mumbai"/>
    <x v="3"/>
    <x v="4"/>
    <x v="0"/>
    <n v="1149"/>
    <n v="2640"/>
  </r>
  <r>
    <s v="ORD-01268"/>
    <x v="43"/>
    <s v="CUST-0218"/>
    <s v="PROD-023"/>
    <s v="R013"/>
    <n v="8"/>
    <n v="2380"/>
    <n v="24.2"/>
    <n v="14432.32"/>
    <s v="Completed"/>
    <s v="Mumbai"/>
    <x v="3"/>
    <x v="2"/>
    <x v="2"/>
    <n v="1182"/>
    <n v="2380"/>
  </r>
  <r>
    <s v="ORD-01269"/>
    <x v="41"/>
    <s v="CUST-0194"/>
    <s v="PROD-029"/>
    <s v="R007"/>
    <n v="10"/>
    <n v="2210"/>
    <n v="3.6"/>
    <n v="21304.400000000001"/>
    <s v="Completed"/>
    <s v="Delhi"/>
    <x v="2"/>
    <x v="2"/>
    <x v="2"/>
    <n v="1010"/>
    <n v="2210"/>
  </r>
  <r>
    <s v="ORD-01270"/>
    <x v="139"/>
    <s v="CUST-0037"/>
    <s v="PROD-050"/>
    <s v="R018"/>
    <n v="9"/>
    <n v="6080"/>
    <n v="17.2"/>
    <n v="45308.160000000003"/>
    <s v="Pending"/>
    <s v="Bengaluru"/>
    <x v="4"/>
    <x v="5"/>
    <x v="1"/>
    <n v="2617"/>
    <n v="6080"/>
  </r>
  <r>
    <s v="ORD-01271"/>
    <x v="10"/>
    <s v="CUST-0245"/>
    <s v="PROD-054"/>
    <s v="R022"/>
    <n v="8"/>
    <n v="1010"/>
    <n v="12.3"/>
    <n v="7086.16"/>
    <s v="Completed"/>
    <s v="Hyderabad"/>
    <x v="5"/>
    <x v="1"/>
    <x v="2"/>
    <n v="516"/>
    <n v="1010"/>
  </r>
  <r>
    <s v="ORD-01272"/>
    <x v="329"/>
    <s v="CUST-0266"/>
    <s v="PROD-028"/>
    <s v="R011"/>
    <n v="8"/>
    <n v="3660"/>
    <n v="8.4"/>
    <n v="26820.48"/>
    <s v="Completed"/>
    <s v="Pune"/>
    <x v="0"/>
    <x v="2"/>
    <x v="2"/>
    <n v="2214"/>
    <n v="3660"/>
  </r>
  <r>
    <s v="ORD-01273"/>
    <x v="68"/>
    <s v="CUST-0058"/>
    <s v="PROD-039"/>
    <s v="R029"/>
    <n v="8"/>
    <n v="4610"/>
    <n v="15.4"/>
    <n v="31200.48"/>
    <s v="Cancelled"/>
    <s v="Bengaluru"/>
    <x v="4"/>
    <x v="3"/>
    <x v="0"/>
    <n v="1850"/>
    <n v="4610"/>
  </r>
  <r>
    <s v="ORD-01274"/>
    <x v="283"/>
    <s v="CUST-0058"/>
    <s v="PROD-048"/>
    <s v="R006"/>
    <n v="9"/>
    <n v="5100"/>
    <n v="25.2"/>
    <n v="34333.199999999997"/>
    <s v="Cancelled"/>
    <s v="Bengaluru"/>
    <x v="4"/>
    <x v="5"/>
    <x v="2"/>
    <n v="2237"/>
    <n v="5100"/>
  </r>
  <r>
    <s v="ORD-01275"/>
    <x v="312"/>
    <s v="CUST-0028"/>
    <s v="PROD-045"/>
    <s v="R019"/>
    <n v="5"/>
    <n v="3020"/>
    <n v="23"/>
    <n v="11627"/>
    <s v="Completed"/>
    <s v="Bengaluru"/>
    <x v="4"/>
    <x v="5"/>
    <x v="2"/>
    <n v="1626"/>
    <n v="3020"/>
  </r>
  <r>
    <s v="ORD-01276"/>
    <x v="3"/>
    <s v="CUST-0262"/>
    <s v="PROD-059"/>
    <s v="R015"/>
    <n v="8"/>
    <n v="3780"/>
    <n v="17.100000000000001"/>
    <n v="25068.959999999999"/>
    <s v="Completed"/>
    <s v="Mumbai"/>
    <x v="3"/>
    <x v="1"/>
    <x v="2"/>
    <n v="1860"/>
    <n v="3780"/>
  </r>
  <r>
    <s v="ORD-01277"/>
    <x v="352"/>
    <s v="CUST-0241"/>
    <s v="PROD-029"/>
    <s v="R001"/>
    <n v="10"/>
    <n v="2210"/>
    <n v="8.5"/>
    <n v="20221.5"/>
    <s v="Completed"/>
    <s v="Pune"/>
    <x v="0"/>
    <x v="2"/>
    <x v="0"/>
    <n v="1010"/>
    <n v="2210"/>
  </r>
  <r>
    <s v="ORD-01278"/>
    <x v="117"/>
    <s v="CUST-0109"/>
    <s v="PROD-029"/>
    <s v="R015"/>
    <n v="4"/>
    <n v="2210"/>
    <n v="3.1"/>
    <n v="8565.9599999999991"/>
    <s v="Completed"/>
    <s v="Pune"/>
    <x v="0"/>
    <x v="2"/>
    <x v="3"/>
    <n v="1010"/>
    <n v="2210"/>
  </r>
  <r>
    <s v="ORD-01279"/>
    <x v="326"/>
    <s v="CUST-0228"/>
    <s v="PROD-044"/>
    <s v="R015"/>
    <n v="1"/>
    <n v="1650"/>
    <n v="10"/>
    <n v="1485"/>
    <s v="Completed"/>
    <s v="Pune"/>
    <x v="0"/>
    <x v="5"/>
    <x v="0"/>
    <n v="1222"/>
    <n v="1650"/>
  </r>
  <r>
    <s v="ORD-01280"/>
    <x v="100"/>
    <s v="CUST-0239"/>
    <s v="PROD-060"/>
    <s v="R005"/>
    <n v="6"/>
    <n v="190"/>
    <n v="3.5"/>
    <n v="1100.0999999999999"/>
    <s v="Cancelled"/>
    <s v="Mumbai"/>
    <x v="3"/>
    <x v="1"/>
    <x v="3"/>
    <n v="147"/>
    <n v="190"/>
  </r>
  <r>
    <s v="ORD-01281"/>
    <x v="55"/>
    <s v="CUST-0092"/>
    <s v="PROD-055"/>
    <s v="R027"/>
    <n v="8"/>
    <n v="2860"/>
    <n v="14.7"/>
    <n v="19516.64"/>
    <s v="Completed"/>
    <s v="Bengaluru"/>
    <x v="4"/>
    <x v="1"/>
    <x v="2"/>
    <n v="2028"/>
    <n v="2860"/>
  </r>
  <r>
    <s v="ORD-01282"/>
    <x v="120"/>
    <s v="CUST-0283"/>
    <s v="PROD-005"/>
    <s v="R030"/>
    <n v="9"/>
    <n v="300"/>
    <n v="19.5"/>
    <n v="2173.5"/>
    <s v="Completed"/>
    <s v="Delhi"/>
    <x v="2"/>
    <x v="4"/>
    <x v="2"/>
    <n v="128"/>
    <n v="300"/>
  </r>
  <r>
    <s v="ORD-01283"/>
    <x v="170"/>
    <s v="CUST-0206"/>
    <s v="PROD-049"/>
    <s v="R007"/>
    <n v="10"/>
    <n v="960"/>
    <n v="9.6999999999999993"/>
    <n v="8668.7999999999993"/>
    <s v="Completed"/>
    <s v="Mumbai"/>
    <x v="3"/>
    <x v="5"/>
    <x v="1"/>
    <n v="675"/>
    <n v="960"/>
  </r>
  <r>
    <s v="ORD-01284"/>
    <x v="292"/>
    <s v="CUST-0174"/>
    <s v="PROD-020"/>
    <s v="R013"/>
    <n v="5"/>
    <n v="820"/>
    <n v="0.5"/>
    <n v="4079.5"/>
    <s v="Completed"/>
    <s v="Pune"/>
    <x v="0"/>
    <x v="0"/>
    <x v="2"/>
    <n v="391"/>
    <n v="820"/>
  </r>
  <r>
    <s v="ORD-01285"/>
    <x v="266"/>
    <s v="CUST-0040"/>
    <s v="PROD-032"/>
    <s v="R004"/>
    <n v="2"/>
    <n v="370"/>
    <n v="10.5"/>
    <n v="662.3"/>
    <s v="Pending"/>
    <s v="Chennai"/>
    <x v="1"/>
    <x v="3"/>
    <x v="2"/>
    <n v="288"/>
    <n v="370"/>
  </r>
  <r>
    <s v="ORD-01286"/>
    <x v="99"/>
    <s v="CUST-0153"/>
    <s v="PROD-038"/>
    <s v="R023"/>
    <n v="9"/>
    <n v="5490"/>
    <n v="14.2"/>
    <n v="42393.78"/>
    <s v="Cancelled"/>
    <s v="Mumbai"/>
    <x v="3"/>
    <x v="3"/>
    <x v="0"/>
    <n v="2549"/>
    <n v="5490"/>
  </r>
  <r>
    <s v="ORD-01287"/>
    <x v="62"/>
    <s v="CUST-0236"/>
    <s v="PROD-032"/>
    <s v="R018"/>
    <n v="3"/>
    <n v="370"/>
    <n v="18.399999999999999"/>
    <n v="905.76"/>
    <s v="Completed"/>
    <s v="Hyderabad"/>
    <x v="5"/>
    <x v="3"/>
    <x v="2"/>
    <n v="288"/>
    <n v="370"/>
  </r>
  <r>
    <s v="ORD-01288"/>
    <x v="241"/>
    <s v="CUST-0295"/>
    <s v="PROD-060"/>
    <s v="R018"/>
    <n v="6"/>
    <n v="190"/>
    <n v="12.9"/>
    <n v="992.94"/>
    <s v="Completed"/>
    <s v="Delhi"/>
    <x v="2"/>
    <x v="1"/>
    <x v="1"/>
    <n v="147"/>
    <n v="190"/>
  </r>
  <r>
    <s v="ORD-01289"/>
    <x v="245"/>
    <s v="CUST-0145"/>
    <s v="PROD-029"/>
    <s v="R023"/>
    <n v="8"/>
    <n v="2210"/>
    <n v="9.8000000000000007"/>
    <n v="15947.36"/>
    <s v="Completed"/>
    <s v="Bengaluru"/>
    <x v="4"/>
    <x v="2"/>
    <x v="2"/>
    <n v="1010"/>
    <n v="2210"/>
  </r>
  <r>
    <s v="ORD-01290"/>
    <x v="99"/>
    <s v="CUST-0192"/>
    <s v="PROD-044"/>
    <s v="R009"/>
    <n v="7"/>
    <n v="1650"/>
    <n v="8.4"/>
    <n v="10579.8"/>
    <s v="Completed"/>
    <s v="Bengaluru"/>
    <x v="4"/>
    <x v="5"/>
    <x v="2"/>
    <n v="1222"/>
    <n v="1650"/>
  </r>
  <r>
    <s v="ORD-01291"/>
    <x v="353"/>
    <s v="CUST-0148"/>
    <s v="PROD-037"/>
    <s v="R013"/>
    <n v="8"/>
    <n v="660"/>
    <n v="7.5"/>
    <n v="4884"/>
    <s v="Completed"/>
    <s v="Chennai"/>
    <x v="1"/>
    <x v="3"/>
    <x v="2"/>
    <n v="329"/>
    <n v="660"/>
  </r>
  <r>
    <s v="ORD-01292"/>
    <x v="128"/>
    <s v="CUST-0227"/>
    <s v="PROD-039"/>
    <s v="R004"/>
    <n v="3"/>
    <n v="4610"/>
    <n v="29.6"/>
    <n v="9736.32"/>
    <s v="Completed"/>
    <s v="Bengaluru"/>
    <x v="4"/>
    <x v="3"/>
    <x v="1"/>
    <n v="1850"/>
    <n v="4610"/>
  </r>
  <r>
    <s v="ORD-01293"/>
    <x v="354"/>
    <s v="CUST-0170"/>
    <s v="PROD-029"/>
    <s v="R025"/>
    <n v="6"/>
    <n v="2210"/>
    <n v="9.5"/>
    <n v="12000.3"/>
    <s v="Completed"/>
    <s v="Mumbai"/>
    <x v="3"/>
    <x v="2"/>
    <x v="1"/>
    <n v="1010"/>
    <n v="2210"/>
  </r>
  <r>
    <s v="ORD-01294"/>
    <x v="80"/>
    <s v="CUST-0102"/>
    <s v="PROD-042"/>
    <s v="R017"/>
    <n v="4"/>
    <n v="2290"/>
    <n v="3.3"/>
    <n v="8857.7199999999993"/>
    <s v="Completed"/>
    <s v="Chennai"/>
    <x v="1"/>
    <x v="5"/>
    <x v="0"/>
    <n v="1219"/>
    <n v="2290"/>
  </r>
  <r>
    <s v="ORD-01295"/>
    <x v="264"/>
    <s v="CUST-0071"/>
    <s v="PROD-040"/>
    <s v="R026"/>
    <n v="5"/>
    <n v="1080"/>
    <n v="26.1"/>
    <n v="3990.6"/>
    <s v="Completed"/>
    <s v="Delhi"/>
    <x v="2"/>
    <x v="3"/>
    <x v="0"/>
    <n v="519"/>
    <n v="1080"/>
  </r>
  <r>
    <s v="ORD-01296"/>
    <x v="42"/>
    <s v="CUST-0080"/>
    <s v="PROD-057"/>
    <s v="R010"/>
    <n v="7"/>
    <n v="960"/>
    <n v="17.7"/>
    <n v="5530.56"/>
    <s v="Completed"/>
    <s v="Pune"/>
    <x v="0"/>
    <x v="1"/>
    <x v="0"/>
    <n v="705"/>
    <n v="960"/>
  </r>
  <r>
    <s v="ORD-01297"/>
    <x v="338"/>
    <s v="CUST-0272"/>
    <s v="PROD-058"/>
    <s v="R008"/>
    <n v="1"/>
    <n v="2400"/>
    <n v="29.9"/>
    <n v="1682.4"/>
    <s v="Completed"/>
    <s v="Mumbai"/>
    <x v="3"/>
    <x v="1"/>
    <x v="0"/>
    <n v="974"/>
    <n v="2400"/>
  </r>
  <r>
    <s v="ORD-01298"/>
    <x v="184"/>
    <s v="CUST-0076"/>
    <s v="PROD-042"/>
    <s v="R010"/>
    <n v="9"/>
    <n v="2290"/>
    <n v="28.8"/>
    <n v="14674.32"/>
    <s v="Completed"/>
    <s v="Mumbai"/>
    <x v="3"/>
    <x v="5"/>
    <x v="0"/>
    <n v="1219"/>
    <n v="2290"/>
  </r>
  <r>
    <s v="ORD-01299"/>
    <x v="137"/>
    <s v="CUST-0222"/>
    <s v="PROD-040"/>
    <s v="R018"/>
    <n v="9"/>
    <n v="1080"/>
    <n v="10.3"/>
    <n v="8718.84"/>
    <s v="Completed"/>
    <s v="Chennai"/>
    <x v="1"/>
    <x v="3"/>
    <x v="2"/>
    <n v="519"/>
    <n v="1080"/>
  </r>
  <r>
    <s v="ORD-01300"/>
    <x v="121"/>
    <s v="CUST-0091"/>
    <s v="PROD-035"/>
    <s v="R004"/>
    <n v="1"/>
    <n v="1090"/>
    <n v="5.8"/>
    <n v="1026.78"/>
    <s v="Cancelled"/>
    <s v="Delhi"/>
    <x v="2"/>
    <x v="3"/>
    <x v="1"/>
    <n v="464"/>
    <n v="1090"/>
  </r>
  <r>
    <s v="ORD-01301"/>
    <x v="9"/>
    <s v="CUST-0126"/>
    <s v="PROD-029"/>
    <s v="R018"/>
    <n v="3"/>
    <n v="2210"/>
    <n v="18.2"/>
    <n v="5423.34"/>
    <s v="Pending"/>
    <s v="Mumbai"/>
    <x v="3"/>
    <x v="2"/>
    <x v="0"/>
    <n v="1010"/>
    <n v="2210"/>
  </r>
  <r>
    <s v="ORD-01302"/>
    <x v="276"/>
    <s v="CUST-0241"/>
    <s v="PROD-014"/>
    <s v="R015"/>
    <n v="8"/>
    <n v="3620"/>
    <n v="1.4"/>
    <n v="28554.560000000001"/>
    <s v="Completed"/>
    <s v="Pune"/>
    <x v="0"/>
    <x v="0"/>
    <x v="0"/>
    <n v="2509"/>
    <n v="3620"/>
  </r>
  <r>
    <s v="ORD-01303"/>
    <x v="107"/>
    <s v="CUST-0118"/>
    <s v="PROD-033"/>
    <s v="R011"/>
    <n v="7"/>
    <n v="2030"/>
    <n v="27.7"/>
    <n v="10273.83"/>
    <s v="Completed"/>
    <s v="Hyderabad"/>
    <x v="5"/>
    <x v="3"/>
    <x v="0"/>
    <n v="1143"/>
    <n v="2030"/>
  </r>
  <r>
    <s v="ORD-01304"/>
    <x v="309"/>
    <s v="CUST-0090"/>
    <s v="PROD-004"/>
    <s v="R023"/>
    <n v="1"/>
    <n v="3870"/>
    <n v="29.6"/>
    <n v="2724.48"/>
    <s v="Completed"/>
    <s v="Bengaluru"/>
    <x v="4"/>
    <x v="4"/>
    <x v="3"/>
    <n v="1559"/>
    <n v="3870"/>
  </r>
  <r>
    <s v="ORD-01305"/>
    <x v="258"/>
    <s v="CUST-0037"/>
    <s v="PROD-003"/>
    <s v="R014"/>
    <n v="5"/>
    <n v="3570"/>
    <n v="11.8"/>
    <n v="15743.7"/>
    <s v="Refunded"/>
    <s v="Bengaluru"/>
    <x v="4"/>
    <x v="4"/>
    <x v="0"/>
    <n v="1665"/>
    <n v="3570"/>
  </r>
  <r>
    <s v="ORD-01306"/>
    <x v="181"/>
    <s v="CUST-0083"/>
    <s v="PROD-001"/>
    <s v="R019"/>
    <n v="7"/>
    <n v="5330"/>
    <n v="8.1999999999999993"/>
    <n v="34250.58"/>
    <s v="Completed"/>
    <s v="Bengaluru"/>
    <x v="4"/>
    <x v="4"/>
    <x v="1"/>
    <n v="2405"/>
    <n v="5330"/>
  </r>
  <r>
    <s v="ORD-01307"/>
    <x v="148"/>
    <s v="CUST-0154"/>
    <s v="PROD-009"/>
    <s v="R009"/>
    <n v="5"/>
    <n v="1220"/>
    <n v="17.8"/>
    <n v="5014.2"/>
    <s v="Refunded"/>
    <s v="Pune"/>
    <x v="0"/>
    <x v="4"/>
    <x v="0"/>
    <n v="517"/>
    <n v="1220"/>
  </r>
  <r>
    <s v="ORD-01308"/>
    <x v="78"/>
    <s v="CUST-0265"/>
    <s v="PROD-011"/>
    <s v="R019"/>
    <n v="7"/>
    <n v="3450"/>
    <n v="29.3"/>
    <n v="17074.05"/>
    <s v="Completed"/>
    <s v="Chennai"/>
    <x v="1"/>
    <x v="0"/>
    <x v="3"/>
    <n v="1748"/>
    <n v="3450"/>
  </r>
  <r>
    <s v="ORD-01309"/>
    <x v="152"/>
    <s v="CUST-0115"/>
    <s v="PROD-018"/>
    <s v="R013"/>
    <n v="6"/>
    <n v="3560"/>
    <n v="9.4"/>
    <n v="19352.16"/>
    <s v="Pending"/>
    <s v="Mumbai"/>
    <x v="3"/>
    <x v="0"/>
    <x v="1"/>
    <n v="2629"/>
    <n v="3560"/>
  </r>
  <r>
    <s v="ORD-01310"/>
    <x v="217"/>
    <s v="CUST-0274"/>
    <s v="PROD-032"/>
    <s v="R005"/>
    <n v="4"/>
    <n v="370"/>
    <n v="4.9000000000000004"/>
    <n v="1407.48"/>
    <s v="Completed"/>
    <s v="Bengaluru"/>
    <x v="4"/>
    <x v="3"/>
    <x v="3"/>
    <n v="288"/>
    <n v="370"/>
  </r>
  <r>
    <s v="ORD-01311"/>
    <x v="262"/>
    <s v="CUST-0269"/>
    <s v="PROD-009"/>
    <s v="R003"/>
    <n v="1"/>
    <n v="1220"/>
    <n v="15.2"/>
    <n v="1034.56"/>
    <s v="Completed"/>
    <s v="Pune"/>
    <x v="0"/>
    <x v="4"/>
    <x v="3"/>
    <n v="517"/>
    <n v="1220"/>
  </r>
  <r>
    <s v="ORD-01312"/>
    <x v="12"/>
    <s v="CUST-0045"/>
    <s v="PROD-013"/>
    <s v="R006"/>
    <n v="3"/>
    <n v="3640"/>
    <n v="12.3"/>
    <n v="9576.84"/>
    <s v="Pending"/>
    <s v="Chennai"/>
    <x v="1"/>
    <x v="0"/>
    <x v="3"/>
    <n v="2611"/>
    <n v="3640"/>
  </r>
  <r>
    <s v="ORD-01313"/>
    <x v="115"/>
    <s v="CUST-0054"/>
    <s v="PROD-045"/>
    <s v="R010"/>
    <n v="8"/>
    <n v="3020"/>
    <n v="28.2"/>
    <n v="17346.88"/>
    <s v="Pending"/>
    <s v="Mumbai"/>
    <x v="3"/>
    <x v="5"/>
    <x v="1"/>
    <n v="1626"/>
    <n v="3020"/>
  </r>
  <r>
    <s v="ORD-01314"/>
    <x v="277"/>
    <s v="CUST-0160"/>
    <s v="PROD-048"/>
    <s v="R008"/>
    <n v="3"/>
    <n v="5100"/>
    <n v="7.8"/>
    <n v="14106.6"/>
    <s v="Completed"/>
    <s v="Hyderabad"/>
    <x v="5"/>
    <x v="5"/>
    <x v="0"/>
    <n v="2237"/>
    <n v="5100"/>
  </r>
  <r>
    <s v="ORD-01315"/>
    <x v="192"/>
    <s v="CUST-0163"/>
    <s v="PROD-005"/>
    <s v="R001"/>
    <n v="9"/>
    <n v="300"/>
    <n v="19"/>
    <n v="2187"/>
    <s v="Completed"/>
    <s v="Pune"/>
    <x v="0"/>
    <x v="4"/>
    <x v="3"/>
    <n v="128"/>
    <n v="300"/>
  </r>
  <r>
    <s v="ORD-01316"/>
    <x v="287"/>
    <s v="CUST-0006"/>
    <s v="PROD-042"/>
    <s v="R007"/>
    <n v="10"/>
    <n v="2290"/>
    <n v="27.7"/>
    <n v="16556.7"/>
    <s v="Completed"/>
    <s v="Pune"/>
    <x v="0"/>
    <x v="5"/>
    <x v="0"/>
    <n v="1219"/>
    <n v="2290"/>
  </r>
  <r>
    <s v="ORD-01317"/>
    <x v="253"/>
    <s v="CUST-0142"/>
    <s v="PROD-013"/>
    <s v="R024"/>
    <n v="9"/>
    <n v="3640"/>
    <n v="20.100000000000001"/>
    <n v="26175.24"/>
    <s v="Completed"/>
    <s v="Chennai"/>
    <x v="1"/>
    <x v="0"/>
    <x v="1"/>
    <n v="2611"/>
    <n v="3640"/>
  </r>
  <r>
    <s v="ORD-01318"/>
    <x v="45"/>
    <s v="CUST-0262"/>
    <s v="PROD-020"/>
    <s v="R022"/>
    <n v="4"/>
    <n v="820"/>
    <n v="7.6"/>
    <n v="3030.72"/>
    <s v="Completed"/>
    <s v="Mumbai"/>
    <x v="3"/>
    <x v="0"/>
    <x v="0"/>
    <n v="391"/>
    <n v="820"/>
  </r>
  <r>
    <s v="ORD-01319"/>
    <x v="68"/>
    <s v="CUST-0049"/>
    <s v="PROD-030"/>
    <s v="R014"/>
    <n v="1"/>
    <n v="970"/>
    <n v="1.7"/>
    <n v="953.51"/>
    <s v="Completed"/>
    <s v="Mumbai"/>
    <x v="3"/>
    <x v="2"/>
    <x v="2"/>
    <n v="434"/>
    <n v="970"/>
  </r>
  <r>
    <s v="ORD-01320"/>
    <x v="125"/>
    <s v="CUST-0204"/>
    <s v="PROD-018"/>
    <s v="R019"/>
    <n v="5"/>
    <n v="3560"/>
    <n v="10.5"/>
    <n v="15931"/>
    <s v="Completed"/>
    <s v="Hyderabad"/>
    <x v="5"/>
    <x v="0"/>
    <x v="3"/>
    <n v="2629"/>
    <n v="3560"/>
  </r>
  <r>
    <s v="ORD-01321"/>
    <x v="231"/>
    <s v="CUST-0164"/>
    <s v="PROD-035"/>
    <s v="R009"/>
    <n v="6"/>
    <n v="1090"/>
    <n v="2.4"/>
    <n v="6383.04"/>
    <s v="Pending"/>
    <s v="Chennai"/>
    <x v="1"/>
    <x v="3"/>
    <x v="0"/>
    <n v="464"/>
    <n v="1090"/>
  </r>
  <r>
    <s v="ORD-01322"/>
    <x v="141"/>
    <s v="CUST-0003"/>
    <s v="PROD-008"/>
    <s v="R017"/>
    <n v="6"/>
    <n v="2660"/>
    <n v="6.4"/>
    <n v="14938.56"/>
    <s v="Completed"/>
    <s v="Mumbai"/>
    <x v="3"/>
    <x v="4"/>
    <x v="0"/>
    <n v="1259"/>
    <n v="2660"/>
  </r>
  <r>
    <s v="ORD-01323"/>
    <x v="39"/>
    <s v="CUST-0032"/>
    <s v="PROD-006"/>
    <s v="R001"/>
    <n v="5"/>
    <n v="3970"/>
    <n v="18.8"/>
    <n v="16118.2"/>
    <s v="Pending"/>
    <s v="Hyderabad"/>
    <x v="5"/>
    <x v="4"/>
    <x v="1"/>
    <n v="2865"/>
    <n v="3970"/>
  </r>
  <r>
    <s v="ORD-01324"/>
    <x v="264"/>
    <s v="CUST-0208"/>
    <s v="PROD-056"/>
    <s v="R021"/>
    <n v="7"/>
    <n v="6940"/>
    <n v="23.8"/>
    <n v="37017.96"/>
    <s v="Refunded"/>
    <s v="Mumbai"/>
    <x v="3"/>
    <x v="1"/>
    <x v="2"/>
    <n v="2827"/>
    <n v="6940"/>
  </r>
  <r>
    <s v="ORD-01325"/>
    <x v="227"/>
    <s v="CUST-0183"/>
    <s v="PROD-058"/>
    <s v="R004"/>
    <n v="3"/>
    <n v="2400"/>
    <n v="9.8000000000000007"/>
    <n v="6494.4"/>
    <s v="Completed"/>
    <s v="Mumbai"/>
    <x v="3"/>
    <x v="1"/>
    <x v="1"/>
    <n v="974"/>
    <n v="2400"/>
  </r>
  <r>
    <s v="ORD-01326"/>
    <x v="183"/>
    <s v="CUST-0021"/>
    <s v="PROD-051"/>
    <s v="R023"/>
    <n v="8"/>
    <n v="3450"/>
    <n v="26.6"/>
    <n v="20258.400000000001"/>
    <s v="Cancelled"/>
    <s v="Pune"/>
    <x v="0"/>
    <x v="1"/>
    <x v="1"/>
    <n v="2467"/>
    <n v="3450"/>
  </r>
  <r>
    <s v="ORD-01327"/>
    <x v="44"/>
    <s v="CUST-0080"/>
    <s v="PROD-009"/>
    <s v="R004"/>
    <n v="4"/>
    <n v="1220"/>
    <n v="5.5"/>
    <n v="4611.6000000000004"/>
    <s v="Completed"/>
    <s v="Pune"/>
    <x v="0"/>
    <x v="4"/>
    <x v="1"/>
    <n v="517"/>
    <n v="1220"/>
  </r>
  <r>
    <s v="ORD-01328"/>
    <x v="355"/>
    <s v="CUST-0286"/>
    <s v="PROD-016"/>
    <s v="R007"/>
    <n v="1"/>
    <n v="620"/>
    <n v="22.3"/>
    <n v="481.74"/>
    <s v="Pending"/>
    <s v="Delhi"/>
    <x v="2"/>
    <x v="0"/>
    <x v="0"/>
    <n v="396"/>
    <n v="620"/>
  </r>
  <r>
    <s v="ORD-01329"/>
    <x v="333"/>
    <s v="CUST-0152"/>
    <s v="PROD-005"/>
    <s v="R023"/>
    <n v="1"/>
    <n v="300"/>
    <n v="12.5"/>
    <n v="262.5"/>
    <s v="Completed"/>
    <s v="Bengaluru"/>
    <x v="4"/>
    <x v="4"/>
    <x v="1"/>
    <n v="128"/>
    <n v="300"/>
  </r>
  <r>
    <s v="ORD-01330"/>
    <x v="349"/>
    <s v="CUST-0254"/>
    <s v="PROD-054"/>
    <s v="R020"/>
    <n v="3"/>
    <n v="1010"/>
    <n v="14.1"/>
    <n v="2602.77"/>
    <s v="Completed"/>
    <s v="Bengaluru"/>
    <x v="4"/>
    <x v="1"/>
    <x v="0"/>
    <n v="516"/>
    <n v="1010"/>
  </r>
  <r>
    <s v="ORD-01331"/>
    <x v="77"/>
    <s v="CUST-0290"/>
    <s v="PROD-034"/>
    <s v="R027"/>
    <n v="2"/>
    <n v="5080"/>
    <n v="16.8"/>
    <n v="8453.1200000000008"/>
    <s v="Completed"/>
    <s v="Delhi"/>
    <x v="2"/>
    <x v="3"/>
    <x v="2"/>
    <n v="2459"/>
    <n v="5080"/>
  </r>
  <r>
    <s v="ORD-01332"/>
    <x v="104"/>
    <s v="CUST-0101"/>
    <s v="PROD-012"/>
    <s v="R027"/>
    <n v="2"/>
    <n v="3160"/>
    <n v="21.4"/>
    <n v="4967.5200000000004"/>
    <s v="Completed"/>
    <s v="Hyderabad"/>
    <x v="5"/>
    <x v="0"/>
    <x v="3"/>
    <n v="1886"/>
    <n v="3160"/>
  </r>
  <r>
    <s v="ORD-01333"/>
    <x v="275"/>
    <s v="CUST-0058"/>
    <s v="PROD-047"/>
    <s v="R016"/>
    <n v="7"/>
    <n v="3450"/>
    <n v="21.3"/>
    <n v="19006.05"/>
    <s v="Completed"/>
    <s v="Bengaluru"/>
    <x v="4"/>
    <x v="5"/>
    <x v="3"/>
    <n v="2420"/>
    <n v="3450"/>
  </r>
  <r>
    <s v="ORD-01334"/>
    <x v="94"/>
    <s v="CUST-0296"/>
    <s v="PROD-001"/>
    <s v="R006"/>
    <n v="2"/>
    <n v="5330"/>
    <n v="4.3"/>
    <n v="10201.620000000001"/>
    <s v="Completed"/>
    <s v="Delhi"/>
    <x v="2"/>
    <x v="4"/>
    <x v="1"/>
    <n v="2405"/>
    <n v="5330"/>
  </r>
  <r>
    <s v="ORD-01335"/>
    <x v="17"/>
    <s v="CUST-0249"/>
    <s v="PROD-056"/>
    <s v="R014"/>
    <n v="5"/>
    <n v="6940"/>
    <n v="2.9"/>
    <n v="33693.699999999997"/>
    <s v="Completed"/>
    <s v="Mumbai"/>
    <x v="3"/>
    <x v="1"/>
    <x v="3"/>
    <n v="2827"/>
    <n v="6940"/>
  </r>
  <r>
    <s v="ORD-01336"/>
    <x v="166"/>
    <s v="CUST-0055"/>
    <s v="PROD-037"/>
    <s v="R028"/>
    <n v="5"/>
    <n v="660"/>
    <n v="15.8"/>
    <n v="2778.6"/>
    <s v="Completed"/>
    <s v="Bengaluru"/>
    <x v="4"/>
    <x v="3"/>
    <x v="2"/>
    <n v="329"/>
    <n v="660"/>
  </r>
  <r>
    <s v="ORD-01337"/>
    <x v="281"/>
    <s v="CUST-0005"/>
    <s v="PROD-048"/>
    <s v="R013"/>
    <n v="9"/>
    <n v="5100"/>
    <n v="0.4"/>
    <n v="45716.4"/>
    <s v="Completed"/>
    <s v="Chennai"/>
    <x v="1"/>
    <x v="5"/>
    <x v="3"/>
    <n v="2237"/>
    <n v="5100"/>
  </r>
  <r>
    <s v="ORD-01338"/>
    <x v="162"/>
    <s v="CUST-9595"/>
    <s v="PROD-044"/>
    <s v="R014"/>
    <n v="5"/>
    <n v="1650"/>
    <n v="0.8"/>
    <n v="8184"/>
    <s v="Pending"/>
    <s v="Chennai"/>
    <x v="1"/>
    <x v="5"/>
    <x v="1"/>
    <n v="1222"/>
    <n v="1650"/>
  </r>
  <r>
    <s v="ORD-01339"/>
    <x v="286"/>
    <s v="CUST-0138"/>
    <s v="PROD-013"/>
    <s v="R018"/>
    <n v="7"/>
    <n v="3640"/>
    <n v="25.5"/>
    <n v="18982.599999999999"/>
    <s v="Completed"/>
    <s v="Chennai"/>
    <x v="1"/>
    <x v="0"/>
    <x v="1"/>
    <n v="2611"/>
    <n v="3640"/>
  </r>
  <r>
    <s v="ORD-01340"/>
    <x v="175"/>
    <s v="CUST-0112"/>
    <s v="PROD-046"/>
    <s v="R029"/>
    <n v="6"/>
    <n v="4880"/>
    <n v="12.6"/>
    <n v="25590.720000000001"/>
    <s v="Cancelled"/>
    <s v="Hyderabad"/>
    <x v="5"/>
    <x v="5"/>
    <x v="1"/>
    <n v="2768"/>
    <n v="4880"/>
  </r>
  <r>
    <s v="ORD-01341"/>
    <x v="124"/>
    <s v="CUST-0254"/>
    <s v="PROD-001"/>
    <s v="R028"/>
    <n v="4"/>
    <n v="5330"/>
    <n v="16.2"/>
    <n v="17866.16"/>
    <s v="Completed"/>
    <s v="Bengaluru"/>
    <x v="4"/>
    <x v="4"/>
    <x v="3"/>
    <n v="2405"/>
    <n v="5330"/>
  </r>
  <r>
    <s v="ORD-01342"/>
    <x v="169"/>
    <s v="CUST-0087"/>
    <s v="PROD-038"/>
    <s v="R023"/>
    <n v="3"/>
    <n v="5490"/>
    <n v="26.7"/>
    <n v="12072.51"/>
    <s v="Completed"/>
    <s v="Pune"/>
    <x v="0"/>
    <x v="3"/>
    <x v="1"/>
    <n v="2549"/>
    <n v="5490"/>
  </r>
  <r>
    <s v="ORD-01343"/>
    <x v="148"/>
    <s v="CUST-0142"/>
    <s v="PROD-060"/>
    <s v="R002"/>
    <n v="7"/>
    <n v="190"/>
    <n v="11.6"/>
    <n v="1175.72"/>
    <s v="Completed"/>
    <s v="Chennai"/>
    <x v="1"/>
    <x v="1"/>
    <x v="0"/>
    <n v="147"/>
    <n v="190"/>
  </r>
  <r>
    <s v="ORD-01344"/>
    <x v="352"/>
    <s v="CUST-0293"/>
    <s v="PROD-012"/>
    <s v="R016"/>
    <n v="5"/>
    <n v="3160"/>
    <n v="24.1"/>
    <n v="11992.2"/>
    <s v="Completed"/>
    <s v="Bengaluru"/>
    <x v="4"/>
    <x v="0"/>
    <x v="0"/>
    <n v="1886"/>
    <n v="3160"/>
  </r>
  <r>
    <s v="ORD-01345"/>
    <x v="183"/>
    <s v="CUST-0025"/>
    <s v="PROD-035"/>
    <s v="R023"/>
    <n v="1"/>
    <n v="1090"/>
    <n v="9.6"/>
    <n v="985.36"/>
    <s v="Refunded"/>
    <s v="Bengaluru"/>
    <x v="4"/>
    <x v="3"/>
    <x v="3"/>
    <n v="464"/>
    <n v="1090"/>
  </r>
  <r>
    <s v="ORD-01346"/>
    <x v="130"/>
    <s v="CUST-0096"/>
    <s v="PROD-032"/>
    <s v="R004"/>
    <n v="9"/>
    <n v="370"/>
    <n v="4"/>
    <n v="3196.8"/>
    <s v="Completed"/>
    <s v="Delhi"/>
    <x v="2"/>
    <x v="3"/>
    <x v="1"/>
    <n v="288"/>
    <n v="370"/>
  </r>
  <r>
    <s v="ORD-01347"/>
    <x v="212"/>
    <s v="CUST-0069"/>
    <s v="PROD-008"/>
    <s v="R002"/>
    <n v="5"/>
    <n v="2660"/>
    <n v="24.6"/>
    <n v="10028.200000000001"/>
    <s v="Cancelled"/>
    <s v="Chennai"/>
    <x v="1"/>
    <x v="4"/>
    <x v="2"/>
    <n v="1259"/>
    <n v="2660"/>
  </r>
  <r>
    <s v="ORD-01348"/>
    <x v="322"/>
    <s v="CUST-0220"/>
    <s v="PROD-018"/>
    <s v="R018"/>
    <n v="4"/>
    <n v="3560"/>
    <n v="25.7"/>
    <n v="10580.32"/>
    <s v="Completed"/>
    <s v="Chennai"/>
    <x v="1"/>
    <x v="0"/>
    <x v="3"/>
    <n v="2629"/>
    <n v="3560"/>
  </r>
  <r>
    <s v="ORD-01349"/>
    <x v="306"/>
    <s v="CUST-0005"/>
    <s v="PROD-049"/>
    <s v="R005"/>
    <n v="8"/>
    <n v="960"/>
    <n v="0.1"/>
    <n v="7672.32"/>
    <s v="Completed"/>
    <s v="Chennai"/>
    <x v="1"/>
    <x v="5"/>
    <x v="3"/>
    <n v="675"/>
    <n v="960"/>
  </r>
  <r>
    <s v="ORD-01350"/>
    <x v="128"/>
    <s v="CUST-0222"/>
    <s v="PROD-032"/>
    <s v="R024"/>
    <n v="10"/>
    <n v="370"/>
    <n v="16.399999999999999"/>
    <n v="3093.2"/>
    <s v="Cancelled"/>
    <s v="Chennai"/>
    <x v="1"/>
    <x v="3"/>
    <x v="3"/>
    <n v="288"/>
    <n v="370"/>
  </r>
  <r>
    <s v="ORD-01351"/>
    <x v="342"/>
    <s v="CUST-0039"/>
    <s v="PROD-015"/>
    <s v="R029"/>
    <n v="4"/>
    <n v="2720"/>
    <n v="3.1"/>
    <n v="10542.72"/>
    <s v="Completed"/>
    <s v="Bengaluru"/>
    <x v="4"/>
    <x v="0"/>
    <x v="2"/>
    <n v="1962"/>
    <n v="2720"/>
  </r>
  <r>
    <s v="ORD-01352"/>
    <x v="236"/>
    <s v="CUST-0224"/>
    <s v="PROD-034"/>
    <s v="R005"/>
    <n v="10"/>
    <n v="5080"/>
    <n v="6.8"/>
    <n v="47345.599999999999"/>
    <s v="Completed"/>
    <s v="Chennai"/>
    <x v="1"/>
    <x v="3"/>
    <x v="1"/>
    <n v="2459"/>
    <n v="5080"/>
  </r>
  <r>
    <s v="ORD-01353"/>
    <x v="229"/>
    <s v="CUST-0288"/>
    <s v="PROD-042"/>
    <s v="R008"/>
    <n v="6"/>
    <n v="2290"/>
    <n v="22.6"/>
    <n v="10634.76"/>
    <s v="Completed"/>
    <s v="Hyderabad"/>
    <x v="5"/>
    <x v="5"/>
    <x v="1"/>
    <n v="1219"/>
    <n v="2290"/>
  </r>
  <r>
    <s v="ORD-01354"/>
    <x v="349"/>
    <s v="CUST-0002"/>
    <s v="PROD-021"/>
    <s v="R006"/>
    <n v="4"/>
    <n v="2760"/>
    <n v="27.2"/>
    <n v="8037.12"/>
    <s v="Refunded"/>
    <s v="Pune"/>
    <x v="0"/>
    <x v="2"/>
    <x v="0"/>
    <n v="1435"/>
    <n v="2760"/>
  </r>
  <r>
    <s v="ORD-01355"/>
    <x v="12"/>
    <s v="CUST-0172"/>
    <s v="PROD-024"/>
    <s v="R027"/>
    <n v="9"/>
    <n v="2270"/>
    <n v="5.2"/>
    <n v="19367.64"/>
    <s v="Completed"/>
    <s v="Pune"/>
    <x v="0"/>
    <x v="2"/>
    <x v="1"/>
    <n v="1203"/>
    <n v="2270"/>
  </r>
  <r>
    <s v="ORD-01356"/>
    <x v="66"/>
    <s v="CUST-0287"/>
    <s v="PROD-017"/>
    <s v="R008"/>
    <n v="3"/>
    <n v="2510"/>
    <n v="16.399999999999999"/>
    <n v="6295.08"/>
    <s v="Completed"/>
    <s v="Chennai"/>
    <x v="1"/>
    <x v="0"/>
    <x v="2"/>
    <n v="1075"/>
    <n v="2510"/>
  </r>
  <r>
    <s v="ORD-01357"/>
    <x v="186"/>
    <s v="CUST-0020"/>
    <s v="PROD-023"/>
    <s v="R012"/>
    <n v="1"/>
    <n v="2380"/>
    <n v="23.5"/>
    <n v="1820.7"/>
    <s v="Completed"/>
    <s v="Hyderabad"/>
    <x v="5"/>
    <x v="2"/>
    <x v="2"/>
    <n v="1182"/>
    <n v="2380"/>
  </r>
  <r>
    <s v="ORD-01358"/>
    <x v="130"/>
    <s v="CUST-0039"/>
    <s v="PROD-059"/>
    <s v="R019"/>
    <n v="2"/>
    <n v="3780"/>
    <n v="29.1"/>
    <n v="5360.04"/>
    <s v="Completed"/>
    <s v="Bengaluru"/>
    <x v="4"/>
    <x v="1"/>
    <x v="1"/>
    <n v="1860"/>
    <n v="3780"/>
  </r>
  <r>
    <s v="ORD-01359"/>
    <x v="14"/>
    <s v="CUST-0128"/>
    <s v="PROD-011"/>
    <s v="R026"/>
    <n v="1"/>
    <n v="3450"/>
    <n v="17.8"/>
    <n v="2835.9"/>
    <s v="Completed"/>
    <s v="Hyderabad"/>
    <x v="5"/>
    <x v="0"/>
    <x v="0"/>
    <n v="1748"/>
    <n v="3450"/>
  </r>
  <r>
    <s v="ORD-01360"/>
    <x v="310"/>
    <s v="CUST-0149"/>
    <s v="PROD-046"/>
    <s v="R006"/>
    <n v="6"/>
    <n v="4880"/>
    <n v="15.6"/>
    <n v="24712.32"/>
    <s v="Pending"/>
    <s v="Hyderabad"/>
    <x v="5"/>
    <x v="5"/>
    <x v="3"/>
    <n v="2768"/>
    <n v="4880"/>
  </r>
  <r>
    <s v="ORD-01361"/>
    <x v="273"/>
    <s v="CUST-0101"/>
    <s v="PROD-049"/>
    <s v="R016"/>
    <n v="6"/>
    <n v="960"/>
    <n v="7.5"/>
    <n v="5328"/>
    <s v="Pending"/>
    <s v="Hyderabad"/>
    <x v="5"/>
    <x v="5"/>
    <x v="2"/>
    <n v="675"/>
    <n v="960"/>
  </r>
  <r>
    <s v="ORD-01362"/>
    <x v="147"/>
    <s v="CUST-0106"/>
    <s v="PROD-018"/>
    <s v="R023"/>
    <n v="1"/>
    <n v="3560"/>
    <n v="12.9"/>
    <n v="3100.76"/>
    <s v="Completed"/>
    <s v="Pune"/>
    <x v="0"/>
    <x v="0"/>
    <x v="3"/>
    <n v="2629"/>
    <n v="3560"/>
  </r>
  <r>
    <s v="ORD-01363"/>
    <x v="12"/>
    <s v="CUST-0085"/>
    <s v="PROD-025"/>
    <s v="R005"/>
    <n v="5"/>
    <n v="4060"/>
    <n v="18.100000000000001"/>
    <n v="16625.7"/>
    <s v="Pending"/>
    <s v="Chennai"/>
    <x v="1"/>
    <x v="2"/>
    <x v="0"/>
    <n v="2911"/>
    <n v="4060"/>
  </r>
  <r>
    <s v="ORD-01364"/>
    <x v="182"/>
    <s v="CUST-0071"/>
    <s v="PROD-015"/>
    <s v="R020"/>
    <n v="10"/>
    <n v="2720"/>
    <n v="23.2"/>
    <n v="20889.599999999999"/>
    <s v="Completed"/>
    <s v="Delhi"/>
    <x v="2"/>
    <x v="0"/>
    <x v="3"/>
    <n v="1962"/>
    <n v="2720"/>
  </r>
  <r>
    <s v="ORD-01365"/>
    <x v="74"/>
    <s v="CUST-0185"/>
    <s v="PROD-029"/>
    <s v="R022"/>
    <n v="1"/>
    <n v="2210"/>
    <n v="5.8"/>
    <n v="2081.8200000000002"/>
    <s v="Pending"/>
    <s v="Hyderabad"/>
    <x v="5"/>
    <x v="2"/>
    <x v="1"/>
    <n v="1010"/>
    <n v="2210"/>
  </r>
  <r>
    <s v="ORD-01366"/>
    <x v="74"/>
    <s v="CUST-0182"/>
    <s v="PROD-047"/>
    <s v="R013"/>
    <n v="5"/>
    <n v="3450"/>
    <n v="27.9"/>
    <n v="12437.25"/>
    <s v="Pending"/>
    <s v="Mumbai"/>
    <x v="3"/>
    <x v="5"/>
    <x v="0"/>
    <n v="2420"/>
    <n v="3450"/>
  </r>
  <r>
    <s v="ORD-01367"/>
    <x v="269"/>
    <s v="CUST-0177"/>
    <s v="PROD-023"/>
    <s v="R023"/>
    <n v="9"/>
    <n v="2380"/>
    <n v="15.2"/>
    <n v="18164.16"/>
    <s v="Refunded"/>
    <s v="Mumbai"/>
    <x v="3"/>
    <x v="2"/>
    <x v="2"/>
    <n v="1182"/>
    <n v="2380"/>
  </r>
  <r>
    <s v="ORD-01368"/>
    <x v="317"/>
    <s v="CUST-0253"/>
    <s v="PROD-023"/>
    <s v="R002"/>
    <n v="2"/>
    <n v="2380"/>
    <n v="24.3"/>
    <n v="3603.32"/>
    <s v="Completed"/>
    <s v="Delhi"/>
    <x v="2"/>
    <x v="2"/>
    <x v="2"/>
    <n v="1182"/>
    <n v="2380"/>
  </r>
  <r>
    <s v="ORD-01369"/>
    <x v="9"/>
    <s v="CUST-0071"/>
    <s v="PROD-018"/>
    <s v="R012"/>
    <n v="9"/>
    <n v="3560"/>
    <n v="6.6"/>
    <n v="29925.360000000001"/>
    <s v="Refunded"/>
    <s v="Delhi"/>
    <x v="2"/>
    <x v="0"/>
    <x v="1"/>
    <n v="2629"/>
    <n v="3560"/>
  </r>
  <r>
    <s v="ORD-01370"/>
    <x v="259"/>
    <s v="CUST-0240"/>
    <s v="PROD-009"/>
    <s v="R018"/>
    <n v="7"/>
    <n v="1220"/>
    <n v="29.4"/>
    <n v="6029.24"/>
    <s v="Completed"/>
    <s v="Chennai"/>
    <x v="1"/>
    <x v="4"/>
    <x v="2"/>
    <n v="517"/>
    <n v="1220"/>
  </r>
  <r>
    <s v="ORD-01371"/>
    <x v="9"/>
    <s v="CUST-0050"/>
    <s v="PROD-056"/>
    <s v="R017"/>
    <n v="7"/>
    <n v="6940"/>
    <n v="9.6"/>
    <n v="43916.32"/>
    <s v="Completed"/>
    <s v="Mumbai"/>
    <x v="3"/>
    <x v="1"/>
    <x v="3"/>
    <n v="2827"/>
    <n v="6940"/>
  </r>
  <r>
    <s v="ORD-01372"/>
    <x v="183"/>
    <s v="CUST-0089"/>
    <s v="PROD-035"/>
    <s v="R022"/>
    <n v="2"/>
    <n v="1090"/>
    <n v="17"/>
    <n v="1809.4"/>
    <s v="Completed"/>
    <s v="Mumbai"/>
    <x v="3"/>
    <x v="3"/>
    <x v="1"/>
    <n v="464"/>
    <n v="1090"/>
  </r>
  <r>
    <s v="ORD-01373"/>
    <x v="97"/>
    <s v="CUST-0209"/>
    <s v="PROD-023"/>
    <s v="R028"/>
    <n v="4"/>
    <n v="2380"/>
    <n v="18.899999999999999"/>
    <n v="7720.72"/>
    <s v="Pending"/>
    <s v="Pune"/>
    <x v="0"/>
    <x v="2"/>
    <x v="1"/>
    <n v="1182"/>
    <n v="2380"/>
  </r>
  <r>
    <s v="ORD-01374"/>
    <x v="344"/>
    <s v="CUST-0089"/>
    <s v="PROD-024"/>
    <s v="R004"/>
    <n v="6"/>
    <n v="2270"/>
    <n v="20.9"/>
    <n v="10773.42"/>
    <s v="Pending"/>
    <s v="Mumbai"/>
    <x v="3"/>
    <x v="2"/>
    <x v="0"/>
    <n v="1203"/>
    <n v="2270"/>
  </r>
  <r>
    <s v="ORD-01375"/>
    <x v="248"/>
    <s v="CUST-0093"/>
    <s v="PROD-033"/>
    <s v="R019"/>
    <n v="10"/>
    <n v="2030"/>
    <n v="25"/>
    <n v="15225"/>
    <s v="Completed"/>
    <s v="Pune"/>
    <x v="0"/>
    <x v="3"/>
    <x v="1"/>
    <n v="1143"/>
    <n v="2030"/>
  </r>
  <r>
    <s v="ORD-01376"/>
    <x v="118"/>
    <s v="CUST-0018"/>
    <s v="PROD-035"/>
    <s v="R027"/>
    <n v="3"/>
    <n v="1090"/>
    <n v="12.1"/>
    <n v="2874.33"/>
    <s v="Completed"/>
    <s v="Pune"/>
    <x v="0"/>
    <x v="3"/>
    <x v="2"/>
    <n v="464"/>
    <n v="1090"/>
  </r>
  <r>
    <s v="ORD-01377"/>
    <x v="291"/>
    <s v="CUST-0089"/>
    <s v="PROD-017"/>
    <s v="R017"/>
    <n v="3"/>
    <n v="2510"/>
    <n v="28.7"/>
    <n v="5368.89"/>
    <s v="Completed"/>
    <s v="Mumbai"/>
    <x v="3"/>
    <x v="0"/>
    <x v="1"/>
    <n v="1075"/>
    <n v="2510"/>
  </r>
  <r>
    <s v="ORD-01378"/>
    <x v="249"/>
    <s v="CUST-0116"/>
    <s v="PROD-024"/>
    <s v="R026"/>
    <n v="9"/>
    <n v="2270"/>
    <n v="25.4"/>
    <n v="15240.78"/>
    <s v="Pending"/>
    <s v="Bengaluru"/>
    <x v="4"/>
    <x v="2"/>
    <x v="1"/>
    <n v="1203"/>
    <n v="2270"/>
  </r>
  <r>
    <s v="ORD-01379"/>
    <x v="169"/>
    <s v="CUST-0071"/>
    <s v="PROD-006"/>
    <s v="R029"/>
    <n v="9"/>
    <n v="3970"/>
    <n v="10.1"/>
    <n v="32121.27"/>
    <s v="Cancelled"/>
    <s v="Delhi"/>
    <x v="2"/>
    <x v="4"/>
    <x v="1"/>
    <n v="2865"/>
    <n v="3970"/>
  </r>
  <r>
    <s v="ORD-01380"/>
    <x v="23"/>
    <s v="CUST-0115"/>
    <s v="PROD-029"/>
    <s v="R014"/>
    <n v="6"/>
    <n v="2210"/>
    <n v="7.4"/>
    <n v="12278.76"/>
    <s v="Completed"/>
    <s v="Mumbai"/>
    <x v="3"/>
    <x v="2"/>
    <x v="3"/>
    <n v="1010"/>
    <n v="2210"/>
  </r>
  <r>
    <s v="ORD-01381"/>
    <x v="107"/>
    <s v="CUST-0258"/>
    <s v="PROD-041"/>
    <s v="R017"/>
    <n v="7"/>
    <n v="1540"/>
    <n v="20.6"/>
    <n v="8559.32"/>
    <s v="Completed"/>
    <s v="Pune"/>
    <x v="0"/>
    <x v="5"/>
    <x v="0"/>
    <n v="647"/>
    <n v="1540"/>
  </r>
  <r>
    <s v="ORD-01382"/>
    <x v="323"/>
    <s v="CUST-0290"/>
    <s v="PROD-039"/>
    <s v="R027"/>
    <n v="9"/>
    <n v="4610"/>
    <n v="2.1"/>
    <n v="40618.71"/>
    <s v="Completed"/>
    <s v="Delhi"/>
    <x v="2"/>
    <x v="3"/>
    <x v="1"/>
    <n v="1850"/>
    <n v="4610"/>
  </r>
  <r>
    <s v="ORD-01383"/>
    <x v="159"/>
    <s v="CUST-0279"/>
    <s v="PROD-006"/>
    <s v="R002"/>
    <n v="10"/>
    <n v="3970"/>
    <n v="13.3"/>
    <n v="34419.9"/>
    <s v="Pending"/>
    <s v="Mumbai"/>
    <x v="3"/>
    <x v="4"/>
    <x v="1"/>
    <n v="2865"/>
    <n v="3970"/>
  </r>
  <r>
    <s v="ORD-01384"/>
    <x v="166"/>
    <s v="CUST-0132"/>
    <s v="PROD-008"/>
    <s v="R008"/>
    <n v="8"/>
    <n v="2660"/>
    <n v="16.8"/>
    <n v="17704.96"/>
    <s v="Completed"/>
    <s v="Delhi"/>
    <x v="2"/>
    <x v="4"/>
    <x v="1"/>
    <n v="1259"/>
    <n v="2660"/>
  </r>
  <r>
    <s v="ORD-01385"/>
    <x v="90"/>
    <s v="CUST-0029"/>
    <s v="PROD-047"/>
    <s v="R021"/>
    <n v="6"/>
    <n v="3450"/>
    <n v="23.4"/>
    <n v="15856.2"/>
    <s v="Completed"/>
    <s v="Chennai"/>
    <x v="1"/>
    <x v="5"/>
    <x v="3"/>
    <n v="2420"/>
    <n v="3450"/>
  </r>
  <r>
    <s v="ORD-01386"/>
    <x v="356"/>
    <s v="CUST-0295"/>
    <s v="PROD-053"/>
    <s v="R007"/>
    <n v="10"/>
    <n v="470"/>
    <n v="21.2"/>
    <n v="3703.6"/>
    <s v="Completed"/>
    <s v="Delhi"/>
    <x v="2"/>
    <x v="1"/>
    <x v="3"/>
    <n v="302"/>
    <n v="470"/>
  </r>
  <r>
    <s v="ORD-00168"/>
    <x v="323"/>
    <s v="CUST-0106"/>
    <s v="PROD-059"/>
    <s v="R022"/>
    <n v="7"/>
    <n v="3780"/>
    <n v="10.1"/>
    <n v="23787.54"/>
    <s v="Completed"/>
    <s v="Pune"/>
    <x v="0"/>
    <x v="1"/>
    <x v="2"/>
    <n v="1860"/>
    <n v="3780"/>
  </r>
  <r>
    <s v="ORD-01388"/>
    <x v="258"/>
    <s v="CUST-0127"/>
    <s v="PROD-014"/>
    <s v="R027"/>
    <n v="3"/>
    <n v="3620"/>
    <n v="4.2"/>
    <n v="10403.879999999999"/>
    <s v="Completed"/>
    <s v="Bengaluru"/>
    <x v="4"/>
    <x v="0"/>
    <x v="0"/>
    <n v="2509"/>
    <n v="3620"/>
  </r>
  <r>
    <s v="ORD-01389"/>
    <x v="110"/>
    <s v="CUST-0031"/>
    <s v="PROD-049"/>
    <s v="R028"/>
    <n v="7"/>
    <n v="960"/>
    <n v="9"/>
    <n v="6115.2"/>
    <s v="Completed"/>
    <s v="Hyderabad"/>
    <x v="5"/>
    <x v="5"/>
    <x v="2"/>
    <n v="675"/>
    <n v="960"/>
  </r>
  <r>
    <s v="ORD-01390"/>
    <x v="112"/>
    <s v="CUST-0256"/>
    <s v="PROD-043"/>
    <s v="R007"/>
    <n v="10"/>
    <n v="3350"/>
    <n v="1.2"/>
    <n v="33098"/>
    <s v="Cancelled"/>
    <s v="Hyderabad"/>
    <x v="5"/>
    <x v="5"/>
    <x v="1"/>
    <n v="1728"/>
    <n v="3350"/>
  </r>
  <r>
    <s v="ORD-01391"/>
    <x v="321"/>
    <s v="CUST-0131"/>
    <s v="PROD-058"/>
    <s v="R030"/>
    <n v="3"/>
    <n v="2400"/>
    <n v="15.4"/>
    <n v="6091.2"/>
    <s v="Completed"/>
    <s v="Delhi"/>
    <x v="2"/>
    <x v="1"/>
    <x v="3"/>
    <n v="974"/>
    <n v="2400"/>
  </r>
  <r>
    <s v="ORD-01392"/>
    <x v="192"/>
    <s v="CUST-0270"/>
    <s v="PROD-055"/>
    <s v="R002"/>
    <n v="2"/>
    <n v="2860"/>
    <n v="10.5"/>
    <n v="5119.3999999999996"/>
    <s v="Completed"/>
    <s v="Bengaluru"/>
    <x v="4"/>
    <x v="1"/>
    <x v="0"/>
    <n v="2028"/>
    <n v="2860"/>
  </r>
  <r>
    <s v="ORD-01393"/>
    <x v="247"/>
    <s v="CUST-0212"/>
    <s v="PROD-042"/>
    <s v="R008"/>
    <n v="4"/>
    <n v="2290"/>
    <n v="5.9"/>
    <n v="8619.56"/>
    <s v="Completed"/>
    <s v="Chennai"/>
    <x v="1"/>
    <x v="5"/>
    <x v="0"/>
    <n v="1219"/>
    <n v="2290"/>
  </r>
  <r>
    <s v="ORD-01394"/>
    <x v="59"/>
    <s v="CUST-0216"/>
    <s v="PROD-001"/>
    <s v="R023"/>
    <n v="7"/>
    <n v="5330"/>
    <n v="3.5"/>
    <n v="36004.15"/>
    <s v="Cancelled"/>
    <s v="Mumbai"/>
    <x v="3"/>
    <x v="4"/>
    <x v="0"/>
    <n v="2405"/>
    <n v="5330"/>
  </r>
  <r>
    <s v="ORD-01395"/>
    <x v="65"/>
    <s v="CUST-0189"/>
    <s v="PROD-013"/>
    <s v="R018"/>
    <n v="10"/>
    <n v="3640"/>
    <n v="20.100000000000001"/>
    <n v="29083.599999999999"/>
    <s v="Completed"/>
    <s v="Chennai"/>
    <x v="1"/>
    <x v="0"/>
    <x v="3"/>
    <n v="2611"/>
    <n v="3640"/>
  </r>
  <r>
    <s v="ORD-01396"/>
    <x v="142"/>
    <s v="CUST-0064"/>
    <s v="PROD-034"/>
    <s v="R024"/>
    <n v="10"/>
    <n v="5080"/>
    <n v="2.1"/>
    <n v="49733.2"/>
    <s v="Completed"/>
    <s v="Hyderabad"/>
    <x v="5"/>
    <x v="3"/>
    <x v="0"/>
    <n v="2459"/>
    <n v="5080"/>
  </r>
  <r>
    <s v="ORD-01397"/>
    <x v="25"/>
    <s v="CUST-0016"/>
    <s v="PROD-035"/>
    <s v="R018"/>
    <n v="4"/>
    <n v="1090"/>
    <n v="18.5"/>
    <n v="3553.4"/>
    <s v="Refunded"/>
    <s v="Delhi"/>
    <x v="2"/>
    <x v="3"/>
    <x v="0"/>
    <n v="464"/>
    <n v="1090"/>
  </r>
  <r>
    <s v="ORD-01398"/>
    <x v="218"/>
    <s v="CUST-0296"/>
    <s v="PROD-047"/>
    <s v="R030"/>
    <n v="10"/>
    <n v="3450"/>
    <n v="26.5"/>
    <n v="25357.5"/>
    <s v="Refunded"/>
    <s v="Delhi"/>
    <x v="2"/>
    <x v="5"/>
    <x v="3"/>
    <n v="2420"/>
    <n v="3450"/>
  </r>
  <r>
    <s v="ORD-01399"/>
    <x v="64"/>
    <s v="CUST-0031"/>
    <s v="PROD-052"/>
    <s v="R009"/>
    <n v="9"/>
    <n v="5410"/>
    <n v="11.5"/>
    <n v="43090.65"/>
    <s v="Completed"/>
    <s v="Hyderabad"/>
    <x v="5"/>
    <x v="1"/>
    <x v="3"/>
    <n v="2265"/>
    <n v="5410"/>
  </r>
  <r>
    <s v="ORD-01400"/>
    <x v="338"/>
    <s v="CUST-0207"/>
    <s v="PROD-011"/>
    <s v="R030"/>
    <n v="9"/>
    <n v="3450"/>
    <n v="0.3"/>
    <n v="30956.85"/>
    <s v="Refunded"/>
    <s v="Hyderabad"/>
    <x v="5"/>
    <x v="0"/>
    <x v="0"/>
    <n v="1748"/>
    <n v="3450"/>
  </r>
  <r>
    <s v="ORD-01401"/>
    <x v="105"/>
    <s v="CUST-0165"/>
    <s v="PROD-012"/>
    <s v="R025"/>
    <n v="10"/>
    <n v="3160"/>
    <n v="13.6"/>
    <n v="27302.400000000001"/>
    <s v="Completed"/>
    <s v="Pune"/>
    <x v="0"/>
    <x v="0"/>
    <x v="3"/>
    <n v="1886"/>
    <n v="3160"/>
  </r>
  <r>
    <s v="ORD-01402"/>
    <x v="301"/>
    <s v="CUST-0281"/>
    <s v="PROD-041"/>
    <s v="R026"/>
    <n v="3"/>
    <n v="1540"/>
    <n v="21.2"/>
    <n v="3640.56"/>
    <s v="Completed"/>
    <s v="Bengaluru"/>
    <x v="4"/>
    <x v="5"/>
    <x v="3"/>
    <n v="647"/>
    <n v="1540"/>
  </r>
  <r>
    <s v="ORD-01403"/>
    <x v="73"/>
    <s v="CUST-0018"/>
    <s v="PROD-013"/>
    <s v="R022"/>
    <n v="5"/>
    <n v="3640"/>
    <n v="17.5"/>
    <n v="15015"/>
    <s v="Completed"/>
    <s v="Pune"/>
    <x v="0"/>
    <x v="0"/>
    <x v="1"/>
    <n v="2611"/>
    <n v="3640"/>
  </r>
  <r>
    <s v="ORD-01404"/>
    <x v="272"/>
    <s v="CUST-0204"/>
    <s v="PROD-059"/>
    <s v="R002"/>
    <n v="4"/>
    <n v="3780"/>
    <n v="9"/>
    <n v="13759.2"/>
    <s v="Pending"/>
    <s v="Hyderabad"/>
    <x v="5"/>
    <x v="1"/>
    <x v="1"/>
    <n v="1860"/>
    <n v="3780"/>
  </r>
  <r>
    <s v="ORD-01405"/>
    <x v="357"/>
    <s v="CUST-0028"/>
    <s v="PROD-015"/>
    <s v="R025"/>
    <n v="9"/>
    <n v="2720"/>
    <n v="8.9"/>
    <n v="22301.279999999999"/>
    <s v="Completed"/>
    <s v="Bengaluru"/>
    <x v="4"/>
    <x v="0"/>
    <x v="0"/>
    <n v="1962"/>
    <n v="2720"/>
  </r>
  <r>
    <s v="ORD-01406"/>
    <x v="83"/>
    <s v="CUST-0144"/>
    <s v="PROD-014"/>
    <s v="R004"/>
    <n v="4"/>
    <n v="3620"/>
    <n v="8"/>
    <n v="13321.6"/>
    <s v="Pending"/>
    <s v="Chennai"/>
    <x v="1"/>
    <x v="0"/>
    <x v="2"/>
    <n v="2509"/>
    <n v="3620"/>
  </r>
  <r>
    <s v="ORD-01407"/>
    <x v="354"/>
    <s v="CUST-0043"/>
    <s v="PROD-011"/>
    <s v="R004"/>
    <n v="1"/>
    <n v="3450"/>
    <n v="0.2"/>
    <n v="3443.1"/>
    <s v="Completed"/>
    <s v="Hyderabad"/>
    <x v="5"/>
    <x v="0"/>
    <x v="2"/>
    <n v="1748"/>
    <n v="3450"/>
  </r>
  <r>
    <s v="ORD-01408"/>
    <x v="93"/>
    <s v="CUST-0246"/>
    <s v="PROD-013"/>
    <s v="R014"/>
    <n v="7"/>
    <n v="3640"/>
    <n v="4.5999999999999996"/>
    <n v="24307.919999999998"/>
    <s v="Completed"/>
    <s v="Delhi"/>
    <x v="2"/>
    <x v="0"/>
    <x v="2"/>
    <n v="2611"/>
    <n v="3640"/>
  </r>
  <r>
    <s v="ORD-01409"/>
    <x v="318"/>
    <s v="CUST-0156"/>
    <s v="PROD-016"/>
    <s v="R023"/>
    <n v="9"/>
    <n v="620"/>
    <n v="8.5"/>
    <n v="5105.7"/>
    <s v="Completed"/>
    <s v="Mumbai"/>
    <x v="3"/>
    <x v="0"/>
    <x v="1"/>
    <n v="396"/>
    <n v="620"/>
  </r>
  <r>
    <s v="ORD-01410"/>
    <x v="318"/>
    <s v="CUST-0066"/>
    <s v="PROD-059"/>
    <s v="R016"/>
    <n v="10"/>
    <n v="3780"/>
    <n v="5.8"/>
    <n v="35607.599999999999"/>
    <s v="Completed"/>
    <s v="Delhi"/>
    <x v="2"/>
    <x v="1"/>
    <x v="3"/>
    <n v="1860"/>
    <n v="3780"/>
  </r>
  <r>
    <s v="ORD-01411"/>
    <x v="79"/>
    <s v="CUST-0121"/>
    <s v="PROD-003"/>
    <s v="R009"/>
    <n v="7"/>
    <n v="3570"/>
    <n v="26.1"/>
    <n v="18467.61"/>
    <s v="Completed"/>
    <s v="Delhi"/>
    <x v="2"/>
    <x v="4"/>
    <x v="0"/>
    <n v="1665"/>
    <n v="3570"/>
  </r>
  <r>
    <s v="ORD-01412"/>
    <x v="141"/>
    <s v="CUST-0066"/>
    <s v="PROD-044"/>
    <s v="R002"/>
    <n v="2"/>
    <n v="1650"/>
    <n v="3.8"/>
    <n v="3174.6"/>
    <s v="Completed"/>
    <s v="Delhi"/>
    <x v="2"/>
    <x v="5"/>
    <x v="3"/>
    <n v="1222"/>
    <n v="1650"/>
  </r>
  <r>
    <s v="ORD-01413"/>
    <x v="63"/>
    <s v="CUST-0099"/>
    <s v="PROD-049"/>
    <s v="R012"/>
    <n v="2"/>
    <n v="960"/>
    <n v="6.8"/>
    <n v="1789.44"/>
    <s v="Completed"/>
    <s v="Bengaluru"/>
    <x v="4"/>
    <x v="5"/>
    <x v="2"/>
    <n v="675"/>
    <n v="960"/>
  </r>
  <r>
    <s v="ORD-01414"/>
    <x v="351"/>
    <s v="CUST-0054"/>
    <s v="PROD-005"/>
    <s v="R006"/>
    <n v="2"/>
    <n v="300"/>
    <n v="2.8"/>
    <n v="583.20000000000005"/>
    <s v="Completed"/>
    <s v="Mumbai"/>
    <x v="3"/>
    <x v="4"/>
    <x v="0"/>
    <n v="128"/>
    <n v="300"/>
  </r>
  <r>
    <s v="ORD-01415"/>
    <x v="230"/>
    <s v="CUST-0124"/>
    <s v="PROD-025"/>
    <s v="R027"/>
    <n v="10"/>
    <n v="4060"/>
    <n v="15.1"/>
    <n v="34469.4"/>
    <s v="Completed"/>
    <s v="Pune"/>
    <x v="0"/>
    <x v="2"/>
    <x v="1"/>
    <n v="2911"/>
    <n v="4060"/>
  </r>
  <r>
    <s v="ORD-01416"/>
    <x v="153"/>
    <s v="CUST-0211"/>
    <s v="PROD-001"/>
    <s v="R022"/>
    <n v="6"/>
    <n v="5330"/>
    <n v="2"/>
    <n v="31340.400000000001"/>
    <s v="Completed"/>
    <s v="Bengaluru"/>
    <x v="4"/>
    <x v="4"/>
    <x v="2"/>
    <n v="2405"/>
    <n v="5330"/>
  </r>
  <r>
    <s v="ORD-01417"/>
    <x v="160"/>
    <s v="CUST-0298"/>
    <s v="PROD-031"/>
    <s v="R021"/>
    <n v="9"/>
    <n v="3730"/>
    <n v="24.5"/>
    <n v="25345.35"/>
    <s v="Refunded"/>
    <s v="Delhi"/>
    <x v="2"/>
    <x v="3"/>
    <x v="0"/>
    <n v="2135"/>
    <n v="3730"/>
  </r>
  <r>
    <s v="ORD-01418"/>
    <x v="4"/>
    <s v="CUST-0164"/>
    <s v="PROD-050"/>
    <s v="R030"/>
    <n v="1"/>
    <n v="6080"/>
    <n v="4.4000000000000004"/>
    <n v="5812.48"/>
    <s v="Cancelled"/>
    <s v="Chennai"/>
    <x v="1"/>
    <x v="5"/>
    <x v="1"/>
    <n v="2617"/>
    <n v="6080"/>
  </r>
  <r>
    <s v="ORD-01419"/>
    <x v="111"/>
    <s v="CUST-0003"/>
    <s v="PROD-015"/>
    <s v="R025"/>
    <n v="5"/>
    <n v="2720"/>
    <n v="9.1999999999999993"/>
    <n v="12348.8"/>
    <s v="Completed"/>
    <s v="Mumbai"/>
    <x v="3"/>
    <x v="0"/>
    <x v="1"/>
    <n v="1962"/>
    <n v="2720"/>
  </r>
  <r>
    <s v="ORD-01420"/>
    <x v="334"/>
    <s v="CUST-0239"/>
    <s v="PROD-011"/>
    <s v="R023"/>
    <n v="1"/>
    <n v="3450"/>
    <n v="15.6"/>
    <n v="2911.8"/>
    <s v="Completed"/>
    <s v="Mumbai"/>
    <x v="3"/>
    <x v="0"/>
    <x v="0"/>
    <n v="1748"/>
    <n v="3450"/>
  </r>
  <r>
    <s v="ORD-01421"/>
    <x v="285"/>
    <s v="CUST-0116"/>
    <s v="PROD-035"/>
    <s v="R022"/>
    <n v="2"/>
    <n v="1090"/>
    <n v="0.4"/>
    <n v="2171.2800000000002"/>
    <s v="Refunded"/>
    <s v="Bengaluru"/>
    <x v="4"/>
    <x v="3"/>
    <x v="1"/>
    <n v="464"/>
    <n v="1090"/>
  </r>
  <r>
    <s v="ORD-01422"/>
    <x v="175"/>
    <s v="CUST-0232"/>
    <s v="PROD-003"/>
    <s v="R017"/>
    <n v="2"/>
    <n v="3570"/>
    <n v="9"/>
    <n v="6497.4"/>
    <s v="Completed"/>
    <s v="Hyderabad"/>
    <x v="5"/>
    <x v="4"/>
    <x v="2"/>
    <n v="1665"/>
    <n v="3570"/>
  </r>
  <r>
    <s v="ORD-01423"/>
    <x v="352"/>
    <s v="CUST-0121"/>
    <s v="PROD-019"/>
    <s v="R014"/>
    <n v="9"/>
    <n v="2480"/>
    <n v="3.6"/>
    <n v="21516.48"/>
    <s v="Pending"/>
    <s v="Delhi"/>
    <x v="2"/>
    <x v="0"/>
    <x v="1"/>
    <n v="1173"/>
    <n v="2480"/>
  </r>
  <r>
    <s v="ORD-01424"/>
    <x v="291"/>
    <s v="CUST-0178"/>
    <s v="PROD-027"/>
    <s v="R022"/>
    <n v="9"/>
    <n v="3780"/>
    <n v="4.5"/>
    <n v="32489.1"/>
    <s v="Completed"/>
    <s v="Hyderabad"/>
    <x v="5"/>
    <x v="2"/>
    <x v="3"/>
    <n v="2436"/>
    <n v="3780"/>
  </r>
  <r>
    <s v="ORD-01425"/>
    <x v="252"/>
    <s v="CUST-0131"/>
    <s v="PROD-025"/>
    <s v="R010"/>
    <n v="5"/>
    <n v="4060"/>
    <n v="2.7"/>
    <n v="19751.900000000001"/>
    <s v="Completed"/>
    <s v="Delhi"/>
    <x v="2"/>
    <x v="2"/>
    <x v="1"/>
    <n v="2911"/>
    <n v="4060"/>
  </r>
  <r>
    <s v="ORD-01426"/>
    <x v="148"/>
    <s v="CUST-0155"/>
    <s v="PROD-005"/>
    <s v="R002"/>
    <n v="8"/>
    <n v="300"/>
    <n v="19.8"/>
    <n v="1924.8"/>
    <s v="Cancelled"/>
    <s v="Pune"/>
    <x v="0"/>
    <x v="4"/>
    <x v="0"/>
    <n v="128"/>
    <n v="300"/>
  </r>
  <r>
    <s v="ORD-01427"/>
    <x v="253"/>
    <s v="CUST-0170"/>
    <s v="PROD-036"/>
    <s v="R002"/>
    <n v="10"/>
    <n v="3250"/>
    <n v="21.3"/>
    <n v="25577.5"/>
    <s v="Cancelled"/>
    <s v="Mumbai"/>
    <x v="3"/>
    <x v="3"/>
    <x v="1"/>
    <n v="1556"/>
    <n v="3250"/>
  </r>
  <r>
    <s v="ORD-01428"/>
    <x v="48"/>
    <s v="CUST-0180"/>
    <s v="PROD-055"/>
    <s v="R009"/>
    <n v="2"/>
    <n v="2860"/>
    <n v="13.7"/>
    <n v="4936.3599999999997"/>
    <s v="Completed"/>
    <s v="Chennai"/>
    <x v="1"/>
    <x v="1"/>
    <x v="3"/>
    <n v="2028"/>
    <n v="2860"/>
  </r>
  <r>
    <s v="ORD-01429"/>
    <x v="271"/>
    <s v="CUST-0066"/>
    <s v="PROD-009"/>
    <s v="R017"/>
    <n v="10"/>
    <n v="1220"/>
    <n v="15.4"/>
    <n v="10321.200000000001"/>
    <s v="Completed"/>
    <s v="Delhi"/>
    <x v="2"/>
    <x v="4"/>
    <x v="1"/>
    <n v="517"/>
    <n v="1220"/>
  </r>
  <r>
    <s v="ORD-01430"/>
    <x v="96"/>
    <s v="CUST-0267"/>
    <s v="PROD-027"/>
    <s v="R010"/>
    <n v="3"/>
    <n v="3780"/>
    <n v="1.9"/>
    <n v="11124.54"/>
    <s v="Completed"/>
    <s v="Hyderabad"/>
    <x v="5"/>
    <x v="2"/>
    <x v="0"/>
    <n v="2436"/>
    <n v="3780"/>
  </r>
  <r>
    <s v="ORD-01431"/>
    <x v="133"/>
    <s v="CUST-0034"/>
    <s v="PROD-038"/>
    <s v="R018"/>
    <n v="6"/>
    <n v="5490"/>
    <n v="0.5"/>
    <n v="32775.300000000003"/>
    <s v="Pending"/>
    <s v="Delhi"/>
    <x v="2"/>
    <x v="3"/>
    <x v="3"/>
    <n v="2549"/>
    <n v="5490"/>
  </r>
  <r>
    <s v="ORD-01432"/>
    <x v="185"/>
    <s v="CUST-0029"/>
    <s v="PROD-022"/>
    <s v="R029"/>
    <n v="6"/>
    <n v="2270"/>
    <n v="21.5"/>
    <n v="10691.7"/>
    <s v="Completed"/>
    <s v="Chennai"/>
    <x v="1"/>
    <x v="2"/>
    <x v="2"/>
    <n v="1412"/>
    <n v="2270"/>
  </r>
  <r>
    <s v="ORD-01433"/>
    <x v="77"/>
    <s v="CUST-0224"/>
    <s v="PROD-029"/>
    <s v="R023"/>
    <n v="7"/>
    <n v="2210"/>
    <n v="10.3"/>
    <n v="13876.59"/>
    <s v="Completed"/>
    <s v="Chennai"/>
    <x v="1"/>
    <x v="2"/>
    <x v="1"/>
    <n v="1010"/>
    <n v="2210"/>
  </r>
  <r>
    <s v="ORD-01434"/>
    <x v="150"/>
    <s v="CUST-9889"/>
    <s v="PROD-035"/>
    <s v="R009"/>
    <n v="8"/>
    <n v="1090"/>
    <n v="21.7"/>
    <n v="6827.76"/>
    <s v="Completed"/>
    <s v="Pune"/>
    <x v="0"/>
    <x v="3"/>
    <x v="1"/>
    <n v="464"/>
    <n v="1090"/>
  </r>
  <r>
    <s v="ORD-01435"/>
    <x v="311"/>
    <s v="CUST-0130"/>
    <s v="PROD-018"/>
    <s v="R002"/>
    <n v="5"/>
    <n v="3560"/>
    <n v="19.399999999999999"/>
    <n v="14346.8"/>
    <s v="Pending"/>
    <s v="Bengaluru"/>
    <x v="4"/>
    <x v="0"/>
    <x v="3"/>
    <n v="2629"/>
    <n v="3560"/>
  </r>
  <r>
    <s v="ORD-01436"/>
    <x v="358"/>
    <s v="CUST-0060"/>
    <s v="PROD-054"/>
    <s v="R028"/>
    <n v="7"/>
    <n v="1010"/>
    <n v="28.2"/>
    <n v="5076.26"/>
    <s v="Completed"/>
    <s v="Pune"/>
    <x v="0"/>
    <x v="1"/>
    <x v="1"/>
    <n v="516"/>
    <n v="1010"/>
  </r>
  <r>
    <s v="ORD-01437"/>
    <x v="19"/>
    <s v="CUST-0299"/>
    <s v="PROD-033"/>
    <s v="R015"/>
    <n v="2"/>
    <n v="2030"/>
    <n v="27.3"/>
    <n v="2951.62"/>
    <s v="Refunded"/>
    <s v="Mumbai"/>
    <x v="3"/>
    <x v="3"/>
    <x v="0"/>
    <n v="1143"/>
    <n v="2030"/>
  </r>
  <r>
    <s v="ORD-01438"/>
    <x v="154"/>
    <s v="CUST-0013"/>
    <s v="PROD-001"/>
    <s v="R012"/>
    <n v="6"/>
    <n v="5330"/>
    <n v="0.6"/>
    <n v="31788.12"/>
    <s v="Completed"/>
    <s v="Delhi"/>
    <x v="2"/>
    <x v="4"/>
    <x v="0"/>
    <n v="2405"/>
    <n v="5330"/>
  </r>
  <r>
    <s v="ORD-01439"/>
    <x v="282"/>
    <s v="CUST-0193"/>
    <s v="PROD-010"/>
    <s v="R007"/>
    <n v="2"/>
    <n v="2640"/>
    <n v="26"/>
    <n v="3907.2"/>
    <s v="Pending"/>
    <s v="Bengaluru"/>
    <x v="4"/>
    <x v="4"/>
    <x v="3"/>
    <n v="1149"/>
    <n v="2640"/>
  </r>
  <r>
    <s v="ORD-01440"/>
    <x v="130"/>
    <s v="CUST-0170"/>
    <s v="PROD-008"/>
    <s v="R012"/>
    <n v="8"/>
    <n v="2660"/>
    <n v="2.9"/>
    <n v="20662.88"/>
    <s v="Completed"/>
    <s v="Mumbai"/>
    <x v="3"/>
    <x v="4"/>
    <x v="3"/>
    <n v="1259"/>
    <n v="2660"/>
  </r>
  <r>
    <s v="ORD-01441"/>
    <x v="69"/>
    <s v="CUST-0063"/>
    <s v="PROD-036"/>
    <s v="R023"/>
    <n v="6"/>
    <n v="3250"/>
    <n v="11.1"/>
    <n v="17335.5"/>
    <s v="Completed"/>
    <s v="Mumbai"/>
    <x v="3"/>
    <x v="3"/>
    <x v="3"/>
    <n v="1556"/>
    <n v="3250"/>
  </r>
  <r>
    <s v="ORD-01442"/>
    <x v="246"/>
    <s v="CUST-0168"/>
    <s v="PROD-029"/>
    <s v="R004"/>
    <n v="1"/>
    <n v="2210"/>
    <n v="3.5"/>
    <n v="2132.65"/>
    <s v="Completed"/>
    <s v="Pune"/>
    <x v="0"/>
    <x v="2"/>
    <x v="2"/>
    <n v="1010"/>
    <n v="2210"/>
  </r>
  <r>
    <s v="ORD-01443"/>
    <x v="39"/>
    <s v="CUST-0124"/>
    <s v="PROD-032"/>
    <s v="R019"/>
    <n v="9"/>
    <n v="370"/>
    <n v="12.4"/>
    <n v="2917.08"/>
    <s v="Completed"/>
    <s v="Pune"/>
    <x v="0"/>
    <x v="3"/>
    <x v="1"/>
    <n v="288"/>
    <n v="370"/>
  </r>
  <r>
    <s v="ORD-01444"/>
    <x v="99"/>
    <s v="CUST-0138"/>
    <s v="PROD-059"/>
    <s v="R022"/>
    <n v="3"/>
    <n v="3780"/>
    <n v="8.5"/>
    <n v="10376.1"/>
    <s v="Pending"/>
    <s v="Chennai"/>
    <x v="1"/>
    <x v="1"/>
    <x v="1"/>
    <n v="1860"/>
    <n v="3780"/>
  </r>
  <r>
    <s v="ORD-01445"/>
    <x v="245"/>
    <s v="CUST-0146"/>
    <s v="PROD-054"/>
    <s v="R002"/>
    <n v="2"/>
    <n v="1010"/>
    <n v="2.7"/>
    <n v="1965.46"/>
    <s v="Completed"/>
    <s v="Hyderabad"/>
    <x v="5"/>
    <x v="1"/>
    <x v="0"/>
    <n v="516"/>
    <n v="1010"/>
  </r>
  <r>
    <s v="ORD-01446"/>
    <x v="167"/>
    <s v="CUST-0244"/>
    <s v="PROD-020"/>
    <s v="R012"/>
    <n v="2"/>
    <n v="820"/>
    <n v="13.2"/>
    <n v="1423.52"/>
    <s v="Pending"/>
    <s v="Bengaluru"/>
    <x v="4"/>
    <x v="0"/>
    <x v="0"/>
    <n v="391"/>
    <n v="820"/>
  </r>
  <r>
    <s v="ORD-01447"/>
    <x v="337"/>
    <s v="CUST-0291"/>
    <s v="PROD-028"/>
    <s v="R012"/>
    <n v="1"/>
    <n v="3660"/>
    <n v="14"/>
    <n v="3147.6"/>
    <s v="Refunded"/>
    <s v="Pune"/>
    <x v="0"/>
    <x v="2"/>
    <x v="2"/>
    <n v="2214"/>
    <n v="3660"/>
  </r>
  <r>
    <s v="ORD-01448"/>
    <x v="130"/>
    <s v="CUST-0222"/>
    <s v="PROD-022"/>
    <s v="R017"/>
    <n v="6"/>
    <n v="2270"/>
    <n v="16"/>
    <n v="11440.8"/>
    <s v="Completed"/>
    <s v="Chennai"/>
    <x v="1"/>
    <x v="2"/>
    <x v="1"/>
    <n v="1412"/>
    <n v="2270"/>
  </r>
  <r>
    <s v="ORD-01449"/>
    <x v="311"/>
    <s v="CUST-0137"/>
    <s v="PROD-049"/>
    <s v="R019"/>
    <n v="7"/>
    <n v="960"/>
    <n v="28.8"/>
    <n v="4784.6400000000003"/>
    <s v="Refunded"/>
    <s v="Mumbai"/>
    <x v="3"/>
    <x v="5"/>
    <x v="1"/>
    <n v="675"/>
    <n v="960"/>
  </r>
  <r>
    <s v="ORD-01450"/>
    <x v="218"/>
    <s v="CUST-0150"/>
    <s v="PROD-033"/>
    <s v="R025"/>
    <n v="9"/>
    <n v="2030"/>
    <n v="3.4"/>
    <n v="17648.82"/>
    <s v="Completed"/>
    <s v="Pune"/>
    <x v="0"/>
    <x v="3"/>
    <x v="0"/>
    <n v="1143"/>
    <n v="2030"/>
  </r>
  <r>
    <s v="ORD-01451"/>
    <x v="193"/>
    <s v="CUST-0058"/>
    <s v="PROD-023"/>
    <s v="R005"/>
    <n v="6"/>
    <n v="2380"/>
    <n v="13.2"/>
    <n v="12395.04"/>
    <s v="Completed"/>
    <s v="Bengaluru"/>
    <x v="4"/>
    <x v="2"/>
    <x v="3"/>
    <n v="1182"/>
    <n v="2380"/>
  </r>
  <r>
    <s v="ORD-01452"/>
    <x v="231"/>
    <s v="CUST-0187"/>
    <s v="PROD-047"/>
    <s v="R009"/>
    <n v="10"/>
    <n v="3450"/>
    <n v="8.6999999999999993"/>
    <n v="31498.5"/>
    <s v="Completed"/>
    <s v="Chennai"/>
    <x v="1"/>
    <x v="5"/>
    <x v="1"/>
    <n v="2420"/>
    <n v="3450"/>
  </r>
  <r>
    <s v="ORD-01453"/>
    <x v="173"/>
    <s v="CUST-0116"/>
    <s v="PROD-049"/>
    <s v="R021"/>
    <n v="6"/>
    <n v="960"/>
    <n v="20.6"/>
    <n v="4573.4399999999996"/>
    <s v="Pending"/>
    <s v="Bengaluru"/>
    <x v="4"/>
    <x v="5"/>
    <x v="0"/>
    <n v="675"/>
    <n v="960"/>
  </r>
  <r>
    <s v="ORD-01454"/>
    <x v="123"/>
    <s v="CUST-0290"/>
    <s v="PROD-018"/>
    <s v="R013"/>
    <n v="10"/>
    <n v="3560"/>
    <n v="1.4"/>
    <n v="35101.599999999999"/>
    <s v="Pending"/>
    <s v="Delhi"/>
    <x v="2"/>
    <x v="0"/>
    <x v="0"/>
    <n v="2629"/>
    <n v="3560"/>
  </r>
  <r>
    <s v="ORD-01455"/>
    <x v="20"/>
    <s v="CUST-0053"/>
    <s v="PROD-015"/>
    <s v="R014"/>
    <n v="4"/>
    <n v="2720"/>
    <n v="19.399999999999999"/>
    <n v="8769.2800000000007"/>
    <s v="Refunded"/>
    <s v="Delhi"/>
    <x v="2"/>
    <x v="0"/>
    <x v="2"/>
    <n v="1962"/>
    <n v="2720"/>
  </r>
  <r>
    <s v="ORD-01456"/>
    <x v="86"/>
    <s v="CUST-0044"/>
    <s v="PROD-009"/>
    <s v="R029"/>
    <n v="5"/>
    <n v="1220"/>
    <n v="15.6"/>
    <n v="5148.3999999999996"/>
    <s v="Completed"/>
    <s v="Hyderabad"/>
    <x v="5"/>
    <x v="4"/>
    <x v="3"/>
    <n v="517"/>
    <n v="1220"/>
  </r>
  <r>
    <s v="ORD-01457"/>
    <x v="234"/>
    <s v="CUST-0267"/>
    <s v="PROD-035"/>
    <s v="R026"/>
    <n v="5"/>
    <n v="1090"/>
    <n v="15"/>
    <n v="4632.5"/>
    <s v="Completed"/>
    <s v="Hyderabad"/>
    <x v="5"/>
    <x v="3"/>
    <x v="0"/>
    <n v="464"/>
    <n v="1090"/>
  </r>
  <r>
    <s v="ORD-01458"/>
    <x v="221"/>
    <s v="CUST-0179"/>
    <s v="PROD-032"/>
    <s v="R029"/>
    <n v="9"/>
    <n v="370"/>
    <n v="25.4"/>
    <n v="2484.1799999999998"/>
    <s v="Completed"/>
    <s v="Mumbai"/>
    <x v="3"/>
    <x v="3"/>
    <x v="0"/>
    <n v="288"/>
    <n v="370"/>
  </r>
  <r>
    <s v="ORD-01459"/>
    <x v="145"/>
    <s v="CUST-0089"/>
    <s v="PROD-055"/>
    <s v="R007"/>
    <n v="7"/>
    <n v="2860"/>
    <n v="14"/>
    <n v="17217.2"/>
    <s v="Completed"/>
    <s v="Mumbai"/>
    <x v="3"/>
    <x v="1"/>
    <x v="0"/>
    <n v="2028"/>
    <n v="2860"/>
  </r>
  <r>
    <s v="ORD-01460"/>
    <x v="156"/>
    <s v="CUST-0090"/>
    <s v="PROD-029"/>
    <s v="R026"/>
    <n v="1"/>
    <n v="2210"/>
    <n v="1.7"/>
    <n v="2172.4299999999998"/>
    <s v="Completed"/>
    <s v="Bengaluru"/>
    <x v="4"/>
    <x v="2"/>
    <x v="0"/>
    <n v="1010"/>
    <n v="2210"/>
  </r>
  <r>
    <s v="ORD-01461"/>
    <x v="241"/>
    <s v="CUST-0135"/>
    <s v="PROD-030"/>
    <s v="R025"/>
    <n v="3"/>
    <n v="970"/>
    <n v="20.3"/>
    <n v="2319.27"/>
    <s v="Pending"/>
    <s v="Pune"/>
    <x v="0"/>
    <x v="2"/>
    <x v="2"/>
    <n v="434"/>
    <n v="970"/>
  </r>
  <r>
    <s v="ORD-01462"/>
    <x v="233"/>
    <s v="CUST-0252"/>
    <s v="PROD-018"/>
    <s v="R021"/>
    <n v="5"/>
    <n v="3560"/>
    <n v="17.100000000000001"/>
    <n v="14756.2"/>
    <s v="Completed"/>
    <s v="Bengaluru"/>
    <x v="4"/>
    <x v="0"/>
    <x v="0"/>
    <n v="2629"/>
    <n v="3560"/>
  </r>
  <r>
    <s v="ORD-01463"/>
    <x v="244"/>
    <s v="CUST-0086"/>
    <s v="PROD-040"/>
    <s v="R023"/>
    <n v="10"/>
    <n v="1080"/>
    <n v="12.8"/>
    <n v="9417.6"/>
    <s v="Completed"/>
    <s v="Hyderabad"/>
    <x v="5"/>
    <x v="3"/>
    <x v="0"/>
    <n v="519"/>
    <n v="1080"/>
  </r>
  <r>
    <s v="ORD-01464"/>
    <x v="258"/>
    <s v="CUST-0264"/>
    <s v="PROD-009"/>
    <s v="R011"/>
    <n v="3"/>
    <n v="1220"/>
    <n v="1.9"/>
    <n v="3590.46"/>
    <s v="Completed"/>
    <s v="Pune"/>
    <x v="0"/>
    <x v="4"/>
    <x v="2"/>
    <n v="517"/>
    <n v="1220"/>
  </r>
  <r>
    <s v="ORD-01465"/>
    <x v="319"/>
    <s v="CUST-9851"/>
    <s v="PROD-031"/>
    <s v="R009"/>
    <n v="1"/>
    <n v="3730"/>
    <n v="14.7"/>
    <n v="3181.69"/>
    <s v="Pending"/>
    <s v="Pune"/>
    <x v="0"/>
    <x v="3"/>
    <x v="2"/>
    <n v="2135"/>
    <n v="3730"/>
  </r>
  <r>
    <s v="ORD-01466"/>
    <x v="108"/>
    <s v="CUST-0143"/>
    <s v="PROD-007"/>
    <s v="R001"/>
    <n v="3"/>
    <n v="1430"/>
    <n v="13.2"/>
    <n v="3723.72"/>
    <s v="Completed"/>
    <s v="Chennai"/>
    <x v="1"/>
    <x v="4"/>
    <x v="0"/>
    <n v="861"/>
    <n v="1430"/>
  </r>
  <r>
    <s v="ORD-01467"/>
    <x v="3"/>
    <s v="CUST-0086"/>
    <s v="PROD-050"/>
    <s v="R018"/>
    <n v="2"/>
    <n v="6080"/>
    <n v="21.8"/>
    <n v="9509.1200000000008"/>
    <s v="Cancelled"/>
    <s v="Hyderabad"/>
    <x v="5"/>
    <x v="5"/>
    <x v="1"/>
    <n v="2617"/>
    <n v="6080"/>
  </r>
  <r>
    <s v="ORD-01468"/>
    <x v="30"/>
    <s v="CUST-0196"/>
    <s v="PROD-048"/>
    <s v="R015"/>
    <n v="9"/>
    <n v="5100"/>
    <n v="29.3"/>
    <n v="32451.3"/>
    <s v="Completed"/>
    <s v="Chennai"/>
    <x v="1"/>
    <x v="5"/>
    <x v="0"/>
    <n v="2237"/>
    <n v="5100"/>
  </r>
  <r>
    <s v="ORD-01469"/>
    <x v="75"/>
    <s v="CUST-0089"/>
    <s v="PROD-011"/>
    <s v="R014"/>
    <n v="5"/>
    <n v="3450"/>
    <n v="5.3"/>
    <n v="16335.75"/>
    <s v="Completed"/>
    <s v="Mumbai"/>
    <x v="3"/>
    <x v="0"/>
    <x v="0"/>
    <n v="1748"/>
    <n v="3450"/>
  </r>
  <r>
    <s v="ORD-01470"/>
    <x v="215"/>
    <s v="CUST-0149"/>
    <s v="PROD-003"/>
    <s v="R002"/>
    <n v="6"/>
    <n v="3570"/>
    <n v="17.3"/>
    <n v="17714.34"/>
    <s v="Completed"/>
    <s v="Hyderabad"/>
    <x v="5"/>
    <x v="4"/>
    <x v="2"/>
    <n v="1665"/>
    <n v="3570"/>
  </r>
  <r>
    <s v="ORD-01471"/>
    <x v="328"/>
    <s v="CUST-0161"/>
    <s v="PROD-031"/>
    <s v="R018"/>
    <n v="6"/>
    <n v="3730"/>
    <n v="1"/>
    <n v="22156.2"/>
    <s v="Completed"/>
    <s v="Chennai"/>
    <x v="1"/>
    <x v="3"/>
    <x v="1"/>
    <n v="2135"/>
    <n v="3730"/>
  </r>
  <r>
    <s v="ORD-01472"/>
    <x v="182"/>
    <s v="CUST-0022"/>
    <s v="PROD-059"/>
    <s v="R019"/>
    <n v="4"/>
    <n v="3780"/>
    <n v="13.1"/>
    <n v="13139.28"/>
    <s v="Completed"/>
    <s v="Bengaluru"/>
    <x v="4"/>
    <x v="1"/>
    <x v="1"/>
    <n v="1860"/>
    <n v="3780"/>
  </r>
  <r>
    <s v="ORD-01473"/>
    <x v="187"/>
    <s v="CUST-0169"/>
    <s v="PROD-017"/>
    <s v="R011"/>
    <n v="1"/>
    <n v="2510"/>
    <n v="27.8"/>
    <n v="1812.22"/>
    <s v="Cancelled"/>
    <s v="Bengaluru"/>
    <x v="4"/>
    <x v="0"/>
    <x v="2"/>
    <n v="1075"/>
    <n v="2510"/>
  </r>
  <r>
    <s v="ORD-01474"/>
    <x v="251"/>
    <s v="CUST-0290"/>
    <s v="PROD-037"/>
    <s v="R007"/>
    <n v="9"/>
    <n v="660"/>
    <n v="29.3"/>
    <n v="4199.58"/>
    <s v="Completed"/>
    <s v="Delhi"/>
    <x v="2"/>
    <x v="3"/>
    <x v="0"/>
    <n v="329"/>
    <n v="660"/>
  </r>
  <r>
    <s v="ORD-01475"/>
    <x v="11"/>
    <s v="CUST-0156"/>
    <s v="PROD-013"/>
    <s v="R030"/>
    <n v="7"/>
    <n v="3640"/>
    <n v="11.6"/>
    <n v="22524.32"/>
    <s v="Completed"/>
    <s v="Mumbai"/>
    <x v="3"/>
    <x v="0"/>
    <x v="1"/>
    <n v="2611"/>
    <n v="3640"/>
  </r>
  <r>
    <s v="ORD-01476"/>
    <x v="209"/>
    <s v="CUST-0005"/>
    <s v="PROD-052"/>
    <s v="R019"/>
    <n v="8"/>
    <n v="5410"/>
    <n v="25.6"/>
    <n v="32200.32"/>
    <s v="Completed"/>
    <s v="Chennai"/>
    <x v="1"/>
    <x v="1"/>
    <x v="3"/>
    <n v="2265"/>
    <n v="5410"/>
  </r>
  <r>
    <s v="ORD-01477"/>
    <x v="305"/>
    <s v="CUST-0206"/>
    <s v="PROD-058"/>
    <s v="R008"/>
    <n v="4"/>
    <n v="2400"/>
    <n v="10.4"/>
    <n v="8601.6"/>
    <s v="Completed"/>
    <s v="Mumbai"/>
    <x v="3"/>
    <x v="1"/>
    <x v="1"/>
    <n v="974"/>
    <n v="2400"/>
  </r>
  <r>
    <s v="ORD-01478"/>
    <x v="144"/>
    <s v="CUST-0240"/>
    <s v="PROD-038"/>
    <s v="R028"/>
    <n v="2"/>
    <n v="5490"/>
    <n v="5.4"/>
    <n v="10387.08"/>
    <s v="Completed"/>
    <s v="Chennai"/>
    <x v="1"/>
    <x v="3"/>
    <x v="1"/>
    <n v="2549"/>
    <n v="5490"/>
  </r>
  <r>
    <s v="ORD-01479"/>
    <x v="340"/>
    <s v="CUST-0109"/>
    <s v="PROD-041"/>
    <s v="R016"/>
    <n v="6"/>
    <n v="1540"/>
    <n v="0.6"/>
    <n v="9184.56"/>
    <s v="Completed"/>
    <s v="Pune"/>
    <x v="0"/>
    <x v="5"/>
    <x v="1"/>
    <n v="647"/>
    <n v="1540"/>
  </r>
  <r>
    <s v="ORD-01480"/>
    <x v="30"/>
    <s v="CUST-0201"/>
    <s v="PROD-001"/>
    <s v="R001"/>
    <n v="3"/>
    <n v="5330"/>
    <n v="1"/>
    <n v="15830.1"/>
    <s v="Pending"/>
    <s v="Hyderabad"/>
    <x v="5"/>
    <x v="4"/>
    <x v="0"/>
    <n v="2405"/>
    <n v="5330"/>
  </r>
  <r>
    <s v="ORD-01481"/>
    <x v="190"/>
    <s v="CUST-0100"/>
    <s v="PROD-055"/>
    <s v="R012"/>
    <n v="6"/>
    <n v="2860"/>
    <n v="13.3"/>
    <n v="14877.72"/>
    <s v="Completed"/>
    <s v="Hyderabad"/>
    <x v="5"/>
    <x v="1"/>
    <x v="1"/>
    <n v="2028"/>
    <n v="2860"/>
  </r>
  <r>
    <s v="ORD-01482"/>
    <x v="359"/>
    <s v="CUST-0262"/>
    <s v="PROD-046"/>
    <s v="R006"/>
    <n v="3"/>
    <n v="4880"/>
    <n v="12.1"/>
    <n v="12868.56"/>
    <s v="Completed"/>
    <s v="Mumbai"/>
    <x v="3"/>
    <x v="5"/>
    <x v="1"/>
    <n v="2768"/>
    <n v="4880"/>
  </r>
  <r>
    <s v="ORD-01483"/>
    <x v="177"/>
    <s v="CUST-0067"/>
    <s v="PROD-017"/>
    <s v="R005"/>
    <n v="5"/>
    <n v="2510"/>
    <n v="2.9"/>
    <n v="12186.05"/>
    <s v="Pending"/>
    <s v="Delhi"/>
    <x v="2"/>
    <x v="0"/>
    <x v="2"/>
    <n v="1075"/>
    <n v="2510"/>
  </r>
  <r>
    <s v="ORD-01484"/>
    <x v="283"/>
    <s v="CUST-9844"/>
    <s v="PROD-006"/>
    <s v="R020"/>
    <n v="9"/>
    <n v="3970"/>
    <n v="28"/>
    <n v="25725.599999999999"/>
    <s v="Completed"/>
    <s v="Pune"/>
    <x v="0"/>
    <x v="4"/>
    <x v="2"/>
    <n v="2865"/>
    <n v="3970"/>
  </r>
  <r>
    <s v="ORD-01485"/>
    <x v="106"/>
    <s v="CUST-0122"/>
    <s v="PROD-053"/>
    <s v="R027"/>
    <n v="4"/>
    <n v="470"/>
    <n v="19.100000000000001"/>
    <n v="1520.92"/>
    <s v="Pending"/>
    <s v="Mumbai"/>
    <x v="3"/>
    <x v="1"/>
    <x v="0"/>
    <n v="302"/>
    <n v="470"/>
  </r>
  <r>
    <s v="ORD-01486"/>
    <x v="269"/>
    <s v="CUST-0129"/>
    <s v="PROD-001"/>
    <s v="R025"/>
    <n v="7"/>
    <n v="5330"/>
    <n v="17.2"/>
    <n v="30892.68"/>
    <s v="Cancelled"/>
    <s v="Hyderabad"/>
    <x v="5"/>
    <x v="4"/>
    <x v="3"/>
    <n v="2405"/>
    <n v="5330"/>
  </r>
  <r>
    <s v="ORD-01487"/>
    <x v="187"/>
    <s v="CUST-0056"/>
    <s v="PROD-035"/>
    <s v="R012"/>
    <n v="4"/>
    <n v="1090"/>
    <n v="4.9000000000000004"/>
    <n v="4146.3599999999997"/>
    <s v="Cancelled"/>
    <s v="Bengaluru"/>
    <x v="4"/>
    <x v="3"/>
    <x v="1"/>
    <n v="464"/>
    <n v="1090"/>
  </r>
  <r>
    <s v="ORD-01488"/>
    <x v="145"/>
    <s v="CUST-0080"/>
    <s v="PROD-054"/>
    <s v="R009"/>
    <n v="2"/>
    <n v="1010"/>
    <n v="14"/>
    <n v="1737.2"/>
    <s v="Completed"/>
    <s v="Pune"/>
    <x v="0"/>
    <x v="1"/>
    <x v="1"/>
    <n v="516"/>
    <n v="1010"/>
  </r>
  <r>
    <s v="ORD-01489"/>
    <x v="30"/>
    <s v="CUST-0155"/>
    <s v="PROD-004"/>
    <s v="R016"/>
    <n v="9"/>
    <n v="3870"/>
    <n v="8.1999999999999993"/>
    <n v="31973.94"/>
    <s v="Completed"/>
    <s v="Pune"/>
    <x v="0"/>
    <x v="4"/>
    <x v="1"/>
    <n v="1559"/>
    <n v="3870"/>
  </r>
  <r>
    <s v="ORD-01490"/>
    <x v="304"/>
    <s v="CUST-0278"/>
    <s v="PROD-008"/>
    <s v="R013"/>
    <n v="7"/>
    <n v="2660"/>
    <n v="15.9"/>
    <n v="15659.42"/>
    <s v="Completed"/>
    <s v="Hyderabad"/>
    <x v="5"/>
    <x v="4"/>
    <x v="3"/>
    <n v="1259"/>
    <n v="2660"/>
  </r>
  <r>
    <s v="ORD-01491"/>
    <x v="204"/>
    <s v="CUST-0075"/>
    <s v="PROD-007"/>
    <s v="R019"/>
    <n v="4"/>
    <n v="1430"/>
    <n v="25.6"/>
    <n v="4255.68"/>
    <s v="Completed"/>
    <s v="Mumbai"/>
    <x v="3"/>
    <x v="4"/>
    <x v="0"/>
    <n v="861"/>
    <n v="1430"/>
  </r>
  <r>
    <s v="ORD-01492"/>
    <x v="163"/>
    <s v="CUST-0274"/>
    <s v="PROD-046"/>
    <s v="R023"/>
    <n v="4"/>
    <n v="4880"/>
    <n v="19.399999999999999"/>
    <n v="15733.12"/>
    <s v="Cancelled"/>
    <s v="Bengaluru"/>
    <x v="4"/>
    <x v="5"/>
    <x v="1"/>
    <n v="2768"/>
    <n v="4880"/>
  </r>
  <r>
    <s v="ORD-01493"/>
    <x v="286"/>
    <s v="CUST-0197"/>
    <s v="PROD-060"/>
    <s v="R001"/>
    <n v="2"/>
    <n v="190"/>
    <n v="9"/>
    <n v="345.8"/>
    <s v="Completed"/>
    <s v="Bengaluru"/>
    <x v="4"/>
    <x v="1"/>
    <x v="3"/>
    <n v="147"/>
    <n v="190"/>
  </r>
  <r>
    <s v="ORD-01494"/>
    <x v="209"/>
    <s v="CUST-0294"/>
    <s v="PROD-045"/>
    <s v="R019"/>
    <n v="1"/>
    <n v="3020"/>
    <n v="3.6"/>
    <n v="2911.28"/>
    <s v="Refunded"/>
    <s v="Delhi"/>
    <x v="2"/>
    <x v="5"/>
    <x v="2"/>
    <n v="1626"/>
    <n v="3020"/>
  </r>
  <r>
    <s v="ORD-01495"/>
    <x v="131"/>
    <s v="CUST-0281"/>
    <s v="PROD-046"/>
    <s v="R019"/>
    <n v="2"/>
    <n v="4880"/>
    <n v="2"/>
    <n v="9564.7999999999993"/>
    <s v="Cancelled"/>
    <s v="Bengaluru"/>
    <x v="4"/>
    <x v="5"/>
    <x v="0"/>
    <n v="2768"/>
    <n v="4880"/>
  </r>
  <r>
    <s v="ORD-01496"/>
    <x v="158"/>
    <s v="CUST-0130"/>
    <s v="PROD-058"/>
    <s v="R027"/>
    <n v="4"/>
    <n v="2400"/>
    <n v="11.5"/>
    <n v="8496"/>
    <s v="Completed"/>
    <s v="Bengaluru"/>
    <x v="4"/>
    <x v="1"/>
    <x v="0"/>
    <n v="974"/>
    <n v="2400"/>
  </r>
  <r>
    <s v="ORD-01497"/>
    <x v="298"/>
    <s v="CUST-0097"/>
    <s v="PROD-050"/>
    <s v="R002"/>
    <n v="2"/>
    <n v="6080"/>
    <n v="0.5"/>
    <n v="12099.2"/>
    <s v="Cancelled"/>
    <s v="Mumbai"/>
    <x v="3"/>
    <x v="5"/>
    <x v="1"/>
    <n v="2617"/>
    <n v="6080"/>
  </r>
  <r>
    <s v="ORD-01498"/>
    <x v="360"/>
    <s v="CUST-0148"/>
    <s v="PROD-023"/>
    <s v="R023"/>
    <n v="7"/>
    <n v="2380"/>
    <n v="12.3"/>
    <n v="14610.82"/>
    <s v="Completed"/>
    <s v="Chennai"/>
    <x v="1"/>
    <x v="2"/>
    <x v="0"/>
    <n v="1182"/>
    <n v="2380"/>
  </r>
  <r>
    <s v="ORD-01499"/>
    <x v="89"/>
    <s v="CUST-0102"/>
    <s v="PROD-041"/>
    <s v="R001"/>
    <n v="10"/>
    <n v="1540"/>
    <n v="20.6"/>
    <n v="12227.6"/>
    <s v="Completed"/>
    <s v="Chennai"/>
    <x v="1"/>
    <x v="5"/>
    <x v="2"/>
    <n v="647"/>
    <n v="1540"/>
  </r>
  <r>
    <s v="ORD-01500"/>
    <x v="226"/>
    <s v="CUST-0265"/>
    <s v="PROD-004"/>
    <s v="R028"/>
    <n v="7"/>
    <n v="3870"/>
    <n v="6.1"/>
    <n v="25437.51"/>
    <s v="Completed"/>
    <s v="Chennai"/>
    <x v="1"/>
    <x v="4"/>
    <x v="2"/>
    <n v="1559"/>
    <n v="3870"/>
  </r>
  <r>
    <s v="ORD-01501"/>
    <x v="266"/>
    <s v="CUST-0073"/>
    <s v="PROD-032"/>
    <s v="R021"/>
    <n v="3"/>
    <n v="370"/>
    <n v="13.7"/>
    <n v="957.93"/>
    <s v="Completed"/>
    <s v="Pune"/>
    <x v="0"/>
    <x v="3"/>
    <x v="0"/>
    <n v="288"/>
    <n v="370"/>
  </r>
  <r>
    <s v="ORD-01502"/>
    <x v="60"/>
    <s v="CUST-0070"/>
    <s v="PROD-060"/>
    <s v="R027"/>
    <n v="8"/>
    <n v="190"/>
    <n v="0.2"/>
    <n v="1516.96"/>
    <s v="Completed"/>
    <s v="Mumbai"/>
    <x v="3"/>
    <x v="1"/>
    <x v="3"/>
    <n v="147"/>
    <n v="190"/>
  </r>
  <r>
    <s v="ORD-01503"/>
    <x v="350"/>
    <s v="CUST-0202"/>
    <s v="PROD-007"/>
    <s v="R011"/>
    <n v="6"/>
    <n v="1430"/>
    <n v="0.1"/>
    <n v="8571.42"/>
    <s v="Completed"/>
    <s v="Chennai"/>
    <x v="1"/>
    <x v="4"/>
    <x v="2"/>
    <n v="861"/>
    <n v="1430"/>
  </r>
  <r>
    <s v="ORD-01504"/>
    <x v="63"/>
    <s v="CUST-0240"/>
    <s v="PROD-053"/>
    <s v="R020"/>
    <n v="4"/>
    <n v="470"/>
    <n v="3"/>
    <n v="1823.6"/>
    <s v="Completed"/>
    <s v="Chennai"/>
    <x v="1"/>
    <x v="1"/>
    <x v="2"/>
    <n v="302"/>
    <n v="470"/>
  </r>
  <r>
    <s v="ORD-01505"/>
    <x v="225"/>
    <s v="CUST-0163"/>
    <s v="PROD-018"/>
    <s v="R004"/>
    <n v="4"/>
    <n v="3560"/>
    <n v="1.1000000000000001"/>
    <n v="14083.36"/>
    <s v="Completed"/>
    <s v="Pune"/>
    <x v="0"/>
    <x v="0"/>
    <x v="2"/>
    <n v="2629"/>
    <n v="3560"/>
  </r>
  <r>
    <s v="ORD-01506"/>
    <x v="126"/>
    <s v="CUST-0238"/>
    <s v="PROD-046"/>
    <s v="R012"/>
    <n v="5"/>
    <n v="4880"/>
    <n v="17"/>
    <n v="20252"/>
    <s v="Completed"/>
    <s v="Delhi"/>
    <x v="2"/>
    <x v="5"/>
    <x v="0"/>
    <n v="2768"/>
    <n v="4880"/>
  </r>
  <r>
    <s v="ORD-01507"/>
    <x v="64"/>
    <s v="CUST-0196"/>
    <s v="PROD-003"/>
    <s v="R009"/>
    <n v="9"/>
    <n v="3570"/>
    <n v="12"/>
    <n v="28274.400000000001"/>
    <s v="Completed"/>
    <s v="Chennai"/>
    <x v="1"/>
    <x v="4"/>
    <x v="0"/>
    <n v="1665"/>
    <n v="3570"/>
  </r>
  <r>
    <s v="ORD-01508"/>
    <x v="43"/>
    <s v="CUST-0220"/>
    <s v="PROD-051"/>
    <s v="R025"/>
    <n v="6"/>
    <n v="3450"/>
    <n v="22.7"/>
    <n v="16001.1"/>
    <s v="Cancelled"/>
    <s v="Chennai"/>
    <x v="1"/>
    <x v="1"/>
    <x v="0"/>
    <n v="2467"/>
    <n v="3450"/>
  </r>
  <r>
    <s v="ORD-01509"/>
    <x v="145"/>
    <s v="CUST-0142"/>
    <s v="PROD-040"/>
    <s v="R002"/>
    <n v="10"/>
    <n v="1080"/>
    <n v="27.4"/>
    <n v="7840.8"/>
    <s v="Completed"/>
    <s v="Chennai"/>
    <x v="1"/>
    <x v="3"/>
    <x v="3"/>
    <n v="519"/>
    <n v="1080"/>
  </r>
  <r>
    <s v="ORD-01510"/>
    <x v="150"/>
    <s v="CUST-0217"/>
    <s v="PROD-041"/>
    <s v="R025"/>
    <n v="6"/>
    <n v="1540"/>
    <n v="17.100000000000001"/>
    <n v="7659.96"/>
    <s v="Completed"/>
    <s v="Pune"/>
    <x v="0"/>
    <x v="5"/>
    <x v="2"/>
    <n v="647"/>
    <n v="1540"/>
  </r>
  <r>
    <s v="ORD-01511"/>
    <x v="361"/>
    <s v="CUST-9582"/>
    <s v="PROD-015"/>
    <s v="R013"/>
    <n v="6"/>
    <n v="2720"/>
    <n v="28.1"/>
    <n v="11734.08"/>
    <s v="Completed"/>
    <s v="Mumbai"/>
    <x v="3"/>
    <x v="0"/>
    <x v="3"/>
    <n v="1962"/>
    <n v="2720"/>
  </r>
  <r>
    <s v="ORD-01512"/>
    <x v="28"/>
    <s v="CUST-0267"/>
    <s v="PROD-034"/>
    <s v="R005"/>
    <n v="2"/>
    <n v="5080"/>
    <n v="11.1"/>
    <n v="9032.24"/>
    <s v="Completed"/>
    <s v="Hyderabad"/>
    <x v="5"/>
    <x v="3"/>
    <x v="0"/>
    <n v="2459"/>
    <n v="5080"/>
  </r>
  <r>
    <s v="ORD-01513"/>
    <x v="90"/>
    <s v="CUST-9565"/>
    <s v="PROD-016"/>
    <s v="R008"/>
    <n v="5"/>
    <n v="620"/>
    <n v="10.9"/>
    <n v="2762.1"/>
    <s v="Pending"/>
    <s v="Chennai"/>
    <x v="1"/>
    <x v="0"/>
    <x v="0"/>
    <n v="396"/>
    <n v="620"/>
  </r>
  <r>
    <s v="ORD-01514"/>
    <x v="312"/>
    <s v="CUST-0051"/>
    <s v="PROD-019"/>
    <s v="R003"/>
    <n v="3"/>
    <n v="2480"/>
    <n v="5"/>
    <n v="7068"/>
    <s v="Completed"/>
    <s v="Pune"/>
    <x v="0"/>
    <x v="0"/>
    <x v="2"/>
    <n v="1173"/>
    <n v="2480"/>
  </r>
  <r>
    <s v="ORD-01515"/>
    <x v="205"/>
    <s v="CUST-0075"/>
    <s v="PROD-054"/>
    <s v="R005"/>
    <n v="9"/>
    <n v="1010"/>
    <n v="21.9"/>
    <n v="7099.29"/>
    <s v="Completed"/>
    <s v="Mumbai"/>
    <x v="3"/>
    <x v="1"/>
    <x v="2"/>
    <n v="516"/>
    <n v="1010"/>
  </r>
  <r>
    <s v="ORD-01516"/>
    <x v="269"/>
    <s v="CUST-0106"/>
    <s v="PROD-040"/>
    <s v="R004"/>
    <n v="2"/>
    <n v="1080"/>
    <n v="8.5"/>
    <n v="1976.4"/>
    <s v="Completed"/>
    <s v="Pune"/>
    <x v="0"/>
    <x v="3"/>
    <x v="1"/>
    <n v="519"/>
    <n v="1080"/>
  </r>
  <r>
    <s v="ORD-01517"/>
    <x v="354"/>
    <s v="CUST-0053"/>
    <s v="PROD-053"/>
    <s v="R025"/>
    <n v="5"/>
    <n v="470"/>
    <n v="8"/>
    <n v="2162"/>
    <s v="Completed"/>
    <s v="Delhi"/>
    <x v="2"/>
    <x v="1"/>
    <x v="1"/>
    <n v="302"/>
    <n v="470"/>
  </r>
  <r>
    <s v="ORD-01518"/>
    <x v="67"/>
    <s v="CUST-0042"/>
    <s v="PROD-006"/>
    <s v="R020"/>
    <n v="9"/>
    <n v="3970"/>
    <n v="18.5"/>
    <n v="29119.95"/>
    <s v="Completed"/>
    <s v="Pune"/>
    <x v="0"/>
    <x v="4"/>
    <x v="1"/>
    <n v="2865"/>
    <n v="3970"/>
  </r>
  <r>
    <s v="ORD-01519"/>
    <x v="105"/>
    <s v="CUST-0120"/>
    <s v="PROD-044"/>
    <s v="R010"/>
    <n v="9"/>
    <n v="1650"/>
    <n v="19.5"/>
    <n v="11954.25"/>
    <s v="Completed"/>
    <s v="Mumbai"/>
    <x v="3"/>
    <x v="5"/>
    <x v="1"/>
    <n v="1222"/>
    <n v="1650"/>
  </r>
  <r>
    <s v="ORD-01520"/>
    <x v="234"/>
    <s v="CUST-0166"/>
    <s v="PROD-043"/>
    <s v="R006"/>
    <n v="9"/>
    <n v="3350"/>
    <n v="4.0999999999999996"/>
    <n v="28913.85"/>
    <s v="Completed"/>
    <s v="Hyderabad"/>
    <x v="5"/>
    <x v="5"/>
    <x v="0"/>
    <n v="1728"/>
    <n v="3350"/>
  </r>
  <r>
    <s v="ORD-01521"/>
    <x v="305"/>
    <s v="CUST-0175"/>
    <s v="PROD-006"/>
    <s v="R023"/>
    <n v="7"/>
    <n v="3970"/>
    <n v="15.6"/>
    <n v="23454.76"/>
    <s v="Completed"/>
    <s v="Delhi"/>
    <x v="2"/>
    <x v="4"/>
    <x v="1"/>
    <n v="2865"/>
    <n v="3970"/>
  </r>
  <r>
    <s v="ORD-01522"/>
    <x v="253"/>
    <s v="CUST-0001"/>
    <s v="PROD-027"/>
    <s v="R018"/>
    <n v="7"/>
    <n v="3780"/>
    <n v="18.7"/>
    <n v="21511.98"/>
    <s v="Completed"/>
    <s v="Pune"/>
    <x v="0"/>
    <x v="2"/>
    <x v="2"/>
    <n v="2436"/>
    <n v="3780"/>
  </r>
  <r>
    <s v="ORD-01523"/>
    <x v="327"/>
    <s v="CUST-0238"/>
    <s v="PROD-020"/>
    <s v="R013"/>
    <n v="4"/>
    <n v="820"/>
    <n v="18.8"/>
    <n v="2663.36"/>
    <s v="Cancelled"/>
    <s v="Delhi"/>
    <x v="2"/>
    <x v="0"/>
    <x v="2"/>
    <n v="391"/>
    <n v="820"/>
  </r>
  <r>
    <s v="ORD-01524"/>
    <x v="77"/>
    <s v="CUST-0279"/>
    <s v="PROD-044"/>
    <s v="R022"/>
    <n v="1"/>
    <n v="1650"/>
    <n v="18.8"/>
    <n v="1339.8"/>
    <s v="Cancelled"/>
    <s v="Mumbai"/>
    <x v="3"/>
    <x v="5"/>
    <x v="2"/>
    <n v="1222"/>
    <n v="1650"/>
  </r>
  <r>
    <s v="ORD-01525"/>
    <x v="245"/>
    <s v="CUST-0042"/>
    <s v="PROD-027"/>
    <s v="R021"/>
    <n v="2"/>
    <n v="3780"/>
    <n v="1"/>
    <n v="7484.4"/>
    <s v="Refunded"/>
    <s v="Pune"/>
    <x v="0"/>
    <x v="2"/>
    <x v="3"/>
    <n v="2436"/>
    <n v="3780"/>
  </r>
  <r>
    <s v="ORD-01526"/>
    <x v="53"/>
    <s v="CUST-0137"/>
    <s v="PROD-029"/>
    <s v="R027"/>
    <n v="5"/>
    <n v="2210"/>
    <n v="16.600000000000001"/>
    <n v="9215.7000000000007"/>
    <s v="Completed"/>
    <s v="Mumbai"/>
    <x v="3"/>
    <x v="2"/>
    <x v="3"/>
    <n v="1010"/>
    <n v="2210"/>
  </r>
  <r>
    <s v="ORD-01527"/>
    <x v="173"/>
    <s v="CUST-0160"/>
    <s v="PROD-056"/>
    <s v="R010"/>
    <n v="10"/>
    <n v="6940"/>
    <n v="10.6"/>
    <n v="62043.6"/>
    <s v="Completed"/>
    <s v="Hyderabad"/>
    <x v="5"/>
    <x v="1"/>
    <x v="2"/>
    <n v="2827"/>
    <n v="6940"/>
  </r>
  <r>
    <s v="ORD-01528"/>
    <x v="253"/>
    <s v="CUST-0102"/>
    <s v="PROD-042"/>
    <s v="R005"/>
    <n v="8"/>
    <n v="2290"/>
    <n v="12.2"/>
    <n v="16084.96"/>
    <s v="Completed"/>
    <s v="Chennai"/>
    <x v="1"/>
    <x v="5"/>
    <x v="2"/>
    <n v="1219"/>
    <n v="2290"/>
  </r>
  <r>
    <s v="ORD-01529"/>
    <x v="201"/>
    <s v="CUST-0133"/>
    <s v="PROD-033"/>
    <s v="R025"/>
    <n v="5"/>
    <n v="2030"/>
    <n v="23.8"/>
    <n v="7734.3"/>
    <s v="Cancelled"/>
    <s v="Chennai"/>
    <x v="1"/>
    <x v="3"/>
    <x v="3"/>
    <n v="1143"/>
    <n v="2030"/>
  </r>
  <r>
    <s v="ORD-01530"/>
    <x v="14"/>
    <s v="CUST-0080"/>
    <s v="PROD-006"/>
    <s v="R029"/>
    <n v="3"/>
    <n v="3970"/>
    <n v="7.7"/>
    <n v="10992.93"/>
    <s v="Completed"/>
    <s v="Pune"/>
    <x v="0"/>
    <x v="4"/>
    <x v="1"/>
    <n v="2865"/>
    <n v="3970"/>
  </r>
  <r>
    <s v="ORD-01821"/>
    <x v="214"/>
    <s v="CUST-0299"/>
    <s v="PROD-020"/>
    <s v="R016"/>
    <n v="1"/>
    <n v="820"/>
    <n v="5.4"/>
    <n v="775.72"/>
    <s v="Completed"/>
    <s v="Mumbai"/>
    <x v="3"/>
    <x v="0"/>
    <x v="1"/>
    <n v="391"/>
    <n v="820"/>
  </r>
  <r>
    <s v="ORD-01532"/>
    <x v="22"/>
    <s v="CUST-0078"/>
    <s v="PROD-004"/>
    <s v="R025"/>
    <n v="3"/>
    <n v="3870"/>
    <n v="1.9"/>
    <n v="11389.41"/>
    <s v="Completed"/>
    <s v="Delhi"/>
    <x v="2"/>
    <x v="4"/>
    <x v="2"/>
    <n v="1559"/>
    <n v="3870"/>
  </r>
  <r>
    <s v="ORD-01533"/>
    <x v="197"/>
    <s v="CUST-0251"/>
    <s v="PROD-030"/>
    <s v="R022"/>
    <n v="6"/>
    <n v="970"/>
    <n v="27.1"/>
    <n v="4242.78"/>
    <s v="Completed"/>
    <s v="Mumbai"/>
    <x v="3"/>
    <x v="2"/>
    <x v="1"/>
    <n v="434"/>
    <n v="970"/>
  </r>
  <r>
    <s v="ORD-01534"/>
    <x v="237"/>
    <s v="CUST-0191"/>
    <s v="PROD-046"/>
    <s v="R025"/>
    <n v="1"/>
    <n v="4880"/>
    <n v="26.8"/>
    <n v="3572.16"/>
    <s v="Completed"/>
    <s v="Hyderabad"/>
    <x v="5"/>
    <x v="5"/>
    <x v="3"/>
    <n v="2768"/>
    <n v="4880"/>
  </r>
  <r>
    <s v="ORD-01535"/>
    <x v="186"/>
    <s v="CUST-0130"/>
    <s v="PROD-022"/>
    <s v="R023"/>
    <n v="1"/>
    <n v="2270"/>
    <n v="22.2"/>
    <n v="1766.06"/>
    <s v="Completed"/>
    <s v="Bengaluru"/>
    <x v="4"/>
    <x v="2"/>
    <x v="1"/>
    <n v="1412"/>
    <n v="2270"/>
  </r>
  <r>
    <s v="ORD-01536"/>
    <x v="351"/>
    <s v="CUST-0056"/>
    <s v="PROD-047"/>
    <s v="R026"/>
    <n v="10"/>
    <n v="3450"/>
    <n v="21.9"/>
    <n v="26944.5"/>
    <s v="Completed"/>
    <s v="Bengaluru"/>
    <x v="4"/>
    <x v="5"/>
    <x v="2"/>
    <n v="2420"/>
    <n v="3450"/>
  </r>
  <r>
    <s v="ORD-01537"/>
    <x v="48"/>
    <s v="CUST-0185"/>
    <s v="PROD-022"/>
    <s v="R011"/>
    <n v="3"/>
    <n v="2270"/>
    <n v="19.100000000000001"/>
    <n v="5509.29"/>
    <s v="Cancelled"/>
    <s v="Hyderabad"/>
    <x v="5"/>
    <x v="2"/>
    <x v="0"/>
    <n v="1412"/>
    <n v="2270"/>
  </r>
  <r>
    <s v="ORD-01538"/>
    <x v="107"/>
    <s v="CUST-0195"/>
    <s v="PROD-029"/>
    <s v="R030"/>
    <n v="10"/>
    <n v="2210"/>
    <n v="22.3"/>
    <n v="17171.7"/>
    <s v="Completed"/>
    <s v="Bengaluru"/>
    <x v="4"/>
    <x v="2"/>
    <x v="1"/>
    <n v="1010"/>
    <n v="2210"/>
  </r>
  <r>
    <s v="ORD-01539"/>
    <x v="57"/>
    <s v="CUST-0067"/>
    <s v="PROD-033"/>
    <s v="R011"/>
    <n v="9"/>
    <n v="2030"/>
    <n v="24.8"/>
    <n v="13739.04"/>
    <s v="Completed"/>
    <s v="Delhi"/>
    <x v="2"/>
    <x v="3"/>
    <x v="3"/>
    <n v="1143"/>
    <n v="2030"/>
  </r>
  <r>
    <s v="ORD-01540"/>
    <x v="82"/>
    <s v="CUST-0149"/>
    <s v="PROD-043"/>
    <s v="R023"/>
    <n v="5"/>
    <n v="3350"/>
    <n v="18.2"/>
    <n v="13701.5"/>
    <s v="Completed"/>
    <s v="Hyderabad"/>
    <x v="5"/>
    <x v="5"/>
    <x v="1"/>
    <n v="1728"/>
    <n v="3350"/>
  </r>
  <r>
    <s v="ORD-01541"/>
    <x v="243"/>
    <s v="CUST-0268"/>
    <s v="PROD-013"/>
    <s v="R008"/>
    <n v="7"/>
    <n v="3640"/>
    <n v="14.4"/>
    <n v="21810.880000000001"/>
    <s v="Completed"/>
    <s v="Chennai"/>
    <x v="1"/>
    <x v="0"/>
    <x v="3"/>
    <n v="2611"/>
    <n v="3640"/>
  </r>
  <r>
    <s v="ORD-01542"/>
    <x v="217"/>
    <s v="CUST-0126"/>
    <s v="PROD-051"/>
    <s v="R018"/>
    <n v="9"/>
    <n v="3450"/>
    <n v="20.100000000000001"/>
    <n v="24808.95"/>
    <s v="Completed"/>
    <s v="Mumbai"/>
    <x v="3"/>
    <x v="1"/>
    <x v="2"/>
    <n v="2467"/>
    <n v="3450"/>
  </r>
  <r>
    <s v="ORD-01543"/>
    <x v="68"/>
    <s v="CUST-0017"/>
    <s v="PROD-047"/>
    <s v="R003"/>
    <n v="6"/>
    <n v="3450"/>
    <n v="19.899999999999999"/>
    <n v="16580.7"/>
    <s v="Pending"/>
    <s v="Delhi"/>
    <x v="2"/>
    <x v="5"/>
    <x v="0"/>
    <n v="2420"/>
    <n v="3450"/>
  </r>
  <r>
    <s v="ORD-01544"/>
    <x v="37"/>
    <s v="CUST-0250"/>
    <s v="PROD-042"/>
    <s v="R022"/>
    <n v="4"/>
    <n v="2290"/>
    <n v="4.8"/>
    <n v="8720.32"/>
    <s v="Pending"/>
    <s v="Delhi"/>
    <x v="2"/>
    <x v="5"/>
    <x v="1"/>
    <n v="1219"/>
    <n v="2290"/>
  </r>
  <r>
    <s v="ORD-01545"/>
    <x v="319"/>
    <s v="CUST-0245"/>
    <s v="PROD-057"/>
    <s v="R010"/>
    <n v="9"/>
    <n v="960"/>
    <n v="2.4"/>
    <n v="8432.64"/>
    <s v="Completed"/>
    <s v="Hyderabad"/>
    <x v="5"/>
    <x v="1"/>
    <x v="0"/>
    <n v="705"/>
    <n v="960"/>
  </r>
  <r>
    <s v="ORD-01546"/>
    <x v="135"/>
    <s v="CUST-0016"/>
    <s v="PROD-039"/>
    <s v="R025"/>
    <n v="9"/>
    <n v="4610"/>
    <n v="21.3"/>
    <n v="32652.63"/>
    <s v="Completed"/>
    <s v="Delhi"/>
    <x v="2"/>
    <x v="3"/>
    <x v="1"/>
    <n v="1850"/>
    <n v="4610"/>
  </r>
  <r>
    <s v="ORD-01547"/>
    <x v="282"/>
    <s v="CUST-0063"/>
    <s v="PROD-028"/>
    <s v="R003"/>
    <n v="1"/>
    <n v="3660"/>
    <n v="15.6"/>
    <n v="3089.04"/>
    <s v="Completed"/>
    <s v="Mumbai"/>
    <x v="3"/>
    <x v="2"/>
    <x v="2"/>
    <n v="2214"/>
    <n v="3660"/>
  </r>
  <r>
    <s v="ORD-01548"/>
    <x v="168"/>
    <s v="CUST-0200"/>
    <s v="PROD-008"/>
    <s v="R012"/>
    <n v="5"/>
    <n v="2660"/>
    <n v="20.399999999999999"/>
    <n v="10586.8"/>
    <s v="Completed"/>
    <s v="Hyderabad"/>
    <x v="5"/>
    <x v="4"/>
    <x v="1"/>
    <n v="1259"/>
    <n v="2660"/>
  </r>
  <r>
    <s v="ORD-01549"/>
    <x v="24"/>
    <s v="CUST-0017"/>
    <s v="PROD-041"/>
    <s v="R026"/>
    <n v="8"/>
    <n v="1540"/>
    <n v="0.5"/>
    <n v="12258.4"/>
    <s v="Completed"/>
    <s v="Delhi"/>
    <x v="2"/>
    <x v="5"/>
    <x v="1"/>
    <n v="647"/>
    <n v="1540"/>
  </r>
  <r>
    <s v="ORD-01550"/>
    <x v="356"/>
    <s v="CUST-0264"/>
    <s v="PROD-006"/>
    <s v="R004"/>
    <n v="4"/>
    <n v="3970"/>
    <n v="22.5"/>
    <n v="12307"/>
    <s v="Completed"/>
    <s v="Pune"/>
    <x v="0"/>
    <x v="4"/>
    <x v="0"/>
    <n v="2865"/>
    <n v="3970"/>
  </r>
  <r>
    <s v="ORD-01551"/>
    <x v="213"/>
    <s v="CUST-0102"/>
    <s v="PROD-059"/>
    <s v="R007"/>
    <n v="8"/>
    <n v="3780"/>
    <n v="3.8"/>
    <n v="29090.880000000001"/>
    <s v="Completed"/>
    <s v="Chennai"/>
    <x v="1"/>
    <x v="1"/>
    <x v="1"/>
    <n v="1860"/>
    <n v="3780"/>
  </r>
  <r>
    <s v="ORD-01552"/>
    <x v="269"/>
    <s v="CUST-0092"/>
    <s v="PROD-022"/>
    <s v="R004"/>
    <n v="4"/>
    <n v="2270"/>
    <n v="3.8"/>
    <n v="8734.9599999999991"/>
    <s v="Cancelled"/>
    <s v="Bengaluru"/>
    <x v="4"/>
    <x v="2"/>
    <x v="1"/>
    <n v="1412"/>
    <n v="2270"/>
  </r>
  <r>
    <s v="ORD-01553"/>
    <x v="300"/>
    <s v="CUST-0139"/>
    <s v="PROD-009"/>
    <s v="R009"/>
    <n v="10"/>
    <n v="1220"/>
    <n v="19.5"/>
    <n v="9821"/>
    <s v="Completed"/>
    <s v="Hyderabad"/>
    <x v="5"/>
    <x v="4"/>
    <x v="2"/>
    <n v="517"/>
    <n v="1220"/>
  </r>
  <r>
    <s v="ORD-01554"/>
    <x v="188"/>
    <s v="CUST-0129"/>
    <s v="PROD-043"/>
    <s v="R015"/>
    <n v="10"/>
    <n v="3350"/>
    <n v="7.8"/>
    <n v="30887"/>
    <s v="Completed"/>
    <s v="Hyderabad"/>
    <x v="5"/>
    <x v="5"/>
    <x v="0"/>
    <n v="1728"/>
    <n v="3350"/>
  </r>
  <r>
    <s v="ORD-01555"/>
    <x v="243"/>
    <s v="CUST-9841"/>
    <s v="PROD-043"/>
    <s v="R030"/>
    <n v="7"/>
    <n v="3350"/>
    <n v="14.5"/>
    <n v="20049.75"/>
    <s v="Completed"/>
    <s v="Bengaluru"/>
    <x v="4"/>
    <x v="5"/>
    <x v="1"/>
    <n v="1728"/>
    <n v="3350"/>
  </r>
  <r>
    <s v="ORD-01556"/>
    <x v="242"/>
    <s v="CUST-0069"/>
    <s v="PROD-038"/>
    <s v="R014"/>
    <n v="6"/>
    <n v="5490"/>
    <n v="8"/>
    <n v="30304.799999999999"/>
    <s v="Completed"/>
    <s v="Chennai"/>
    <x v="1"/>
    <x v="3"/>
    <x v="2"/>
    <n v="2549"/>
    <n v="5490"/>
  </r>
  <r>
    <s v="ORD-01557"/>
    <x v="221"/>
    <s v="CUST-0140"/>
    <s v="PROD-055"/>
    <s v="R018"/>
    <n v="3"/>
    <n v="2860"/>
    <n v="19.899999999999999"/>
    <n v="6872.58"/>
    <s v="Completed"/>
    <s v="Hyderabad"/>
    <x v="5"/>
    <x v="1"/>
    <x v="2"/>
    <n v="2028"/>
    <n v="2860"/>
  </r>
  <r>
    <s v="ORD-01558"/>
    <x v="146"/>
    <s v="CUST-0138"/>
    <s v="PROD-010"/>
    <s v="R024"/>
    <n v="3"/>
    <n v="2640"/>
    <n v="29.3"/>
    <n v="5599.44"/>
    <s v="Completed"/>
    <s v="Chennai"/>
    <x v="1"/>
    <x v="4"/>
    <x v="2"/>
    <n v="1149"/>
    <n v="2640"/>
  </r>
  <r>
    <s v="ORD-01559"/>
    <x v="360"/>
    <s v="CUST-0277"/>
    <s v="PROD-011"/>
    <s v="R029"/>
    <n v="8"/>
    <n v="3450"/>
    <n v="15.2"/>
    <n v="23404.799999999999"/>
    <s v="Cancelled"/>
    <s v="Chennai"/>
    <x v="1"/>
    <x v="0"/>
    <x v="3"/>
    <n v="1748"/>
    <n v="3450"/>
  </r>
  <r>
    <s v="ORD-01560"/>
    <x v="134"/>
    <s v="CUST-0017"/>
    <s v="PROD-032"/>
    <s v="R025"/>
    <n v="6"/>
    <n v="370"/>
    <n v="7"/>
    <n v="2064.6"/>
    <s v="Completed"/>
    <s v="Delhi"/>
    <x v="2"/>
    <x v="3"/>
    <x v="0"/>
    <n v="288"/>
    <n v="370"/>
  </r>
  <r>
    <s v="ORD-01561"/>
    <x v="96"/>
    <s v="CUST-0170"/>
    <s v="PROD-025"/>
    <s v="R029"/>
    <n v="10"/>
    <n v="4060"/>
    <n v="4.7"/>
    <n v="38691.800000000003"/>
    <s v="Cancelled"/>
    <s v="Mumbai"/>
    <x v="3"/>
    <x v="2"/>
    <x v="1"/>
    <n v="2911"/>
    <n v="4060"/>
  </r>
  <r>
    <s v="ORD-01562"/>
    <x v="87"/>
    <s v="CUST-0022"/>
    <s v="PROD-004"/>
    <s v="R024"/>
    <n v="1"/>
    <n v="3870"/>
    <n v="18.2"/>
    <n v="3165.66"/>
    <s v="Pending"/>
    <s v="Bengaluru"/>
    <x v="4"/>
    <x v="4"/>
    <x v="1"/>
    <n v="1559"/>
    <n v="3870"/>
  </r>
  <r>
    <s v="ORD-01563"/>
    <x v="217"/>
    <s v="CUST-0158"/>
    <s v="PROD-001"/>
    <s v="R006"/>
    <n v="1"/>
    <n v="5330"/>
    <n v="3.9"/>
    <n v="5122.13"/>
    <s v="Refunded"/>
    <s v="Pune"/>
    <x v="0"/>
    <x v="4"/>
    <x v="3"/>
    <n v="2405"/>
    <n v="5330"/>
  </r>
  <r>
    <s v="ORD-01564"/>
    <x v="42"/>
    <s v="CUST-0160"/>
    <s v="PROD-032"/>
    <s v="R020"/>
    <n v="8"/>
    <n v="370"/>
    <n v="1.3"/>
    <n v="2921.52"/>
    <s v="Completed"/>
    <s v="Hyderabad"/>
    <x v="5"/>
    <x v="3"/>
    <x v="3"/>
    <n v="288"/>
    <n v="370"/>
  </r>
  <r>
    <s v="ORD-01565"/>
    <x v="81"/>
    <s v="CUST-0009"/>
    <s v="PROD-005"/>
    <s v="R020"/>
    <n v="7"/>
    <n v="300"/>
    <n v="7.1"/>
    <n v="1950.9"/>
    <s v="Completed"/>
    <s v="Mumbai"/>
    <x v="3"/>
    <x v="4"/>
    <x v="0"/>
    <n v="128"/>
    <n v="300"/>
  </r>
  <r>
    <s v="ORD-01566"/>
    <x v="118"/>
    <s v="CUST-0151"/>
    <s v="PROD-043"/>
    <s v="R012"/>
    <n v="8"/>
    <n v="3350"/>
    <n v="11.2"/>
    <n v="23798.400000000001"/>
    <s v="Completed"/>
    <s v="Mumbai"/>
    <x v="3"/>
    <x v="5"/>
    <x v="2"/>
    <n v="1728"/>
    <n v="3350"/>
  </r>
  <r>
    <s v="ORD-01567"/>
    <x v="72"/>
    <s v="CUST-0105"/>
    <s v="PROD-056"/>
    <s v="R009"/>
    <n v="6"/>
    <n v="6940"/>
    <n v="0.3"/>
    <n v="41515.08"/>
    <s v="Completed"/>
    <s v="Chennai"/>
    <x v="1"/>
    <x v="1"/>
    <x v="2"/>
    <n v="2827"/>
    <n v="6940"/>
  </r>
  <r>
    <s v="ORD-01568"/>
    <x v="64"/>
    <s v="CUST-0292"/>
    <s v="PROD-049"/>
    <s v="R008"/>
    <n v="10"/>
    <n v="960"/>
    <n v="9.3000000000000007"/>
    <n v="8707.2000000000007"/>
    <s v="Cancelled"/>
    <s v="Bengaluru"/>
    <x v="4"/>
    <x v="5"/>
    <x v="2"/>
    <n v="675"/>
    <n v="960"/>
  </r>
  <r>
    <s v="ORD-01569"/>
    <x v="327"/>
    <s v="CUST-0076"/>
    <s v="PROD-021"/>
    <s v="R021"/>
    <n v="10"/>
    <n v="2760"/>
    <n v="17.2"/>
    <n v="22852.799999999999"/>
    <s v="Completed"/>
    <s v="Mumbai"/>
    <x v="3"/>
    <x v="2"/>
    <x v="1"/>
    <n v="1435"/>
    <n v="2760"/>
  </r>
  <r>
    <s v="ORD-01570"/>
    <x v="243"/>
    <s v="CUST-0152"/>
    <s v="PROD-024"/>
    <s v="R026"/>
    <n v="4"/>
    <n v="2270"/>
    <n v="26.8"/>
    <n v="6646.56"/>
    <s v="Completed"/>
    <s v="Bengaluru"/>
    <x v="4"/>
    <x v="2"/>
    <x v="3"/>
    <n v="1203"/>
    <n v="2270"/>
  </r>
  <r>
    <s v="ORD-01571"/>
    <x v="305"/>
    <s v="CUST-0146"/>
    <s v="PROD-002"/>
    <s v="R021"/>
    <n v="2"/>
    <n v="2600"/>
    <n v="27"/>
    <n v="3796"/>
    <s v="Completed"/>
    <s v="Hyderabad"/>
    <x v="5"/>
    <x v="4"/>
    <x v="0"/>
    <n v="1052"/>
    <n v="2600"/>
  </r>
  <r>
    <s v="ORD-01572"/>
    <x v="300"/>
    <s v="CUST-0127"/>
    <s v="PROD-003"/>
    <s v="R024"/>
    <n v="4"/>
    <n v="3570"/>
    <n v="12.3"/>
    <n v="12523.56"/>
    <s v="Completed"/>
    <s v="Bengaluru"/>
    <x v="4"/>
    <x v="4"/>
    <x v="2"/>
    <n v="1665"/>
    <n v="3570"/>
  </r>
  <r>
    <s v="ORD-01573"/>
    <x v="309"/>
    <s v="CUST-0173"/>
    <s v="PROD-034"/>
    <s v="R016"/>
    <n v="5"/>
    <n v="5080"/>
    <n v="1.3"/>
    <n v="25069.8"/>
    <s v="Completed"/>
    <s v="Mumbai"/>
    <x v="3"/>
    <x v="3"/>
    <x v="2"/>
    <n v="2459"/>
    <n v="5080"/>
  </r>
  <r>
    <s v="ORD-01574"/>
    <x v="1"/>
    <s v="CUST-0206"/>
    <s v="PROD-049"/>
    <s v="R016"/>
    <n v="5"/>
    <n v="960"/>
    <n v="25.2"/>
    <n v="3590.4"/>
    <s v="Completed"/>
    <s v="Mumbai"/>
    <x v="3"/>
    <x v="5"/>
    <x v="1"/>
    <n v="675"/>
    <n v="960"/>
  </r>
  <r>
    <s v="ORD-01575"/>
    <x v="117"/>
    <s v="CUST-0072"/>
    <s v="PROD-053"/>
    <s v="R010"/>
    <n v="7"/>
    <n v="470"/>
    <n v="21.6"/>
    <n v="2579.36"/>
    <s v="Completed"/>
    <s v="Mumbai"/>
    <x v="3"/>
    <x v="1"/>
    <x v="1"/>
    <n v="302"/>
    <n v="470"/>
  </r>
  <r>
    <s v="ORD-01576"/>
    <x v="327"/>
    <s v="CUST-0004"/>
    <s v="PROD-009"/>
    <s v="R027"/>
    <n v="4"/>
    <n v="1220"/>
    <n v="12.6"/>
    <n v="4265.12"/>
    <s v="Completed"/>
    <s v="Delhi"/>
    <x v="2"/>
    <x v="4"/>
    <x v="2"/>
    <n v="517"/>
    <n v="1220"/>
  </r>
  <r>
    <s v="ORD-01577"/>
    <x v="174"/>
    <s v="CUST-0249"/>
    <s v="PROD-054"/>
    <s v="R008"/>
    <n v="4"/>
    <n v="1010"/>
    <n v="11.3"/>
    <n v="3583.48"/>
    <s v="Completed"/>
    <s v="Mumbai"/>
    <x v="3"/>
    <x v="1"/>
    <x v="3"/>
    <n v="516"/>
    <n v="1010"/>
  </r>
  <r>
    <s v="ORD-01578"/>
    <x v="253"/>
    <s v="CUST-0139"/>
    <s v="PROD-028"/>
    <s v="R005"/>
    <n v="4"/>
    <n v="3660"/>
    <n v="7.2"/>
    <n v="13585.92"/>
    <s v="Completed"/>
    <s v="Hyderabad"/>
    <x v="5"/>
    <x v="2"/>
    <x v="2"/>
    <n v="2214"/>
    <n v="3660"/>
  </r>
  <r>
    <s v="ORD-01579"/>
    <x v="138"/>
    <s v="CUST-0019"/>
    <s v="PROD-038"/>
    <s v="R010"/>
    <n v="4"/>
    <n v="5490"/>
    <n v="8"/>
    <n v="20203.2"/>
    <s v="Completed"/>
    <s v="Chennai"/>
    <x v="1"/>
    <x v="3"/>
    <x v="3"/>
    <n v="2549"/>
    <n v="5490"/>
  </r>
  <r>
    <s v="ORD-01580"/>
    <x v="218"/>
    <s v="CUST-0210"/>
    <s v="PROD-022"/>
    <s v="R003"/>
    <n v="6"/>
    <n v="2270"/>
    <n v="17.100000000000001"/>
    <n v="11290.98"/>
    <s v="Completed"/>
    <s v="Pune"/>
    <x v="0"/>
    <x v="2"/>
    <x v="3"/>
    <n v="1412"/>
    <n v="2270"/>
  </r>
  <r>
    <s v="ORD-01581"/>
    <x v="276"/>
    <s v="CUST-0168"/>
    <s v="PROD-022"/>
    <s v="R015"/>
    <n v="8"/>
    <n v="2270"/>
    <n v="11.9"/>
    <n v="15998.96"/>
    <s v="Pending"/>
    <s v="Pune"/>
    <x v="0"/>
    <x v="2"/>
    <x v="0"/>
    <n v="1412"/>
    <n v="2270"/>
  </r>
  <r>
    <s v="ORD-01582"/>
    <x v="95"/>
    <s v="CUST-0094"/>
    <s v="PROD-002"/>
    <s v="R018"/>
    <n v="6"/>
    <n v="2600"/>
    <n v="5.0999999999999996"/>
    <n v="14804.4"/>
    <s v="Completed"/>
    <s v="Pune"/>
    <x v="0"/>
    <x v="4"/>
    <x v="2"/>
    <n v="1052"/>
    <n v="2600"/>
  </r>
  <r>
    <s v="ORD-01583"/>
    <x v="210"/>
    <s v="CUST-0259"/>
    <s v="PROD-004"/>
    <s v="R027"/>
    <n v="9"/>
    <n v="3870"/>
    <n v="1.8"/>
    <n v="34203.06"/>
    <s v="Cancelled"/>
    <s v="Mumbai"/>
    <x v="3"/>
    <x v="4"/>
    <x v="0"/>
    <n v="1559"/>
    <n v="3870"/>
  </r>
  <r>
    <s v="ORD-01584"/>
    <x v="61"/>
    <s v="CUST-0150"/>
    <s v="PROD-006"/>
    <s v="R006"/>
    <n v="3"/>
    <n v="3970"/>
    <n v="8.1999999999999993"/>
    <n v="10933.38"/>
    <s v="Completed"/>
    <s v="Pune"/>
    <x v="0"/>
    <x v="4"/>
    <x v="1"/>
    <n v="2865"/>
    <n v="3970"/>
  </r>
  <r>
    <s v="ORD-01585"/>
    <x v="334"/>
    <s v="CUST-0040"/>
    <s v="PROD-049"/>
    <s v="R028"/>
    <n v="9"/>
    <n v="960"/>
    <n v="21.7"/>
    <n v="6765.12"/>
    <s v="Cancelled"/>
    <s v="Chennai"/>
    <x v="1"/>
    <x v="5"/>
    <x v="1"/>
    <n v="675"/>
    <n v="960"/>
  </r>
  <r>
    <s v="ORD-01586"/>
    <x v="215"/>
    <s v="CUST-0290"/>
    <s v="PROD-052"/>
    <s v="R025"/>
    <n v="3"/>
    <n v="5410"/>
    <n v="20.3"/>
    <n v="12935.31"/>
    <s v="Completed"/>
    <s v="Delhi"/>
    <x v="2"/>
    <x v="1"/>
    <x v="1"/>
    <n v="2265"/>
    <n v="5410"/>
  </r>
  <r>
    <s v="ORD-01587"/>
    <x v="133"/>
    <s v="CUST-0123"/>
    <s v="PROD-011"/>
    <s v="R005"/>
    <n v="3"/>
    <n v="3450"/>
    <n v="11.6"/>
    <n v="9149.4"/>
    <s v="Completed"/>
    <s v="Chennai"/>
    <x v="1"/>
    <x v="0"/>
    <x v="3"/>
    <n v="1748"/>
    <n v="3450"/>
  </r>
  <r>
    <s v="ORD-01588"/>
    <x v="40"/>
    <s v="CUST-0053"/>
    <s v="PROD-045"/>
    <s v="R008"/>
    <n v="2"/>
    <n v="3020"/>
    <n v="20.8"/>
    <n v="4783.68"/>
    <s v="Pending"/>
    <s v="Delhi"/>
    <x v="2"/>
    <x v="5"/>
    <x v="0"/>
    <n v="1626"/>
    <n v="3020"/>
  </r>
  <r>
    <s v="ORD-01589"/>
    <x v="232"/>
    <s v="CUST-0179"/>
    <s v="PROD-060"/>
    <s v="R002"/>
    <n v="3"/>
    <n v="190"/>
    <n v="10.7"/>
    <n v="509.01"/>
    <s v="Completed"/>
    <s v="Mumbai"/>
    <x v="3"/>
    <x v="1"/>
    <x v="0"/>
    <n v="147"/>
    <n v="190"/>
  </r>
  <r>
    <s v="ORD-01590"/>
    <x v="137"/>
    <s v="CUST-0006"/>
    <s v="PROD-031"/>
    <s v="R012"/>
    <n v="4"/>
    <n v="3730"/>
    <n v="6.9"/>
    <n v="13890.52"/>
    <s v="Completed"/>
    <s v="Pune"/>
    <x v="0"/>
    <x v="3"/>
    <x v="2"/>
    <n v="2135"/>
    <n v="3730"/>
  </r>
  <r>
    <s v="ORD-01591"/>
    <x v="240"/>
    <s v="CUST-0272"/>
    <s v="PROD-051"/>
    <s v="R025"/>
    <n v="9"/>
    <n v="3450"/>
    <n v="22.2"/>
    <n v="24156.9"/>
    <s v="Cancelled"/>
    <s v="Mumbai"/>
    <x v="3"/>
    <x v="1"/>
    <x v="2"/>
    <n v="2467"/>
    <n v="3450"/>
  </r>
  <r>
    <s v="ORD-01592"/>
    <x v="260"/>
    <s v="CUST-0274"/>
    <s v="PROD-006"/>
    <s v="R002"/>
    <n v="3"/>
    <n v="3970"/>
    <n v="6.8"/>
    <n v="11100.12"/>
    <s v="Completed"/>
    <s v="Bengaluru"/>
    <x v="4"/>
    <x v="4"/>
    <x v="2"/>
    <n v="2865"/>
    <n v="3970"/>
  </r>
  <r>
    <s v="ORD-01593"/>
    <x v="32"/>
    <s v="CUST-0262"/>
    <s v="PROD-035"/>
    <s v="R022"/>
    <n v="3"/>
    <n v="1090"/>
    <n v="23.7"/>
    <n v="2495.0100000000002"/>
    <s v="Completed"/>
    <s v="Mumbai"/>
    <x v="3"/>
    <x v="3"/>
    <x v="1"/>
    <n v="464"/>
    <n v="1090"/>
  </r>
  <r>
    <s v="ORD-01594"/>
    <x v="212"/>
    <s v="CUST-0087"/>
    <s v="PROD-033"/>
    <s v="R023"/>
    <n v="3"/>
    <n v="2030"/>
    <n v="18.8"/>
    <n v="4945.08"/>
    <s v="Completed"/>
    <s v="Pune"/>
    <x v="0"/>
    <x v="3"/>
    <x v="0"/>
    <n v="1143"/>
    <n v="2030"/>
  </r>
  <r>
    <s v="ORD-01595"/>
    <x v="27"/>
    <s v="CUST-0198"/>
    <s v="PROD-026"/>
    <s v="R008"/>
    <n v="2"/>
    <n v="4070"/>
    <n v="14.3"/>
    <n v="6975.98"/>
    <s v="Completed"/>
    <s v="Chennai"/>
    <x v="1"/>
    <x v="2"/>
    <x v="0"/>
    <n v="2027"/>
    <n v="4070"/>
  </r>
  <r>
    <s v="ORD-01596"/>
    <x v="306"/>
    <s v="CUST-0065"/>
    <s v="PROD-014"/>
    <s v="R028"/>
    <n v="3"/>
    <n v="3620"/>
    <n v="13.5"/>
    <n v="9393.9"/>
    <s v="Completed"/>
    <s v="Chennai"/>
    <x v="1"/>
    <x v="0"/>
    <x v="3"/>
    <n v="2509"/>
    <n v="3620"/>
  </r>
  <r>
    <s v="ORD-01597"/>
    <x v="235"/>
    <s v="CUST-0209"/>
    <s v="PROD-054"/>
    <s v="R001"/>
    <n v="4"/>
    <n v="1010"/>
    <n v="3.3"/>
    <n v="3906.68"/>
    <s v="Completed"/>
    <s v="Pune"/>
    <x v="0"/>
    <x v="1"/>
    <x v="0"/>
    <n v="516"/>
    <n v="1010"/>
  </r>
  <r>
    <s v="ORD-01598"/>
    <x v="304"/>
    <s v="CUST-0181"/>
    <s v="PROD-030"/>
    <s v="R005"/>
    <n v="7"/>
    <n v="970"/>
    <n v="0.1"/>
    <n v="6783.21"/>
    <s v="Completed"/>
    <s v="Delhi"/>
    <x v="2"/>
    <x v="2"/>
    <x v="1"/>
    <n v="434"/>
    <n v="970"/>
  </r>
  <r>
    <s v="ORD-01599"/>
    <x v="297"/>
    <s v="CUST-0007"/>
    <s v="PROD-053"/>
    <s v="R027"/>
    <n v="5"/>
    <n v="470"/>
    <n v="18.3"/>
    <n v="1919.95"/>
    <s v="Refunded"/>
    <s v="Bengaluru"/>
    <x v="4"/>
    <x v="1"/>
    <x v="1"/>
    <n v="302"/>
    <n v="470"/>
  </r>
  <r>
    <s v="ORD-01600"/>
    <x v="274"/>
    <s v="CUST-0050"/>
    <s v="PROD-011"/>
    <s v="R010"/>
    <n v="8"/>
    <n v="3450"/>
    <n v="5.0999999999999996"/>
    <n v="26192.400000000001"/>
    <s v="Refunded"/>
    <s v="Mumbai"/>
    <x v="3"/>
    <x v="0"/>
    <x v="2"/>
    <n v="1748"/>
    <n v="3450"/>
  </r>
  <r>
    <s v="ORD-01601"/>
    <x v="57"/>
    <s v="CUST-0155"/>
    <s v="PROD-010"/>
    <s v="R022"/>
    <n v="1"/>
    <n v="2640"/>
    <n v="5.9"/>
    <n v="2484.2399999999998"/>
    <s v="Completed"/>
    <s v="Pune"/>
    <x v="0"/>
    <x v="4"/>
    <x v="0"/>
    <n v="1149"/>
    <n v="2640"/>
  </r>
  <r>
    <s v="ORD-01602"/>
    <x v="20"/>
    <s v="CUST-0085"/>
    <s v="PROD-003"/>
    <s v="R020"/>
    <n v="10"/>
    <n v="3570"/>
    <n v="21.5"/>
    <n v="28024.5"/>
    <s v="Completed"/>
    <s v="Chennai"/>
    <x v="1"/>
    <x v="4"/>
    <x v="1"/>
    <n v="1665"/>
    <n v="3570"/>
  </r>
  <r>
    <s v="ORD-01603"/>
    <x v="248"/>
    <s v="CUST-0285"/>
    <s v="PROD-007"/>
    <s v="R016"/>
    <n v="10"/>
    <n v="1430"/>
    <n v="11.4"/>
    <n v="12669.8"/>
    <s v="Cancelled"/>
    <s v="Hyderabad"/>
    <x v="5"/>
    <x v="4"/>
    <x v="1"/>
    <n v="861"/>
    <n v="1430"/>
  </r>
  <r>
    <s v="ORD-01604"/>
    <x v="175"/>
    <s v="CUST-0148"/>
    <s v="PROD-057"/>
    <s v="R013"/>
    <n v="7"/>
    <n v="960"/>
    <n v="22.9"/>
    <n v="5181.12"/>
    <s v="Completed"/>
    <s v="Chennai"/>
    <x v="1"/>
    <x v="1"/>
    <x v="1"/>
    <n v="705"/>
    <n v="960"/>
  </r>
  <r>
    <s v="ORD-01605"/>
    <x v="38"/>
    <s v="CUST-0252"/>
    <s v="PROD-036"/>
    <s v="R010"/>
    <n v="8"/>
    <n v="3250"/>
    <n v="1.9"/>
    <n v="25506"/>
    <s v="Completed"/>
    <s v="Bengaluru"/>
    <x v="4"/>
    <x v="3"/>
    <x v="0"/>
    <n v="1556"/>
    <n v="3250"/>
  </r>
  <r>
    <s v="ORD-01606"/>
    <x v="320"/>
    <s v="CUST-0141"/>
    <s v="PROD-051"/>
    <s v="R018"/>
    <n v="9"/>
    <n v="3450"/>
    <n v="18"/>
    <n v="25461"/>
    <s v="Completed"/>
    <s v="Hyderabad"/>
    <x v="5"/>
    <x v="1"/>
    <x v="1"/>
    <n v="2467"/>
    <n v="3450"/>
  </r>
  <r>
    <s v="ORD-01607"/>
    <x v="30"/>
    <s v="CUST-0101"/>
    <s v="PROD-024"/>
    <s v="R016"/>
    <n v="5"/>
    <n v="2270"/>
    <n v="11.5"/>
    <n v="10044.75"/>
    <s v="Completed"/>
    <s v="Hyderabad"/>
    <x v="5"/>
    <x v="2"/>
    <x v="2"/>
    <n v="1203"/>
    <n v="2270"/>
  </r>
  <r>
    <s v="ORD-01608"/>
    <x v="121"/>
    <s v="CUST-0223"/>
    <s v="PROD-045"/>
    <s v="R019"/>
    <n v="6"/>
    <n v="3020"/>
    <n v="12.6"/>
    <n v="15836.88"/>
    <s v="Completed"/>
    <s v="Bengaluru"/>
    <x v="4"/>
    <x v="5"/>
    <x v="1"/>
    <n v="1626"/>
    <n v="3020"/>
  </r>
  <r>
    <s v="ORD-01609"/>
    <x v="58"/>
    <s v="CUST-0197"/>
    <s v="PROD-010"/>
    <s v="R008"/>
    <n v="8"/>
    <n v="2640"/>
    <n v="14.5"/>
    <n v="18057.599999999999"/>
    <s v="Refunded"/>
    <s v="Bengaluru"/>
    <x v="4"/>
    <x v="4"/>
    <x v="0"/>
    <n v="1149"/>
    <n v="2640"/>
  </r>
  <r>
    <s v="ORD-01610"/>
    <x v="230"/>
    <s v="CUST-0260"/>
    <s v="PROD-024"/>
    <s v="R027"/>
    <n v="2"/>
    <n v="2270"/>
    <n v="27"/>
    <n v="3314.2"/>
    <s v="Completed"/>
    <s v="Bengaluru"/>
    <x v="4"/>
    <x v="2"/>
    <x v="1"/>
    <n v="1203"/>
    <n v="2270"/>
  </r>
  <r>
    <s v="ORD-01611"/>
    <x v="184"/>
    <s v="CUST-0180"/>
    <s v="PROD-021"/>
    <s v="R027"/>
    <n v="8"/>
    <n v="2760"/>
    <n v="18"/>
    <n v="18105.599999999999"/>
    <s v="Cancelled"/>
    <s v="Chennai"/>
    <x v="1"/>
    <x v="2"/>
    <x v="2"/>
    <n v="1435"/>
    <n v="2760"/>
  </r>
  <r>
    <s v="ORD-01612"/>
    <x v="62"/>
    <s v="CUST-0166"/>
    <s v="PROD-014"/>
    <s v="R023"/>
    <n v="8"/>
    <n v="3620"/>
    <n v="7.1"/>
    <n v="26903.84"/>
    <s v="Completed"/>
    <s v="Hyderabad"/>
    <x v="5"/>
    <x v="0"/>
    <x v="1"/>
    <n v="2509"/>
    <n v="3620"/>
  </r>
  <r>
    <s v="ORD-01613"/>
    <x v="302"/>
    <s v="CUST-0062"/>
    <s v="PROD-042"/>
    <s v="R021"/>
    <n v="8"/>
    <n v="2290"/>
    <n v="16.399999999999999"/>
    <n v="15315.52"/>
    <s v="Completed"/>
    <s v="Pune"/>
    <x v="0"/>
    <x v="5"/>
    <x v="3"/>
    <n v="1219"/>
    <n v="2290"/>
  </r>
  <r>
    <s v="ORD-01614"/>
    <x v="32"/>
    <s v="CUST-0130"/>
    <s v="PROD-044"/>
    <s v="R019"/>
    <n v="3"/>
    <n v="1650"/>
    <n v="1.8"/>
    <n v="4860.8999999999996"/>
    <s v="Cancelled"/>
    <s v="Bengaluru"/>
    <x v="4"/>
    <x v="5"/>
    <x v="2"/>
    <n v="1222"/>
    <n v="1650"/>
  </r>
  <r>
    <s v="ORD-01615"/>
    <x v="362"/>
    <s v="CUST-0162"/>
    <s v="PROD-001"/>
    <s v="R018"/>
    <n v="3"/>
    <n v="5330"/>
    <n v="22.2"/>
    <n v="12440.22"/>
    <s v="Completed"/>
    <s v="Mumbai"/>
    <x v="3"/>
    <x v="4"/>
    <x v="0"/>
    <n v="2405"/>
    <n v="5330"/>
  </r>
  <r>
    <s v="ORD-01616"/>
    <x v="166"/>
    <s v="CUST-0153"/>
    <s v="PROD-040"/>
    <s v="R022"/>
    <n v="7"/>
    <n v="1080"/>
    <n v="17.899999999999999"/>
    <n v="6206.76"/>
    <s v="Completed"/>
    <s v="Mumbai"/>
    <x v="3"/>
    <x v="3"/>
    <x v="0"/>
    <n v="519"/>
    <n v="1080"/>
  </r>
  <r>
    <s v="ORD-01617"/>
    <x v="151"/>
    <s v="CUST-0071"/>
    <s v="PROD-009"/>
    <s v="R022"/>
    <n v="10"/>
    <n v="1220"/>
    <n v="5.7"/>
    <n v="11504.6"/>
    <s v="Completed"/>
    <s v="Delhi"/>
    <x v="2"/>
    <x v="4"/>
    <x v="1"/>
    <n v="517"/>
    <n v="1220"/>
  </r>
  <r>
    <s v="ORD-01618"/>
    <x v="83"/>
    <s v="CUST-0200"/>
    <s v="PROD-037"/>
    <s v="R030"/>
    <n v="10"/>
    <n v="660"/>
    <n v="7.5"/>
    <n v="6105"/>
    <s v="Completed"/>
    <s v="Hyderabad"/>
    <x v="5"/>
    <x v="3"/>
    <x v="3"/>
    <n v="329"/>
    <n v="660"/>
  </r>
  <r>
    <s v="ORD-01619"/>
    <x v="88"/>
    <s v="CUST-0266"/>
    <s v="PROD-040"/>
    <s v="R020"/>
    <n v="6"/>
    <n v="1080"/>
    <n v="28.9"/>
    <n v="4607.28"/>
    <s v="Completed"/>
    <s v="Pune"/>
    <x v="0"/>
    <x v="3"/>
    <x v="0"/>
    <n v="519"/>
    <n v="1080"/>
  </r>
  <r>
    <s v="ORD-01620"/>
    <x v="241"/>
    <s v="CUST-0171"/>
    <s v="PROD-022"/>
    <s v="R020"/>
    <n v="7"/>
    <n v="2270"/>
    <n v="1.4"/>
    <n v="15667.54"/>
    <s v="Completed"/>
    <s v="Chennai"/>
    <x v="1"/>
    <x v="2"/>
    <x v="3"/>
    <n v="1412"/>
    <n v="2270"/>
  </r>
  <r>
    <s v="ORD-01621"/>
    <x v="206"/>
    <s v="CUST-0221"/>
    <s v="PROD-032"/>
    <s v="R028"/>
    <n v="3"/>
    <n v="370"/>
    <n v="9.6"/>
    <n v="1003.44"/>
    <s v="Refunded"/>
    <s v="Delhi"/>
    <x v="2"/>
    <x v="3"/>
    <x v="1"/>
    <n v="288"/>
    <n v="370"/>
  </r>
  <r>
    <s v="ORD-01622"/>
    <x v="13"/>
    <s v="CUST-0038"/>
    <s v="PROD-030"/>
    <s v="R009"/>
    <n v="9"/>
    <n v="970"/>
    <n v="29.7"/>
    <n v="6137.19"/>
    <s v="Completed"/>
    <s v="Mumbai"/>
    <x v="3"/>
    <x v="2"/>
    <x v="3"/>
    <n v="434"/>
    <n v="970"/>
  </r>
  <r>
    <s v="ORD-00613"/>
    <x v="171"/>
    <s v="CUST-0174"/>
    <s v="PROD-016"/>
    <s v="R003"/>
    <n v="1"/>
    <n v="620"/>
    <n v="10.4"/>
    <n v="555.52"/>
    <s v="Cancelled"/>
    <s v="Pune"/>
    <x v="0"/>
    <x v="0"/>
    <x v="1"/>
    <n v="396"/>
    <n v="620"/>
  </r>
  <r>
    <s v="ORD-01624"/>
    <x v="80"/>
    <s v="CUST-0054"/>
    <s v="PROD-028"/>
    <s v="R029"/>
    <n v="5"/>
    <n v="3660"/>
    <n v="8"/>
    <n v="16836"/>
    <s v="Completed"/>
    <s v="Mumbai"/>
    <x v="3"/>
    <x v="2"/>
    <x v="3"/>
    <n v="2214"/>
    <n v="3660"/>
  </r>
  <r>
    <s v="ORD-01625"/>
    <x v="108"/>
    <s v="CUST-0071"/>
    <s v="PROD-029"/>
    <s v="R024"/>
    <n v="7"/>
    <n v="2210"/>
    <n v="13.7"/>
    <n v="13350.61"/>
    <s v="Refunded"/>
    <s v="Delhi"/>
    <x v="2"/>
    <x v="2"/>
    <x v="0"/>
    <n v="1010"/>
    <n v="2210"/>
  </r>
  <r>
    <s v="ORD-01626"/>
    <x v="252"/>
    <s v="CUST-0004"/>
    <s v="PROD-059"/>
    <s v="R028"/>
    <n v="1"/>
    <n v="3780"/>
    <n v="11.5"/>
    <n v="3345.3"/>
    <s v="Completed"/>
    <s v="Delhi"/>
    <x v="2"/>
    <x v="1"/>
    <x v="0"/>
    <n v="1860"/>
    <n v="3780"/>
  </r>
  <r>
    <s v="ORD-01627"/>
    <x v="131"/>
    <s v="CUST-0033"/>
    <s v="PROD-002"/>
    <s v="R005"/>
    <n v="10"/>
    <n v="2600"/>
    <n v="29.4"/>
    <n v="18356"/>
    <s v="Completed"/>
    <s v="Delhi"/>
    <x v="2"/>
    <x v="4"/>
    <x v="0"/>
    <n v="1052"/>
    <n v="2600"/>
  </r>
  <r>
    <s v="ORD-01628"/>
    <x v="13"/>
    <s v="CUST-0079"/>
    <s v="PROD-027"/>
    <s v="R017"/>
    <n v="3"/>
    <n v="3780"/>
    <n v="14.4"/>
    <n v="9707.0400000000009"/>
    <s v="Completed"/>
    <s v="Mumbai"/>
    <x v="3"/>
    <x v="2"/>
    <x v="0"/>
    <n v="2436"/>
    <n v="3780"/>
  </r>
  <r>
    <s v="ORD-01629"/>
    <x v="292"/>
    <s v="CUST-0176"/>
    <s v="PROD-010"/>
    <s v="R003"/>
    <n v="10"/>
    <n v="2640"/>
    <n v="26.8"/>
    <n v="19324.8"/>
    <s v="Pending"/>
    <s v="Bengaluru"/>
    <x v="4"/>
    <x v="4"/>
    <x v="1"/>
    <n v="1149"/>
    <n v="2640"/>
  </r>
  <r>
    <s v="ORD-01630"/>
    <x v="324"/>
    <s v="CUST-0254"/>
    <s v="PROD-035"/>
    <s v="R013"/>
    <n v="3"/>
    <n v="1090"/>
    <n v="9.1"/>
    <n v="2972.43"/>
    <s v="Completed"/>
    <s v="Bengaluru"/>
    <x v="4"/>
    <x v="3"/>
    <x v="3"/>
    <n v="464"/>
    <n v="1090"/>
  </r>
  <r>
    <s v="ORD-01631"/>
    <x v="308"/>
    <s v="CUST-0212"/>
    <s v="PROD-011"/>
    <s v="R024"/>
    <n v="3"/>
    <n v="3450"/>
    <n v="23"/>
    <n v="7969.5"/>
    <s v="Pending"/>
    <s v="Chennai"/>
    <x v="1"/>
    <x v="0"/>
    <x v="3"/>
    <n v="1748"/>
    <n v="3450"/>
  </r>
  <r>
    <s v="ORD-01632"/>
    <x v="13"/>
    <s v="CUST-0109"/>
    <s v="PROD-049"/>
    <s v="R015"/>
    <n v="1"/>
    <n v="960"/>
    <n v="1.1000000000000001"/>
    <n v="949.44"/>
    <s v="Completed"/>
    <s v="Pune"/>
    <x v="0"/>
    <x v="5"/>
    <x v="3"/>
    <n v="675"/>
    <n v="960"/>
  </r>
  <r>
    <s v="ORD-01633"/>
    <x v="251"/>
    <s v="CUST-0087"/>
    <s v="PROD-028"/>
    <s v="R030"/>
    <n v="9"/>
    <n v="3660"/>
    <n v="9"/>
    <n v="29975.4"/>
    <s v="Completed"/>
    <s v="Pune"/>
    <x v="0"/>
    <x v="2"/>
    <x v="0"/>
    <n v="2214"/>
    <n v="3660"/>
  </r>
  <r>
    <s v="ORD-01634"/>
    <x v="103"/>
    <s v="CUST-0167"/>
    <s v="PROD-031"/>
    <s v="R008"/>
    <n v="3"/>
    <n v="3730"/>
    <n v="15.8"/>
    <n v="9421.98"/>
    <s v="Completed"/>
    <s v="Delhi"/>
    <x v="2"/>
    <x v="3"/>
    <x v="3"/>
    <n v="2135"/>
    <n v="3730"/>
  </r>
  <r>
    <s v="ORD-01635"/>
    <x v="324"/>
    <s v="CUST-0079"/>
    <s v="PROD-026"/>
    <s v="R004"/>
    <n v="6"/>
    <n v="4070"/>
    <n v="6.2"/>
    <n v="22905.96"/>
    <s v="Completed"/>
    <s v="Mumbai"/>
    <x v="3"/>
    <x v="2"/>
    <x v="1"/>
    <n v="2027"/>
    <n v="4070"/>
  </r>
  <r>
    <s v="ORD-01636"/>
    <x v="90"/>
    <s v="CUST-0115"/>
    <s v="PROD-008"/>
    <s v="R022"/>
    <n v="1"/>
    <n v="2660"/>
    <n v="14.6"/>
    <n v="2271.64"/>
    <s v="Completed"/>
    <s v="Mumbai"/>
    <x v="3"/>
    <x v="4"/>
    <x v="3"/>
    <n v="1259"/>
    <n v="2660"/>
  </r>
  <r>
    <s v="ORD-01637"/>
    <x v="239"/>
    <s v="CUST-0184"/>
    <s v="PROD-033"/>
    <s v="R003"/>
    <n v="3"/>
    <n v="2030"/>
    <n v="13.3"/>
    <n v="5280.03"/>
    <s v="Cancelled"/>
    <s v="Pune"/>
    <x v="0"/>
    <x v="3"/>
    <x v="2"/>
    <n v="1143"/>
    <n v="2030"/>
  </r>
  <r>
    <s v="ORD-01638"/>
    <x v="274"/>
    <s v="CUST-0084"/>
    <s v="PROD-028"/>
    <s v="R001"/>
    <n v="4"/>
    <n v="3660"/>
    <n v="2.2000000000000002"/>
    <n v="14317.92"/>
    <s v="Completed"/>
    <s v="Chennai"/>
    <x v="1"/>
    <x v="2"/>
    <x v="3"/>
    <n v="2214"/>
    <n v="3660"/>
  </r>
  <r>
    <s v="ORD-01639"/>
    <x v="234"/>
    <s v="CUST-0186"/>
    <s v="PROD-008"/>
    <s v="R006"/>
    <n v="2"/>
    <n v="2660"/>
    <n v="7.2"/>
    <n v="4936.96"/>
    <s v="Cancelled"/>
    <s v="Bengaluru"/>
    <x v="4"/>
    <x v="4"/>
    <x v="0"/>
    <n v="1259"/>
    <n v="2660"/>
  </r>
  <r>
    <s v="ORD-01640"/>
    <x v="207"/>
    <s v="CUST-0077"/>
    <s v="PROD-046"/>
    <s v="R013"/>
    <n v="2"/>
    <n v="4880"/>
    <n v="23.8"/>
    <n v="7437.12"/>
    <s v="Completed"/>
    <s v="Hyderabad"/>
    <x v="5"/>
    <x v="5"/>
    <x v="1"/>
    <n v="2768"/>
    <n v="4880"/>
  </r>
  <r>
    <s v="ORD-01641"/>
    <x v="91"/>
    <s v="CUST-0093"/>
    <s v="PROD-011"/>
    <s v="R011"/>
    <n v="1"/>
    <n v="3450"/>
    <n v="1.7"/>
    <n v="3391.35"/>
    <s v="Completed"/>
    <s v="Pune"/>
    <x v="0"/>
    <x v="0"/>
    <x v="1"/>
    <n v="1748"/>
    <n v="3450"/>
  </r>
  <r>
    <s v="ORD-01642"/>
    <x v="269"/>
    <s v="CUST-0018"/>
    <s v="PROD-045"/>
    <s v="R023"/>
    <n v="4"/>
    <n v="3020"/>
    <n v="17.8"/>
    <n v="9929.76"/>
    <s v="Completed"/>
    <s v="Pune"/>
    <x v="0"/>
    <x v="5"/>
    <x v="0"/>
    <n v="1626"/>
    <n v="3020"/>
  </r>
  <r>
    <s v="ORD-01643"/>
    <x v="15"/>
    <s v="CUST-0034"/>
    <s v="PROD-056"/>
    <s v="R021"/>
    <n v="6"/>
    <n v="6940"/>
    <n v="8.9"/>
    <n v="37934.04"/>
    <s v="Completed"/>
    <s v="Delhi"/>
    <x v="2"/>
    <x v="1"/>
    <x v="2"/>
    <n v="2827"/>
    <n v="6940"/>
  </r>
  <r>
    <s v="ORD-01644"/>
    <x v="271"/>
    <s v="CUST-0111"/>
    <s v="PROD-021"/>
    <s v="R023"/>
    <n v="10"/>
    <n v="2760"/>
    <n v="8.9"/>
    <n v="25143.599999999999"/>
    <s v="Completed"/>
    <s v="Chennai"/>
    <x v="1"/>
    <x v="2"/>
    <x v="1"/>
    <n v="1435"/>
    <n v="2760"/>
  </r>
  <r>
    <s v="ORD-01645"/>
    <x v="202"/>
    <s v="CUST-0210"/>
    <s v="PROD-049"/>
    <s v="R020"/>
    <n v="8"/>
    <n v="960"/>
    <n v="20.9"/>
    <n v="6074.88"/>
    <s v="Completed"/>
    <s v="Pune"/>
    <x v="0"/>
    <x v="5"/>
    <x v="0"/>
    <n v="675"/>
    <n v="960"/>
  </r>
  <r>
    <s v="ORD-01646"/>
    <x v="71"/>
    <s v="CUST-0037"/>
    <s v="PROD-049"/>
    <s v="R012"/>
    <n v="4"/>
    <n v="960"/>
    <n v="29.1"/>
    <n v="2722.56"/>
    <s v="Completed"/>
    <s v="Bengaluru"/>
    <x v="4"/>
    <x v="5"/>
    <x v="3"/>
    <n v="675"/>
    <n v="960"/>
  </r>
  <r>
    <s v="ORD-01647"/>
    <x v="306"/>
    <s v="CUST-0192"/>
    <s v="PROD-030"/>
    <s v="R021"/>
    <n v="1"/>
    <n v="970"/>
    <n v="8.4"/>
    <n v="888.52"/>
    <s v="Cancelled"/>
    <s v="Bengaluru"/>
    <x v="4"/>
    <x v="2"/>
    <x v="3"/>
    <n v="434"/>
    <n v="970"/>
  </r>
  <r>
    <s v="ORD-01648"/>
    <x v="169"/>
    <s v="CUST-0038"/>
    <s v="PROD-050"/>
    <s v="R023"/>
    <n v="5"/>
    <n v="6080"/>
    <n v="17.600000000000001"/>
    <n v="25049.599999999999"/>
    <s v="Completed"/>
    <s v="Mumbai"/>
    <x v="3"/>
    <x v="5"/>
    <x v="3"/>
    <n v="2617"/>
    <n v="6080"/>
  </r>
  <r>
    <s v="ORD-01649"/>
    <x v="283"/>
    <s v="CUST-0034"/>
    <s v="PROD-028"/>
    <s v="R013"/>
    <n v="4"/>
    <n v="3660"/>
    <n v="21.8"/>
    <n v="11448.48"/>
    <s v="Pending"/>
    <s v="Delhi"/>
    <x v="2"/>
    <x v="2"/>
    <x v="3"/>
    <n v="2214"/>
    <n v="3660"/>
  </r>
  <r>
    <s v="ORD-01650"/>
    <x v="32"/>
    <s v="CUST-0248"/>
    <s v="PROD-031"/>
    <s v="R008"/>
    <n v="6"/>
    <n v="3730"/>
    <n v="13.3"/>
    <n v="19403.46"/>
    <s v="Cancelled"/>
    <s v="Chennai"/>
    <x v="1"/>
    <x v="3"/>
    <x v="0"/>
    <n v="2135"/>
    <n v="3730"/>
  </r>
  <r>
    <s v="ORD-01651"/>
    <x v="327"/>
    <s v="CUST-0194"/>
    <s v="PROD-004"/>
    <s v="R029"/>
    <n v="8"/>
    <n v="3870"/>
    <n v="21.2"/>
    <n v="24396.48"/>
    <s v="Pending"/>
    <s v="Delhi"/>
    <x v="2"/>
    <x v="4"/>
    <x v="0"/>
    <n v="1559"/>
    <n v="3870"/>
  </r>
  <r>
    <s v="ORD-01652"/>
    <x v="69"/>
    <s v="CUST-0114"/>
    <s v="PROD-021"/>
    <s v="R016"/>
    <n v="4"/>
    <n v="2760"/>
    <n v="14"/>
    <n v="9494.4"/>
    <s v="Completed"/>
    <s v="Bengaluru"/>
    <x v="4"/>
    <x v="2"/>
    <x v="2"/>
    <n v="1435"/>
    <n v="2760"/>
  </r>
  <r>
    <s v="ORD-01653"/>
    <x v="100"/>
    <s v="CUST-0118"/>
    <s v="PROD-023"/>
    <s v="R020"/>
    <n v="5"/>
    <n v="2380"/>
    <n v="16.399999999999999"/>
    <n v="9948.4"/>
    <s v="Completed"/>
    <s v="Hyderabad"/>
    <x v="5"/>
    <x v="2"/>
    <x v="3"/>
    <n v="1182"/>
    <n v="2380"/>
  </r>
  <r>
    <s v="ORD-01654"/>
    <x v="246"/>
    <s v="CUST-9719"/>
    <s v="PROD-050"/>
    <s v="R015"/>
    <n v="2"/>
    <n v="6080"/>
    <n v="20.100000000000001"/>
    <n v="9715.84"/>
    <s v="Cancelled"/>
    <s v="Mumbai"/>
    <x v="3"/>
    <x v="5"/>
    <x v="0"/>
    <n v="2617"/>
    <n v="6080"/>
  </r>
  <r>
    <s v="ORD-01655"/>
    <x v="296"/>
    <s v="CUST-0232"/>
    <s v="PROD-016"/>
    <s v="R016"/>
    <n v="2"/>
    <n v="620"/>
    <n v="4.3"/>
    <n v="1186.68"/>
    <s v="Completed"/>
    <s v="Hyderabad"/>
    <x v="5"/>
    <x v="0"/>
    <x v="1"/>
    <n v="396"/>
    <n v="620"/>
  </r>
  <r>
    <s v="ORD-01656"/>
    <x v="16"/>
    <s v="CUST-0240"/>
    <s v="PROD-004"/>
    <s v="R012"/>
    <n v="7"/>
    <n v="3870"/>
    <n v="5.9"/>
    <n v="25491.69"/>
    <s v="Completed"/>
    <s v="Chennai"/>
    <x v="1"/>
    <x v="4"/>
    <x v="1"/>
    <n v="1559"/>
    <n v="3870"/>
  </r>
  <r>
    <s v="ORD-01657"/>
    <x v="249"/>
    <s v="CUST-0227"/>
    <s v="PROD-003"/>
    <s v="R020"/>
    <n v="8"/>
    <n v="3570"/>
    <n v="24.6"/>
    <n v="21534.240000000002"/>
    <s v="Completed"/>
    <s v="Bengaluru"/>
    <x v="4"/>
    <x v="4"/>
    <x v="1"/>
    <n v="1665"/>
    <n v="3570"/>
  </r>
  <r>
    <s v="ORD-01658"/>
    <x v="168"/>
    <s v="CUST-0234"/>
    <s v="PROD-026"/>
    <s v="R010"/>
    <n v="1"/>
    <n v="4070"/>
    <n v="29.1"/>
    <n v="2885.63"/>
    <s v="Pending"/>
    <s v="Bengaluru"/>
    <x v="4"/>
    <x v="2"/>
    <x v="3"/>
    <n v="2027"/>
    <n v="4070"/>
  </r>
  <r>
    <s v="ORD-01659"/>
    <x v="296"/>
    <s v="CUST-0041"/>
    <s v="PROD-020"/>
    <s v="R017"/>
    <n v="1"/>
    <n v="820"/>
    <n v="17.899999999999999"/>
    <n v="673.22"/>
    <s v="Completed"/>
    <s v="Bengaluru"/>
    <x v="4"/>
    <x v="0"/>
    <x v="2"/>
    <n v="391"/>
    <n v="820"/>
  </r>
  <r>
    <s v="ORD-01660"/>
    <x v="175"/>
    <s v="CUST-0129"/>
    <s v="PROD-045"/>
    <s v="R029"/>
    <n v="5"/>
    <n v="3020"/>
    <n v="26.2"/>
    <n v="11143.8"/>
    <s v="Completed"/>
    <s v="Hyderabad"/>
    <x v="5"/>
    <x v="5"/>
    <x v="3"/>
    <n v="1626"/>
    <n v="3020"/>
  </r>
  <r>
    <s v="ORD-01661"/>
    <x v="91"/>
    <s v="CUST-0141"/>
    <s v="PROD-018"/>
    <s v="R022"/>
    <n v="10"/>
    <n v="3560"/>
    <n v="15.4"/>
    <n v="30117.599999999999"/>
    <s v="Refunded"/>
    <s v="Hyderabad"/>
    <x v="5"/>
    <x v="0"/>
    <x v="2"/>
    <n v="2629"/>
    <n v="3560"/>
  </r>
  <r>
    <s v="ORD-01662"/>
    <x v="299"/>
    <s v="CUST-0282"/>
    <s v="PROD-043"/>
    <s v="R001"/>
    <n v="3"/>
    <n v="3350"/>
    <n v="8.1"/>
    <n v="9235.9500000000007"/>
    <s v="Completed"/>
    <s v="Hyderabad"/>
    <x v="5"/>
    <x v="5"/>
    <x v="2"/>
    <n v="1728"/>
    <n v="3350"/>
  </r>
  <r>
    <s v="ORD-01663"/>
    <x v="176"/>
    <s v="CUST-0269"/>
    <s v="PROD-042"/>
    <s v="R025"/>
    <n v="10"/>
    <n v="2290"/>
    <n v="7"/>
    <n v="21297"/>
    <s v="Completed"/>
    <s v="Pune"/>
    <x v="0"/>
    <x v="5"/>
    <x v="3"/>
    <n v="1219"/>
    <n v="2290"/>
  </r>
  <r>
    <s v="ORD-01664"/>
    <x v="64"/>
    <s v="CUST-0239"/>
    <s v="PROD-028"/>
    <s v="R003"/>
    <n v="6"/>
    <n v="3660"/>
    <n v="29.9"/>
    <n v="15393.96"/>
    <s v="Completed"/>
    <s v="Mumbai"/>
    <x v="3"/>
    <x v="2"/>
    <x v="3"/>
    <n v="2214"/>
    <n v="3660"/>
  </r>
  <r>
    <s v="ORD-01665"/>
    <x v="87"/>
    <s v="CUST-0075"/>
    <s v="PROD-010"/>
    <s v="R013"/>
    <n v="8"/>
    <n v="2640"/>
    <n v="4.2"/>
    <n v="20232.96"/>
    <s v="Refunded"/>
    <s v="Mumbai"/>
    <x v="3"/>
    <x v="4"/>
    <x v="0"/>
    <n v="1149"/>
    <n v="2640"/>
  </r>
  <r>
    <s v="ORD-01666"/>
    <x v="194"/>
    <s v="CUST-0184"/>
    <s v="PROD-032"/>
    <s v="R006"/>
    <n v="5"/>
    <n v="370"/>
    <n v="6"/>
    <n v="1739"/>
    <s v="Completed"/>
    <s v="Pune"/>
    <x v="0"/>
    <x v="3"/>
    <x v="2"/>
    <n v="288"/>
    <n v="370"/>
  </r>
  <r>
    <s v="ORD-01667"/>
    <x v="312"/>
    <s v="CUST-0144"/>
    <s v="PROD-024"/>
    <s v="R007"/>
    <n v="9"/>
    <n v="2270"/>
    <n v="4.7"/>
    <n v="19469.79"/>
    <s v="Completed"/>
    <s v="Chennai"/>
    <x v="1"/>
    <x v="2"/>
    <x v="2"/>
    <n v="1203"/>
    <n v="2270"/>
  </r>
  <r>
    <s v="ORD-01668"/>
    <x v="85"/>
    <s v="CUST-0039"/>
    <s v="PROD-037"/>
    <s v="R011"/>
    <n v="5"/>
    <n v="660"/>
    <n v="21"/>
    <n v="2607"/>
    <s v="Completed"/>
    <s v="Bengaluru"/>
    <x v="4"/>
    <x v="3"/>
    <x v="1"/>
    <n v="329"/>
    <n v="660"/>
  </r>
  <r>
    <s v="ORD-01669"/>
    <x v="192"/>
    <s v="CUST-9765"/>
    <s v="PROD-057"/>
    <s v="R003"/>
    <n v="2"/>
    <n v="960"/>
    <n v="7.3"/>
    <n v="1779.84"/>
    <s v="Completed"/>
    <s v="Bengaluru"/>
    <x v="4"/>
    <x v="1"/>
    <x v="1"/>
    <n v="705"/>
    <n v="960"/>
  </r>
  <r>
    <s v="ORD-01670"/>
    <x v="89"/>
    <s v="CUST-0159"/>
    <s v="PROD-048"/>
    <s v="R009"/>
    <n v="3"/>
    <n v="5100"/>
    <n v="21"/>
    <n v="12087"/>
    <s v="Completed"/>
    <s v="Hyderabad"/>
    <x v="5"/>
    <x v="5"/>
    <x v="0"/>
    <n v="2237"/>
    <n v="5100"/>
  </r>
  <r>
    <s v="ORD-01671"/>
    <x v="286"/>
    <s v="CUST-0168"/>
    <s v="PROD-012"/>
    <s v="R004"/>
    <n v="3"/>
    <n v="3160"/>
    <n v="13.5"/>
    <n v="8200.2000000000007"/>
    <s v="Completed"/>
    <s v="Pune"/>
    <x v="0"/>
    <x v="0"/>
    <x v="1"/>
    <n v="1886"/>
    <n v="3160"/>
  </r>
  <r>
    <s v="ORD-01672"/>
    <x v="111"/>
    <s v="CUST-9552"/>
    <s v="PROD-041"/>
    <s v="R005"/>
    <n v="9"/>
    <n v="1540"/>
    <n v="18.2"/>
    <n v="11337.48"/>
    <s v="Cancelled"/>
    <s v="Bengaluru"/>
    <x v="4"/>
    <x v="5"/>
    <x v="3"/>
    <n v="647"/>
    <n v="1540"/>
  </r>
  <r>
    <s v="ORD-01673"/>
    <x v="313"/>
    <s v="CUST-0056"/>
    <s v="PROD-047"/>
    <s v="R024"/>
    <n v="4"/>
    <n v="3450"/>
    <n v="26.4"/>
    <n v="10156.799999999999"/>
    <s v="Pending"/>
    <s v="Bengaluru"/>
    <x v="4"/>
    <x v="5"/>
    <x v="2"/>
    <n v="2420"/>
    <n v="3450"/>
  </r>
  <r>
    <s v="ORD-01674"/>
    <x v="311"/>
    <s v="CUST-0239"/>
    <s v="PROD-023"/>
    <s v="R026"/>
    <n v="4"/>
    <n v="2380"/>
    <n v="6.9"/>
    <n v="8863.1200000000008"/>
    <s v="Completed"/>
    <s v="Mumbai"/>
    <x v="3"/>
    <x v="2"/>
    <x v="1"/>
    <n v="1182"/>
    <n v="2380"/>
  </r>
  <r>
    <s v="ORD-01675"/>
    <x v="140"/>
    <s v="CUST-0168"/>
    <s v="PROD-031"/>
    <s v="R003"/>
    <n v="2"/>
    <n v="3730"/>
    <n v="22.9"/>
    <n v="5751.66"/>
    <s v="Completed"/>
    <s v="Pune"/>
    <x v="0"/>
    <x v="3"/>
    <x v="3"/>
    <n v="2135"/>
    <n v="3730"/>
  </r>
  <r>
    <s v="ORD-01676"/>
    <x v="0"/>
    <s v="CUST-0012"/>
    <s v="PROD-036"/>
    <s v="R002"/>
    <n v="7"/>
    <n v="3250"/>
    <n v="6"/>
    <n v="21385"/>
    <s v="Completed"/>
    <s v="Pune"/>
    <x v="0"/>
    <x v="3"/>
    <x v="0"/>
    <n v="1556"/>
    <n v="3250"/>
  </r>
  <r>
    <s v="ORD-01677"/>
    <x v="281"/>
    <s v="CUST-0057"/>
    <s v="PROD-053"/>
    <s v="R020"/>
    <n v="9"/>
    <n v="470"/>
    <n v="11.6"/>
    <n v="3739.32"/>
    <s v="Completed"/>
    <s v="Pune"/>
    <x v="0"/>
    <x v="1"/>
    <x v="1"/>
    <n v="302"/>
    <n v="470"/>
  </r>
  <r>
    <s v="ORD-01678"/>
    <x v="308"/>
    <s v="CUST-0030"/>
    <s v="PROD-042"/>
    <s v="R026"/>
    <n v="5"/>
    <n v="2290"/>
    <n v="27.6"/>
    <n v="8289.7999999999993"/>
    <s v="Completed"/>
    <s v="Bengaluru"/>
    <x v="4"/>
    <x v="5"/>
    <x v="2"/>
    <n v="1219"/>
    <n v="2290"/>
  </r>
  <r>
    <s v="ORD-01679"/>
    <x v="32"/>
    <s v="CUST-0166"/>
    <s v="PROD-007"/>
    <s v="R029"/>
    <n v="6"/>
    <n v="1430"/>
    <n v="18.399999999999999"/>
    <n v="7001.28"/>
    <s v="Pending"/>
    <s v="Hyderabad"/>
    <x v="5"/>
    <x v="4"/>
    <x v="3"/>
    <n v="861"/>
    <n v="1430"/>
  </r>
  <r>
    <s v="ORD-01680"/>
    <x v="260"/>
    <s v="CUST-0188"/>
    <s v="PROD-055"/>
    <s v="R002"/>
    <n v="7"/>
    <n v="2860"/>
    <n v="19.5"/>
    <n v="16116.1"/>
    <s v="Completed"/>
    <s v="Bengaluru"/>
    <x v="4"/>
    <x v="1"/>
    <x v="3"/>
    <n v="2028"/>
    <n v="2860"/>
  </r>
  <r>
    <s v="ORD-01681"/>
    <x v="96"/>
    <s v="CUST-0097"/>
    <s v="PROD-047"/>
    <s v="R020"/>
    <n v="8"/>
    <n v="3450"/>
    <n v="25.5"/>
    <n v="20562"/>
    <s v="Pending"/>
    <s v="Mumbai"/>
    <x v="3"/>
    <x v="5"/>
    <x v="2"/>
    <n v="2420"/>
    <n v="3450"/>
  </r>
  <r>
    <s v="ORD-01682"/>
    <x v="344"/>
    <s v="CUST-0026"/>
    <s v="PROD-052"/>
    <s v="R019"/>
    <n v="7"/>
    <n v="5410"/>
    <n v="15.2"/>
    <n v="32113.759999999998"/>
    <s v="Cancelled"/>
    <s v="Pune"/>
    <x v="0"/>
    <x v="1"/>
    <x v="1"/>
    <n v="2265"/>
    <n v="5410"/>
  </r>
  <r>
    <s v="ORD-01683"/>
    <x v="276"/>
    <s v="CUST-0026"/>
    <s v="PROD-040"/>
    <s v="R025"/>
    <n v="3"/>
    <n v="1080"/>
    <n v="26"/>
    <n v="2397.6"/>
    <s v="Completed"/>
    <s v="Pune"/>
    <x v="0"/>
    <x v="3"/>
    <x v="3"/>
    <n v="519"/>
    <n v="1080"/>
  </r>
  <r>
    <s v="ORD-01684"/>
    <x v="20"/>
    <s v="CUST-0020"/>
    <s v="PROD-055"/>
    <s v="R019"/>
    <n v="8"/>
    <n v="2860"/>
    <n v="14.8"/>
    <n v="19493.759999999998"/>
    <s v="Completed"/>
    <s v="Hyderabad"/>
    <x v="5"/>
    <x v="1"/>
    <x v="1"/>
    <n v="2028"/>
    <n v="2860"/>
  </r>
  <r>
    <s v="ORD-01685"/>
    <x v="10"/>
    <s v="CUST-9740"/>
    <s v="PROD-045"/>
    <s v="R013"/>
    <n v="4"/>
    <n v="3020"/>
    <n v="8.1"/>
    <n v="11101.52"/>
    <s v="Completed"/>
    <s v="Hyderabad"/>
    <x v="5"/>
    <x v="5"/>
    <x v="0"/>
    <n v="1626"/>
    <n v="3020"/>
  </r>
  <r>
    <s v="ORD-01686"/>
    <x v="51"/>
    <s v="CUST-0095"/>
    <s v="PROD-057"/>
    <s v="R025"/>
    <n v="4"/>
    <n v="960"/>
    <n v="6.4"/>
    <n v="3594.24"/>
    <s v="Cancelled"/>
    <s v="Mumbai"/>
    <x v="3"/>
    <x v="1"/>
    <x v="3"/>
    <n v="705"/>
    <n v="960"/>
  </r>
  <r>
    <s v="ORD-01687"/>
    <x v="102"/>
    <s v="CUST-0079"/>
    <s v="PROD-004"/>
    <s v="R029"/>
    <n v="4"/>
    <n v="3870"/>
    <n v="15.9"/>
    <n v="13018.68"/>
    <s v="Completed"/>
    <s v="Mumbai"/>
    <x v="3"/>
    <x v="4"/>
    <x v="1"/>
    <n v="1559"/>
    <n v="3870"/>
  </r>
  <r>
    <s v="ORD-01688"/>
    <x v="239"/>
    <s v="CUST-0060"/>
    <s v="PROD-012"/>
    <s v="R020"/>
    <n v="5"/>
    <n v="3160"/>
    <n v="29.8"/>
    <n v="11091.6"/>
    <s v="Completed"/>
    <s v="Pune"/>
    <x v="0"/>
    <x v="0"/>
    <x v="0"/>
    <n v="1886"/>
    <n v="3160"/>
  </r>
  <r>
    <s v="ORD-01689"/>
    <x v="210"/>
    <s v="CUST-0080"/>
    <s v="PROD-047"/>
    <s v="R027"/>
    <n v="5"/>
    <n v="3450"/>
    <n v="29.4"/>
    <n v="12178.5"/>
    <s v="Completed"/>
    <s v="Pune"/>
    <x v="0"/>
    <x v="5"/>
    <x v="2"/>
    <n v="2420"/>
    <n v="3450"/>
  </r>
  <r>
    <s v="ORD-01690"/>
    <x v="275"/>
    <s v="CUST-0136"/>
    <s v="PROD-049"/>
    <s v="R018"/>
    <n v="10"/>
    <n v="960"/>
    <n v="27"/>
    <n v="7008"/>
    <s v="Cancelled"/>
    <s v="Chennai"/>
    <x v="1"/>
    <x v="5"/>
    <x v="1"/>
    <n v="675"/>
    <n v="960"/>
  </r>
  <r>
    <s v="ORD-01691"/>
    <x v="335"/>
    <s v="CUST-0074"/>
    <s v="PROD-056"/>
    <s v="R018"/>
    <n v="10"/>
    <n v="6940"/>
    <n v="20.100000000000001"/>
    <n v="55450.6"/>
    <s v="Completed"/>
    <s v="Bengaluru"/>
    <x v="4"/>
    <x v="1"/>
    <x v="3"/>
    <n v="2827"/>
    <n v="6940"/>
  </r>
  <r>
    <s v="ORD-01692"/>
    <x v="295"/>
    <s v="CUST-0090"/>
    <s v="PROD-058"/>
    <s v="R009"/>
    <n v="9"/>
    <n v="2400"/>
    <n v="7.8"/>
    <n v="19915.2"/>
    <s v="Completed"/>
    <s v="Bengaluru"/>
    <x v="4"/>
    <x v="1"/>
    <x v="2"/>
    <n v="974"/>
    <n v="2400"/>
  </r>
  <r>
    <s v="ORD-01693"/>
    <x v="245"/>
    <s v="CUST-0300"/>
    <s v="PROD-052"/>
    <s v="R017"/>
    <n v="1"/>
    <n v="5410"/>
    <n v="22.8"/>
    <n v="4176.5200000000004"/>
    <s v="Completed"/>
    <s v="Mumbai"/>
    <x v="3"/>
    <x v="1"/>
    <x v="2"/>
    <n v="2265"/>
    <n v="5410"/>
  </r>
  <r>
    <s v="ORD-01694"/>
    <x v="98"/>
    <s v="CUST-0188"/>
    <s v="PROD-009"/>
    <s v="R004"/>
    <n v="7"/>
    <n v="1220"/>
    <n v="18.8"/>
    <n v="6934.48"/>
    <s v="Pending"/>
    <s v="Bengaluru"/>
    <x v="4"/>
    <x v="4"/>
    <x v="3"/>
    <n v="517"/>
    <n v="1220"/>
  </r>
  <r>
    <s v="ORD-01695"/>
    <x v="127"/>
    <s v="CUST-0250"/>
    <s v="PROD-035"/>
    <s v="R019"/>
    <n v="1"/>
    <n v="1090"/>
    <n v="23.5"/>
    <n v="833.85"/>
    <s v="Completed"/>
    <s v="Delhi"/>
    <x v="2"/>
    <x v="3"/>
    <x v="1"/>
    <n v="464"/>
    <n v="1090"/>
  </r>
  <r>
    <s v="ORD-01696"/>
    <x v="101"/>
    <s v="CUST-0195"/>
    <s v="PROD-021"/>
    <s v="R023"/>
    <n v="2"/>
    <n v="2760"/>
    <n v="2.2999999999999998"/>
    <n v="5393.04"/>
    <s v="Completed"/>
    <s v="Bengaluru"/>
    <x v="4"/>
    <x v="2"/>
    <x v="0"/>
    <n v="1435"/>
    <n v="2760"/>
  </r>
  <r>
    <s v="ORD-01697"/>
    <x v="17"/>
    <s v="CUST-0185"/>
    <s v="PROD-003"/>
    <s v="R026"/>
    <n v="3"/>
    <n v="3570"/>
    <n v="18.399999999999999"/>
    <n v="8739.36"/>
    <s v="Refunded"/>
    <s v="Hyderabad"/>
    <x v="5"/>
    <x v="4"/>
    <x v="0"/>
    <n v="1665"/>
    <n v="3570"/>
  </r>
  <r>
    <s v="ORD-01698"/>
    <x v="349"/>
    <s v="CUST-0256"/>
    <s v="PROD-009"/>
    <s v="R004"/>
    <n v="7"/>
    <n v="1220"/>
    <n v="25.8"/>
    <n v="6336.68"/>
    <s v="Refunded"/>
    <s v="Hyderabad"/>
    <x v="5"/>
    <x v="4"/>
    <x v="1"/>
    <n v="517"/>
    <n v="1220"/>
  </r>
  <r>
    <s v="ORD-01699"/>
    <x v="350"/>
    <s v="CUST-0060"/>
    <s v="PROD-051"/>
    <s v="R029"/>
    <n v="6"/>
    <n v="3450"/>
    <n v="13.1"/>
    <n v="17988.3"/>
    <s v="Completed"/>
    <s v="Pune"/>
    <x v="0"/>
    <x v="1"/>
    <x v="2"/>
    <n v="2467"/>
    <n v="3450"/>
  </r>
  <r>
    <s v="ORD-01700"/>
    <x v="347"/>
    <s v="CUST-0275"/>
    <s v="PROD-029"/>
    <s v="R004"/>
    <n v="10"/>
    <n v="2210"/>
    <n v="16.600000000000001"/>
    <n v="18431.400000000001"/>
    <s v="Completed"/>
    <s v="Mumbai"/>
    <x v="3"/>
    <x v="2"/>
    <x v="0"/>
    <n v="1010"/>
    <n v="2210"/>
  </r>
  <r>
    <s v="ORD-01701"/>
    <x v="146"/>
    <s v="CUST-0114"/>
    <s v="PROD-019"/>
    <s v="R027"/>
    <n v="10"/>
    <n v="2480"/>
    <n v="17.5"/>
    <n v="20460"/>
    <s v="Completed"/>
    <s v="Bengaluru"/>
    <x v="4"/>
    <x v="0"/>
    <x v="2"/>
    <n v="1173"/>
    <n v="2480"/>
  </r>
  <r>
    <s v="ORD-01702"/>
    <x v="286"/>
    <s v="CUST-0060"/>
    <s v="PROD-036"/>
    <s v="R019"/>
    <n v="9"/>
    <n v="3250"/>
    <n v="25.9"/>
    <n v="21674.25"/>
    <s v="Completed"/>
    <s v="Pune"/>
    <x v="0"/>
    <x v="3"/>
    <x v="0"/>
    <n v="1556"/>
    <n v="3250"/>
  </r>
  <r>
    <s v="ORD-01703"/>
    <x v="267"/>
    <s v="CUST-0039"/>
    <s v="PROD-058"/>
    <s v="R008"/>
    <n v="3"/>
    <n v="2400"/>
    <n v="17.5"/>
    <n v="5940"/>
    <s v="Completed"/>
    <s v="Bengaluru"/>
    <x v="4"/>
    <x v="1"/>
    <x v="2"/>
    <n v="974"/>
    <n v="2400"/>
  </r>
  <r>
    <s v="ORD-01704"/>
    <x v="332"/>
    <s v="CUST-0033"/>
    <s v="PROD-052"/>
    <s v="R006"/>
    <n v="8"/>
    <n v="5410"/>
    <n v="8.3000000000000007"/>
    <n v="39687.760000000002"/>
    <s v="Completed"/>
    <s v="Delhi"/>
    <x v="2"/>
    <x v="1"/>
    <x v="2"/>
    <n v="2265"/>
    <n v="5410"/>
  </r>
  <r>
    <s v="ORD-01705"/>
    <x v="81"/>
    <s v="CUST-0037"/>
    <s v="PROD-002"/>
    <s v="R018"/>
    <n v="1"/>
    <n v="2600"/>
    <n v="5.9"/>
    <n v="2446.6"/>
    <s v="Completed"/>
    <s v="Bengaluru"/>
    <x v="4"/>
    <x v="4"/>
    <x v="1"/>
    <n v="1052"/>
    <n v="2600"/>
  </r>
  <r>
    <s v="ORD-01706"/>
    <x v="348"/>
    <s v="CUST-0081"/>
    <s v="PROD-025"/>
    <s v="R003"/>
    <n v="10"/>
    <n v="4060"/>
    <n v="2.2999999999999998"/>
    <n v="39666.199999999997"/>
    <s v="Completed"/>
    <s v="Mumbai"/>
    <x v="3"/>
    <x v="2"/>
    <x v="3"/>
    <n v="2911"/>
    <n v="4060"/>
  </r>
  <r>
    <s v="ORD-01707"/>
    <x v="279"/>
    <s v="CUST-0279"/>
    <s v="PROD-001"/>
    <s v="R020"/>
    <n v="9"/>
    <n v="5330"/>
    <n v="23.5"/>
    <n v="36697.050000000003"/>
    <s v="Completed"/>
    <s v="Mumbai"/>
    <x v="3"/>
    <x v="4"/>
    <x v="1"/>
    <n v="2405"/>
    <n v="5330"/>
  </r>
  <r>
    <s v="ORD-01708"/>
    <x v="77"/>
    <s v="CUST-0129"/>
    <s v="PROD-043"/>
    <s v="R025"/>
    <n v="7"/>
    <n v="3350"/>
    <n v="13.4"/>
    <n v="20307.7"/>
    <s v="Pending"/>
    <s v="Hyderabad"/>
    <x v="5"/>
    <x v="5"/>
    <x v="2"/>
    <n v="1728"/>
    <n v="3350"/>
  </r>
  <r>
    <s v="ORD-01709"/>
    <x v="252"/>
    <s v="CUST-0010"/>
    <s v="PROD-017"/>
    <s v="R014"/>
    <n v="4"/>
    <n v="2510"/>
    <n v="26.6"/>
    <n v="7369.36"/>
    <s v="Completed"/>
    <s v="Mumbai"/>
    <x v="3"/>
    <x v="0"/>
    <x v="3"/>
    <n v="1075"/>
    <n v="2510"/>
  </r>
  <r>
    <s v="ORD-01710"/>
    <x v="145"/>
    <s v="CUST-0006"/>
    <s v="PROD-045"/>
    <s v="R021"/>
    <n v="1"/>
    <n v="3020"/>
    <n v="15.2"/>
    <n v="2560.96"/>
    <s v="Cancelled"/>
    <s v="Pune"/>
    <x v="0"/>
    <x v="5"/>
    <x v="1"/>
    <n v="1626"/>
    <n v="3020"/>
  </r>
  <r>
    <s v="ORD-01711"/>
    <x v="149"/>
    <s v="CUST-0206"/>
    <s v="PROD-020"/>
    <s v="R029"/>
    <n v="1"/>
    <n v="820"/>
    <n v="6.3"/>
    <n v="768.34"/>
    <s v="Completed"/>
    <s v="Mumbai"/>
    <x v="3"/>
    <x v="0"/>
    <x v="0"/>
    <n v="391"/>
    <n v="820"/>
  </r>
  <r>
    <s v="ORD-01712"/>
    <x v="56"/>
    <s v="CUST-0034"/>
    <s v="PROD-012"/>
    <s v="R027"/>
    <n v="4"/>
    <n v="3160"/>
    <n v="3.6"/>
    <n v="12184.96"/>
    <s v="Pending"/>
    <s v="Delhi"/>
    <x v="2"/>
    <x v="0"/>
    <x v="1"/>
    <n v="1886"/>
    <n v="3160"/>
  </r>
  <r>
    <s v="ORD-01713"/>
    <x v="43"/>
    <s v="CUST-0121"/>
    <s v="PROD-028"/>
    <s v="R012"/>
    <n v="1"/>
    <n v="3660"/>
    <n v="28.2"/>
    <n v="2627.88"/>
    <s v="Pending"/>
    <s v="Delhi"/>
    <x v="2"/>
    <x v="2"/>
    <x v="0"/>
    <n v="2214"/>
    <n v="3660"/>
  </r>
  <r>
    <s v="ORD-01714"/>
    <x v="18"/>
    <s v="CUST-0098"/>
    <s v="PROD-020"/>
    <s v="R026"/>
    <n v="2"/>
    <n v="820"/>
    <n v="7"/>
    <n v="1525.2"/>
    <s v="Completed"/>
    <s v="Delhi"/>
    <x v="2"/>
    <x v="0"/>
    <x v="2"/>
    <n v="391"/>
    <n v="820"/>
  </r>
  <r>
    <s v="ORD-01715"/>
    <x v="225"/>
    <s v="CUST-0031"/>
    <s v="PROD-023"/>
    <s v="R022"/>
    <n v="5"/>
    <n v="2380"/>
    <n v="23"/>
    <n v="9163"/>
    <s v="Completed"/>
    <s v="Hyderabad"/>
    <x v="5"/>
    <x v="2"/>
    <x v="0"/>
    <n v="1182"/>
    <n v="2380"/>
  </r>
  <r>
    <s v="ORD-01716"/>
    <x v="109"/>
    <s v="CUST-0185"/>
    <s v="PROD-004"/>
    <s v="R013"/>
    <n v="1"/>
    <n v="3870"/>
    <n v="27.3"/>
    <n v="2813.49"/>
    <s v="Completed"/>
    <s v="Hyderabad"/>
    <x v="5"/>
    <x v="4"/>
    <x v="3"/>
    <n v="1559"/>
    <n v="3870"/>
  </r>
  <r>
    <s v="ORD-01717"/>
    <x v="114"/>
    <s v="CUST-0011"/>
    <s v="PROD-005"/>
    <s v="R007"/>
    <n v="10"/>
    <n v="300"/>
    <n v="14.1"/>
    <n v="2577"/>
    <s v="Cancelled"/>
    <s v="Chennai"/>
    <x v="1"/>
    <x v="4"/>
    <x v="0"/>
    <n v="128"/>
    <n v="300"/>
  </r>
  <r>
    <s v="ORD-01718"/>
    <x v="262"/>
    <s v="CUST-0223"/>
    <s v="PROD-048"/>
    <s v="R027"/>
    <n v="10"/>
    <n v="5100"/>
    <n v="12.7"/>
    <n v="44523"/>
    <s v="Completed"/>
    <s v="Bengaluru"/>
    <x v="4"/>
    <x v="5"/>
    <x v="3"/>
    <n v="2237"/>
    <n v="5100"/>
  </r>
  <r>
    <s v="ORD-01719"/>
    <x v="55"/>
    <s v="CUST-0126"/>
    <s v="PROD-021"/>
    <s v="R013"/>
    <n v="1"/>
    <n v="2760"/>
    <n v="17.8"/>
    <n v="2268.7199999999998"/>
    <s v="Refunded"/>
    <s v="Mumbai"/>
    <x v="3"/>
    <x v="2"/>
    <x v="3"/>
    <n v="1435"/>
    <n v="2760"/>
  </r>
  <r>
    <s v="ORD-01720"/>
    <x v="143"/>
    <s v="CUST-0284"/>
    <s v="PROD-001"/>
    <s v="R002"/>
    <n v="8"/>
    <n v="5330"/>
    <n v="16.399999999999999"/>
    <n v="35647.040000000001"/>
    <s v="Completed"/>
    <s v="Hyderabad"/>
    <x v="5"/>
    <x v="4"/>
    <x v="3"/>
    <n v="2405"/>
    <n v="5330"/>
  </r>
  <r>
    <s v="ORD-01721"/>
    <x v="136"/>
    <s v="CUST-0011"/>
    <s v="PROD-054"/>
    <s v="R016"/>
    <n v="1"/>
    <n v="1010"/>
    <n v="20.399999999999999"/>
    <n v="803.96"/>
    <s v="Cancelled"/>
    <s v="Chennai"/>
    <x v="1"/>
    <x v="1"/>
    <x v="1"/>
    <n v="516"/>
    <n v="1010"/>
  </r>
  <r>
    <s v="ORD-01722"/>
    <x v="351"/>
    <s v="CUST-0275"/>
    <s v="PROD-008"/>
    <s v="R019"/>
    <n v="10"/>
    <n v="2660"/>
    <n v="29.3"/>
    <n v="18806.2"/>
    <s v="Completed"/>
    <s v="Mumbai"/>
    <x v="3"/>
    <x v="4"/>
    <x v="1"/>
    <n v="1259"/>
    <n v="2660"/>
  </r>
  <r>
    <s v="ORD-01723"/>
    <x v="47"/>
    <s v="CUST-0259"/>
    <s v="PROD-006"/>
    <s v="R011"/>
    <n v="9"/>
    <n v="3970"/>
    <n v="10.4"/>
    <n v="32014.080000000002"/>
    <s v="Pending"/>
    <s v="Mumbai"/>
    <x v="3"/>
    <x v="4"/>
    <x v="0"/>
    <n v="2865"/>
    <n v="3970"/>
  </r>
  <r>
    <s v="ORD-01724"/>
    <x v="22"/>
    <s v="CUST-0089"/>
    <s v="PROD-014"/>
    <s v="R008"/>
    <n v="3"/>
    <n v="3620"/>
    <n v="22"/>
    <n v="8470.7999999999993"/>
    <s v="Completed"/>
    <s v="Mumbai"/>
    <x v="3"/>
    <x v="0"/>
    <x v="2"/>
    <n v="2509"/>
    <n v="3620"/>
  </r>
  <r>
    <s v="ORD-01725"/>
    <x v="266"/>
    <s v="CUST-0232"/>
    <s v="PROD-022"/>
    <s v="R018"/>
    <n v="6"/>
    <n v="2270"/>
    <n v="11.1"/>
    <n v="12108.18"/>
    <s v="Cancelled"/>
    <s v="Hyderabad"/>
    <x v="5"/>
    <x v="2"/>
    <x v="1"/>
    <n v="1412"/>
    <n v="2270"/>
  </r>
  <r>
    <s v="ORD-01726"/>
    <x v="363"/>
    <s v="CUST-0220"/>
    <s v="PROD-022"/>
    <s v="R014"/>
    <n v="4"/>
    <n v="2270"/>
    <n v="27.2"/>
    <n v="6610.24"/>
    <s v="Pending"/>
    <s v="Chennai"/>
    <x v="1"/>
    <x v="2"/>
    <x v="1"/>
    <n v="1412"/>
    <n v="2270"/>
  </r>
  <r>
    <s v="ORD-01727"/>
    <x v="31"/>
    <s v="CUST-0137"/>
    <s v="PROD-039"/>
    <s v="R012"/>
    <n v="8"/>
    <n v="4610"/>
    <n v="24.5"/>
    <n v="27844.400000000001"/>
    <s v="Completed"/>
    <s v="Mumbai"/>
    <x v="3"/>
    <x v="3"/>
    <x v="1"/>
    <n v="1850"/>
    <n v="4610"/>
  </r>
  <r>
    <s v="ORD-01728"/>
    <x v="250"/>
    <s v="CUST-0132"/>
    <s v="PROD-060"/>
    <s v="R020"/>
    <n v="6"/>
    <n v="190"/>
    <n v="8.6999999999999993"/>
    <n v="1040.82"/>
    <s v="Cancelled"/>
    <s v="Delhi"/>
    <x v="2"/>
    <x v="1"/>
    <x v="3"/>
    <n v="147"/>
    <n v="190"/>
  </r>
  <r>
    <s v="ORD-01729"/>
    <x v="7"/>
    <s v="CUST-0226"/>
    <s v="PROD-033"/>
    <s v="R026"/>
    <n v="5"/>
    <n v="2030"/>
    <n v="0.9"/>
    <n v="10058.65"/>
    <s v="Cancelled"/>
    <s v="Chennai"/>
    <x v="1"/>
    <x v="3"/>
    <x v="1"/>
    <n v="1143"/>
    <n v="2030"/>
  </r>
  <r>
    <s v="ORD-01730"/>
    <x v="105"/>
    <s v="CUST-0080"/>
    <s v="PROD-026"/>
    <s v="R020"/>
    <n v="1"/>
    <n v="4070"/>
    <n v="9.3000000000000007"/>
    <n v="3691.49"/>
    <s v="Refunded"/>
    <s v="Pune"/>
    <x v="0"/>
    <x v="2"/>
    <x v="2"/>
    <n v="2027"/>
    <n v="4070"/>
  </r>
  <r>
    <s v="ORD-01731"/>
    <x v="151"/>
    <s v="CUST-0068"/>
    <s v="PROD-042"/>
    <s v="R001"/>
    <n v="3"/>
    <n v="2290"/>
    <n v="12.1"/>
    <n v="6038.73"/>
    <s v="Completed"/>
    <s v="Delhi"/>
    <x v="2"/>
    <x v="5"/>
    <x v="1"/>
    <n v="1219"/>
    <n v="2290"/>
  </r>
  <r>
    <s v="ORD-01732"/>
    <x v="282"/>
    <s v="CUST-0146"/>
    <s v="PROD-031"/>
    <s v="R020"/>
    <n v="7"/>
    <n v="3730"/>
    <n v="4.5"/>
    <n v="24935.05"/>
    <s v="Completed"/>
    <s v="Hyderabad"/>
    <x v="5"/>
    <x v="3"/>
    <x v="2"/>
    <n v="2135"/>
    <n v="3730"/>
  </r>
  <r>
    <s v="ORD-01733"/>
    <x v="141"/>
    <s v="CUST-0106"/>
    <s v="PROD-016"/>
    <s v="R005"/>
    <n v="5"/>
    <n v="620"/>
    <n v="7.5"/>
    <n v="2867.5"/>
    <s v="Completed"/>
    <s v="Pune"/>
    <x v="0"/>
    <x v="0"/>
    <x v="3"/>
    <n v="396"/>
    <n v="620"/>
  </r>
  <r>
    <s v="ORD-01734"/>
    <x v="6"/>
    <s v="CUST-0096"/>
    <s v="PROD-010"/>
    <s v="R010"/>
    <n v="8"/>
    <n v="2640"/>
    <n v="16.399999999999999"/>
    <n v="17656.32"/>
    <s v="Completed"/>
    <s v="Delhi"/>
    <x v="2"/>
    <x v="4"/>
    <x v="0"/>
    <n v="1149"/>
    <n v="2640"/>
  </r>
  <r>
    <s v="ORD-01735"/>
    <x v="148"/>
    <s v="CUST-0248"/>
    <s v="PROD-028"/>
    <s v="R004"/>
    <n v="6"/>
    <n v="3660"/>
    <n v="6.2"/>
    <n v="20598.48"/>
    <s v="Completed"/>
    <s v="Chennai"/>
    <x v="1"/>
    <x v="2"/>
    <x v="2"/>
    <n v="2214"/>
    <n v="3660"/>
  </r>
  <r>
    <s v="ORD-01736"/>
    <x v="11"/>
    <s v="CUST-0297"/>
    <s v="PROD-020"/>
    <s v="R020"/>
    <n v="2"/>
    <n v="820"/>
    <n v="25.4"/>
    <n v="1223.44"/>
    <s v="Completed"/>
    <s v="Hyderabad"/>
    <x v="5"/>
    <x v="0"/>
    <x v="3"/>
    <n v="391"/>
    <n v="820"/>
  </r>
  <r>
    <s v="ORD-01737"/>
    <x v="102"/>
    <s v="CUST-0120"/>
    <s v="PROD-019"/>
    <s v="R021"/>
    <n v="3"/>
    <n v="2480"/>
    <n v="28.7"/>
    <n v="5304.72"/>
    <s v="Pending"/>
    <s v="Mumbai"/>
    <x v="3"/>
    <x v="0"/>
    <x v="2"/>
    <n v="1173"/>
    <n v="2480"/>
  </r>
  <r>
    <s v="ORD-01738"/>
    <x v="166"/>
    <s v="CUST-0148"/>
    <s v="PROD-050"/>
    <s v="R028"/>
    <n v="10"/>
    <n v="6080"/>
    <n v="18.899999999999999"/>
    <n v="49308.800000000003"/>
    <s v="Completed"/>
    <s v="Chennai"/>
    <x v="1"/>
    <x v="5"/>
    <x v="1"/>
    <n v="2617"/>
    <n v="6080"/>
  </r>
  <r>
    <s v="ORD-01739"/>
    <x v="260"/>
    <s v="CUST-0008"/>
    <s v="PROD-060"/>
    <s v="R022"/>
    <n v="1"/>
    <n v="190"/>
    <n v="5.7"/>
    <n v="179.17"/>
    <s v="Completed"/>
    <s v="Pune"/>
    <x v="0"/>
    <x v="1"/>
    <x v="3"/>
    <n v="147"/>
    <n v="190"/>
  </r>
  <r>
    <s v="ORD-01740"/>
    <x v="113"/>
    <s v="CUST-0013"/>
    <s v="PROD-059"/>
    <s v="R026"/>
    <n v="2"/>
    <n v="3780"/>
    <n v="11.8"/>
    <n v="6667.92"/>
    <s v="Completed"/>
    <s v="Delhi"/>
    <x v="2"/>
    <x v="1"/>
    <x v="2"/>
    <n v="1860"/>
    <n v="3780"/>
  </r>
  <r>
    <s v="ORD-01741"/>
    <x v="341"/>
    <s v="CUST-0234"/>
    <s v="PROD-036"/>
    <s v="R001"/>
    <n v="5"/>
    <n v="3250"/>
    <n v="19.899999999999999"/>
    <n v="13016.25"/>
    <s v="Completed"/>
    <s v="Bengaluru"/>
    <x v="4"/>
    <x v="3"/>
    <x v="1"/>
    <n v="1556"/>
    <n v="3250"/>
  </r>
  <r>
    <s v="ORD-01742"/>
    <x v="13"/>
    <s v="CUST-0207"/>
    <s v="PROD-033"/>
    <s v="R008"/>
    <n v="7"/>
    <n v="2030"/>
    <n v="4.0999999999999996"/>
    <n v="13627.39"/>
    <s v="Completed"/>
    <s v="Hyderabad"/>
    <x v="5"/>
    <x v="3"/>
    <x v="1"/>
    <n v="1143"/>
    <n v="2030"/>
  </r>
  <r>
    <s v="ORD-01743"/>
    <x v="330"/>
    <s v="CUST-0245"/>
    <s v="PROD-046"/>
    <s v="R012"/>
    <n v="5"/>
    <n v="4880"/>
    <n v="22.9"/>
    <n v="18812.400000000001"/>
    <s v="Completed"/>
    <s v="Hyderabad"/>
    <x v="5"/>
    <x v="5"/>
    <x v="0"/>
    <n v="2768"/>
    <n v="4880"/>
  </r>
  <r>
    <s v="ORD-01744"/>
    <x v="92"/>
    <s v="CUST-0044"/>
    <s v="PROD-043"/>
    <s v="R020"/>
    <n v="3"/>
    <n v="3350"/>
    <n v="15.2"/>
    <n v="8522.4"/>
    <s v="Pending"/>
    <s v="Hyderabad"/>
    <x v="5"/>
    <x v="5"/>
    <x v="1"/>
    <n v="1728"/>
    <n v="3350"/>
  </r>
  <r>
    <s v="ORD-01745"/>
    <x v="54"/>
    <s v="CUST-0264"/>
    <s v="PROD-055"/>
    <s v="R029"/>
    <n v="10"/>
    <n v="2860"/>
    <n v="15"/>
    <n v="24310"/>
    <s v="Completed"/>
    <s v="Pune"/>
    <x v="0"/>
    <x v="1"/>
    <x v="0"/>
    <n v="2028"/>
    <n v="2860"/>
  </r>
  <r>
    <s v="ORD-01746"/>
    <x v="328"/>
    <s v="CUST-0193"/>
    <s v="PROD-047"/>
    <s v="R018"/>
    <n v="5"/>
    <n v="3450"/>
    <n v="2.2999999999999998"/>
    <n v="16853.25"/>
    <s v="Completed"/>
    <s v="Bengaluru"/>
    <x v="4"/>
    <x v="5"/>
    <x v="3"/>
    <n v="2420"/>
    <n v="3450"/>
  </r>
  <r>
    <s v="ORD-01747"/>
    <x v="245"/>
    <s v="CUST-0006"/>
    <s v="PROD-024"/>
    <s v="R015"/>
    <n v="3"/>
    <n v="2270"/>
    <n v="2.8"/>
    <n v="6619.32"/>
    <s v="Pending"/>
    <s v="Pune"/>
    <x v="0"/>
    <x v="2"/>
    <x v="2"/>
    <n v="1203"/>
    <n v="2270"/>
  </r>
  <r>
    <s v="ORD-01748"/>
    <x v="20"/>
    <s v="CUST-0221"/>
    <s v="PROD-028"/>
    <s v="R007"/>
    <n v="8"/>
    <n v="3660"/>
    <n v="16.8"/>
    <n v="24360.959999999999"/>
    <s v="Completed"/>
    <s v="Delhi"/>
    <x v="2"/>
    <x v="2"/>
    <x v="2"/>
    <n v="2214"/>
    <n v="3660"/>
  </r>
  <r>
    <s v="ORD-01749"/>
    <x v="277"/>
    <s v="CUST-0151"/>
    <s v="PROD-045"/>
    <s v="R008"/>
    <n v="7"/>
    <n v="3020"/>
    <n v="17.8"/>
    <n v="17377.080000000002"/>
    <s v="Completed"/>
    <s v="Mumbai"/>
    <x v="3"/>
    <x v="5"/>
    <x v="0"/>
    <n v="1626"/>
    <n v="3020"/>
  </r>
  <r>
    <s v="ORD-01750"/>
    <x v="78"/>
    <s v="CUST-0188"/>
    <s v="PROD-040"/>
    <s v="R014"/>
    <n v="7"/>
    <n v="1080"/>
    <n v="12.9"/>
    <n v="6584.76"/>
    <s v="Completed"/>
    <s v="Bengaluru"/>
    <x v="4"/>
    <x v="3"/>
    <x v="3"/>
    <n v="519"/>
    <n v="1080"/>
  </r>
  <r>
    <s v="ORD-01751"/>
    <x v="315"/>
    <s v="CUST-0010"/>
    <s v="PROD-022"/>
    <s v="R012"/>
    <n v="2"/>
    <n v="2270"/>
    <n v="8.6"/>
    <n v="4149.5600000000004"/>
    <s v="Cancelled"/>
    <s v="Mumbai"/>
    <x v="3"/>
    <x v="2"/>
    <x v="3"/>
    <n v="1412"/>
    <n v="2270"/>
  </r>
  <r>
    <s v="ORD-01752"/>
    <x v="338"/>
    <s v="CUST-0018"/>
    <s v="PROD-016"/>
    <s v="R012"/>
    <n v="10"/>
    <n v="620"/>
    <n v="26.1"/>
    <n v="4581.8"/>
    <s v="Completed"/>
    <s v="Pune"/>
    <x v="0"/>
    <x v="0"/>
    <x v="3"/>
    <n v="396"/>
    <n v="620"/>
  </r>
  <r>
    <s v="ORD-01753"/>
    <x v="230"/>
    <s v="CUST-0262"/>
    <s v="PROD-025"/>
    <s v="R015"/>
    <n v="2"/>
    <n v="4060"/>
    <n v="3.8"/>
    <n v="7811.44"/>
    <s v="Completed"/>
    <s v="Mumbai"/>
    <x v="3"/>
    <x v="2"/>
    <x v="3"/>
    <n v="2911"/>
    <n v="4060"/>
  </r>
  <r>
    <s v="ORD-01754"/>
    <x v="56"/>
    <s v="CUST-0282"/>
    <s v="PROD-027"/>
    <s v="R012"/>
    <n v="1"/>
    <n v="3780"/>
    <n v="27.9"/>
    <n v="2725.38"/>
    <s v="Completed"/>
    <s v="Hyderabad"/>
    <x v="5"/>
    <x v="2"/>
    <x v="0"/>
    <n v="2436"/>
    <n v="3780"/>
  </r>
  <r>
    <s v="ORD-01755"/>
    <x v="7"/>
    <s v="CUST-0194"/>
    <s v="PROD-023"/>
    <s v="R022"/>
    <n v="8"/>
    <n v="2380"/>
    <n v="3.8"/>
    <n v="18316.48"/>
    <s v="Completed"/>
    <s v="Delhi"/>
    <x v="2"/>
    <x v="2"/>
    <x v="0"/>
    <n v="1182"/>
    <n v="2380"/>
  </r>
  <r>
    <s v="ORD-01756"/>
    <x v="239"/>
    <s v="CUST-0161"/>
    <s v="PROD-026"/>
    <s v="R024"/>
    <n v="7"/>
    <n v="4070"/>
    <n v="0.3"/>
    <n v="28404.53"/>
    <s v="Completed"/>
    <s v="Chennai"/>
    <x v="1"/>
    <x v="2"/>
    <x v="1"/>
    <n v="2027"/>
    <n v="4070"/>
  </r>
  <r>
    <s v="ORD-01757"/>
    <x v="61"/>
    <s v="CUST-0120"/>
    <s v="PROD-010"/>
    <s v="R020"/>
    <n v="6"/>
    <n v="2640"/>
    <n v="3.4"/>
    <n v="15301.44"/>
    <s v="Completed"/>
    <s v="Mumbai"/>
    <x v="3"/>
    <x v="4"/>
    <x v="0"/>
    <n v="1149"/>
    <n v="2640"/>
  </r>
  <r>
    <s v="ORD-01758"/>
    <x v="312"/>
    <s v="CUST-0250"/>
    <s v="PROD-059"/>
    <s v="R030"/>
    <n v="10"/>
    <n v="3780"/>
    <n v="13.3"/>
    <n v="32772.6"/>
    <s v="Completed"/>
    <s v="Delhi"/>
    <x v="2"/>
    <x v="1"/>
    <x v="2"/>
    <n v="1860"/>
    <n v="3780"/>
  </r>
  <r>
    <s v="ORD-01759"/>
    <x v="272"/>
    <s v="CUST-0054"/>
    <s v="PROD-043"/>
    <s v="R009"/>
    <n v="9"/>
    <n v="3350"/>
    <n v="12.8"/>
    <n v="26290.799999999999"/>
    <s v="Completed"/>
    <s v="Mumbai"/>
    <x v="3"/>
    <x v="5"/>
    <x v="3"/>
    <n v="1728"/>
    <n v="3350"/>
  </r>
  <r>
    <s v="ORD-01760"/>
    <x v="61"/>
    <s v="CUST-0247"/>
    <s v="PROD-012"/>
    <s v="R024"/>
    <n v="7"/>
    <n v="3160"/>
    <n v="15.3"/>
    <n v="18735.64"/>
    <s v="Completed"/>
    <s v="Pune"/>
    <x v="0"/>
    <x v="0"/>
    <x v="0"/>
    <n v="1886"/>
    <n v="3160"/>
  </r>
  <r>
    <s v="ORD-01761"/>
    <x v="49"/>
    <s v="CUST-0127"/>
    <s v="PROD-055"/>
    <s v="R004"/>
    <n v="6"/>
    <n v="2860"/>
    <n v="17.5"/>
    <n v="14157"/>
    <s v="Completed"/>
    <s v="Bengaluru"/>
    <x v="4"/>
    <x v="1"/>
    <x v="3"/>
    <n v="2028"/>
    <n v="2860"/>
  </r>
  <r>
    <s v="ORD-01762"/>
    <x v="123"/>
    <s v="CUST-0030"/>
    <s v="PROD-005"/>
    <s v="R010"/>
    <n v="9"/>
    <n v="300"/>
    <n v="25.2"/>
    <n v="2019.6"/>
    <s v="Completed"/>
    <s v="Bengaluru"/>
    <x v="4"/>
    <x v="4"/>
    <x v="3"/>
    <n v="128"/>
    <n v="300"/>
  </r>
  <r>
    <s v="ORD-01763"/>
    <x v="197"/>
    <s v="CUST-0205"/>
    <s v="PROD-060"/>
    <s v="R020"/>
    <n v="5"/>
    <n v="190"/>
    <n v="1.8"/>
    <n v="932.9"/>
    <s v="Completed"/>
    <s v="Pune"/>
    <x v="0"/>
    <x v="1"/>
    <x v="1"/>
    <n v="147"/>
    <n v="190"/>
  </r>
  <r>
    <s v="ORD-01764"/>
    <x v="80"/>
    <s v="CUST-0172"/>
    <s v="PROD-054"/>
    <s v="R021"/>
    <n v="7"/>
    <n v="1010"/>
    <n v="11.2"/>
    <n v="6278.16"/>
    <s v="Completed"/>
    <s v="Pune"/>
    <x v="0"/>
    <x v="1"/>
    <x v="2"/>
    <n v="516"/>
    <n v="1010"/>
  </r>
  <r>
    <s v="ORD-01765"/>
    <x v="50"/>
    <s v="CUST-0283"/>
    <s v="PROD-051"/>
    <s v="R001"/>
    <n v="8"/>
    <n v="3450"/>
    <n v="8.4"/>
    <n v="25281.599999999999"/>
    <s v="Completed"/>
    <s v="Delhi"/>
    <x v="2"/>
    <x v="1"/>
    <x v="1"/>
    <n v="2467"/>
    <n v="3450"/>
  </r>
  <r>
    <s v="ORD-01766"/>
    <x v="100"/>
    <s v="CUST-0005"/>
    <s v="PROD-005"/>
    <s v="R001"/>
    <n v="3"/>
    <n v="300"/>
    <n v="7.5"/>
    <n v="832.5"/>
    <s v="Refunded"/>
    <s v="Chennai"/>
    <x v="1"/>
    <x v="4"/>
    <x v="2"/>
    <n v="128"/>
    <n v="300"/>
  </r>
  <r>
    <s v="ORD-01767"/>
    <x v="43"/>
    <s v="CUST-0095"/>
    <s v="PROD-031"/>
    <s v="R018"/>
    <n v="4"/>
    <n v="3730"/>
    <n v="24.8"/>
    <n v="11219.84"/>
    <s v="Completed"/>
    <s v="Mumbai"/>
    <x v="3"/>
    <x v="3"/>
    <x v="0"/>
    <n v="2135"/>
    <n v="3730"/>
  </r>
  <r>
    <s v="ORD-01768"/>
    <x v="32"/>
    <s v="CUST-0142"/>
    <s v="PROD-058"/>
    <s v="R020"/>
    <n v="5"/>
    <n v="2400"/>
    <n v="9.1999999999999993"/>
    <n v="10896"/>
    <s v="Completed"/>
    <s v="Chennai"/>
    <x v="1"/>
    <x v="1"/>
    <x v="0"/>
    <n v="974"/>
    <n v="2400"/>
  </r>
  <r>
    <s v="ORD-01769"/>
    <x v="303"/>
    <s v="CUST-0028"/>
    <s v="PROD-021"/>
    <s v="R001"/>
    <n v="3"/>
    <n v="2760"/>
    <n v="2.4"/>
    <n v="8081.28"/>
    <s v="Completed"/>
    <s v="Bengaluru"/>
    <x v="4"/>
    <x v="2"/>
    <x v="0"/>
    <n v="1435"/>
    <n v="2760"/>
  </r>
  <r>
    <s v="ORD-01770"/>
    <x v="289"/>
    <s v="CUST-0118"/>
    <s v="PROD-053"/>
    <s v="R009"/>
    <n v="8"/>
    <n v="470"/>
    <n v="24.8"/>
    <n v="2827.52"/>
    <s v="Pending"/>
    <s v="Hyderabad"/>
    <x v="5"/>
    <x v="1"/>
    <x v="3"/>
    <n v="302"/>
    <n v="470"/>
  </r>
  <r>
    <s v="ORD-01771"/>
    <x v="142"/>
    <s v="CUST-0231"/>
    <s v="PROD-053"/>
    <s v="R027"/>
    <n v="3"/>
    <n v="470"/>
    <n v="18.600000000000001"/>
    <n v="1147.74"/>
    <s v="Completed"/>
    <s v="Chennai"/>
    <x v="1"/>
    <x v="1"/>
    <x v="2"/>
    <n v="302"/>
    <n v="470"/>
  </r>
  <r>
    <s v="ORD-01772"/>
    <x v="228"/>
    <s v="CUST-0264"/>
    <s v="PROD-032"/>
    <s v="R028"/>
    <n v="2"/>
    <n v="370"/>
    <n v="24"/>
    <n v="562.4"/>
    <s v="Completed"/>
    <s v="Pune"/>
    <x v="0"/>
    <x v="3"/>
    <x v="0"/>
    <n v="288"/>
    <n v="370"/>
  </r>
  <r>
    <s v="ORD-01773"/>
    <x v="90"/>
    <s v="CUST-0120"/>
    <s v="PROD-029"/>
    <s v="R001"/>
    <n v="6"/>
    <n v="2210"/>
    <n v="28.3"/>
    <n v="9507.42"/>
    <s v="Cancelled"/>
    <s v="Mumbai"/>
    <x v="3"/>
    <x v="2"/>
    <x v="0"/>
    <n v="1010"/>
    <n v="2210"/>
  </r>
  <r>
    <s v="ORD-01774"/>
    <x v="0"/>
    <s v="CUST-0185"/>
    <s v="PROD-056"/>
    <s v="R002"/>
    <n v="3"/>
    <n v="6940"/>
    <n v="27.2"/>
    <n v="15156.96"/>
    <s v="Refunded"/>
    <s v="Hyderabad"/>
    <x v="5"/>
    <x v="1"/>
    <x v="1"/>
    <n v="2827"/>
    <n v="6940"/>
  </r>
  <r>
    <s v="ORD-01775"/>
    <x v="318"/>
    <s v="CUST-0174"/>
    <s v="PROD-033"/>
    <s v="R018"/>
    <n v="10"/>
    <n v="2030"/>
    <n v="25.6"/>
    <n v="15103.2"/>
    <s v="Completed"/>
    <s v="Pune"/>
    <x v="0"/>
    <x v="3"/>
    <x v="1"/>
    <n v="1143"/>
    <n v="2030"/>
  </r>
  <r>
    <s v="ORD-01776"/>
    <x v="80"/>
    <s v="CUST-0174"/>
    <s v="PROD-054"/>
    <s v="R017"/>
    <n v="9"/>
    <n v="1010"/>
    <n v="9.3000000000000007"/>
    <n v="8244.6299999999992"/>
    <s v="Completed"/>
    <s v="Pune"/>
    <x v="0"/>
    <x v="1"/>
    <x v="2"/>
    <n v="516"/>
    <n v="1010"/>
  </r>
  <r>
    <s v="ORD-01777"/>
    <x v="297"/>
    <s v="CUST-0084"/>
    <s v="PROD-017"/>
    <s v="R002"/>
    <n v="5"/>
    <n v="2510"/>
    <n v="22.2"/>
    <n v="9763.9"/>
    <s v="Completed"/>
    <s v="Chennai"/>
    <x v="1"/>
    <x v="0"/>
    <x v="0"/>
    <n v="1075"/>
    <n v="2510"/>
  </r>
  <r>
    <s v="ORD-01778"/>
    <x v="236"/>
    <s v="CUST-0270"/>
    <s v="PROD-032"/>
    <s v="R002"/>
    <n v="10"/>
    <n v="370"/>
    <n v="29"/>
    <n v="2627"/>
    <s v="Completed"/>
    <s v="Bengaluru"/>
    <x v="4"/>
    <x v="3"/>
    <x v="2"/>
    <n v="288"/>
    <n v="370"/>
  </r>
  <r>
    <s v="ORD-01779"/>
    <x v="210"/>
    <s v="CUST-0178"/>
    <s v="PROD-019"/>
    <s v="R021"/>
    <n v="3"/>
    <n v="2480"/>
    <n v="9.6"/>
    <n v="6725.76"/>
    <s v="Completed"/>
    <s v="Hyderabad"/>
    <x v="5"/>
    <x v="0"/>
    <x v="3"/>
    <n v="1173"/>
    <n v="2480"/>
  </r>
  <r>
    <s v="ORD-01780"/>
    <x v="128"/>
    <s v="CUST-0019"/>
    <s v="PROD-010"/>
    <s v="R017"/>
    <n v="3"/>
    <n v="2640"/>
    <n v="10.199999999999999"/>
    <n v="7112.16"/>
    <s v="Cancelled"/>
    <s v="Chennai"/>
    <x v="1"/>
    <x v="4"/>
    <x v="3"/>
    <n v="1149"/>
    <n v="2640"/>
  </r>
  <r>
    <s v="ORD-01781"/>
    <x v="172"/>
    <s v="CUST-0276"/>
    <s v="PROD-035"/>
    <s v="R020"/>
    <n v="1"/>
    <n v="1090"/>
    <n v="21.6"/>
    <n v="854.56"/>
    <s v="Cancelled"/>
    <s v="Chennai"/>
    <x v="1"/>
    <x v="3"/>
    <x v="1"/>
    <n v="464"/>
    <n v="1090"/>
  </r>
  <r>
    <s v="ORD-01782"/>
    <x v="38"/>
    <s v="CUST-0076"/>
    <s v="PROD-043"/>
    <s v="R002"/>
    <n v="10"/>
    <n v="3350"/>
    <n v="12.1"/>
    <n v="29446.5"/>
    <s v="Completed"/>
    <s v="Mumbai"/>
    <x v="3"/>
    <x v="5"/>
    <x v="2"/>
    <n v="1728"/>
    <n v="3350"/>
  </r>
  <r>
    <s v="ORD-01783"/>
    <x v="254"/>
    <s v="CUST-0085"/>
    <s v="PROD-050"/>
    <s v="R015"/>
    <n v="4"/>
    <n v="6080"/>
    <n v="26.7"/>
    <n v="17826.560000000001"/>
    <s v="Cancelled"/>
    <s v="Chennai"/>
    <x v="1"/>
    <x v="5"/>
    <x v="1"/>
    <n v="2617"/>
    <n v="6080"/>
  </r>
  <r>
    <s v="ORD-01784"/>
    <x v="332"/>
    <s v="CUST-0245"/>
    <s v="PROD-049"/>
    <s v="R002"/>
    <n v="3"/>
    <n v="960"/>
    <n v="13.2"/>
    <n v="2499.84"/>
    <s v="Completed"/>
    <s v="Hyderabad"/>
    <x v="5"/>
    <x v="5"/>
    <x v="2"/>
    <n v="675"/>
    <n v="960"/>
  </r>
  <r>
    <s v="ORD-01785"/>
    <x v="294"/>
    <s v="CUST-0135"/>
    <s v="PROD-028"/>
    <s v="R007"/>
    <n v="9"/>
    <n v="3660"/>
    <n v="9.3000000000000007"/>
    <n v="29876.58"/>
    <s v="Cancelled"/>
    <s v="Pune"/>
    <x v="0"/>
    <x v="2"/>
    <x v="2"/>
    <n v="2214"/>
    <n v="3660"/>
  </r>
  <r>
    <s v="ORD-01786"/>
    <x v="321"/>
    <s v="CUST-0224"/>
    <s v="PROD-047"/>
    <s v="R019"/>
    <n v="6"/>
    <n v="3450"/>
    <n v="8.1999999999999993"/>
    <n v="19002.599999999999"/>
    <s v="Completed"/>
    <s v="Chennai"/>
    <x v="1"/>
    <x v="5"/>
    <x v="3"/>
    <n v="2420"/>
    <n v="3450"/>
  </r>
  <r>
    <s v="ORD-01787"/>
    <x v="292"/>
    <s v="CUST-0036"/>
    <s v="PROD-039"/>
    <s v="R020"/>
    <n v="7"/>
    <n v="4610"/>
    <n v="10.4"/>
    <n v="28913.919999999998"/>
    <s v="Completed"/>
    <s v="Mumbai"/>
    <x v="3"/>
    <x v="3"/>
    <x v="0"/>
    <n v="1850"/>
    <n v="4610"/>
  </r>
  <r>
    <s v="ORD-01788"/>
    <x v="201"/>
    <s v="CUST-0197"/>
    <s v="PROD-057"/>
    <s v="R009"/>
    <n v="2"/>
    <n v="960"/>
    <n v="16.5"/>
    <n v="1603.2"/>
    <s v="Completed"/>
    <s v="Bengaluru"/>
    <x v="4"/>
    <x v="1"/>
    <x v="2"/>
    <n v="705"/>
    <n v="960"/>
  </r>
  <r>
    <s v="ORD-01789"/>
    <x v="223"/>
    <s v="CUST-0111"/>
    <s v="PROD-032"/>
    <s v="R023"/>
    <n v="7"/>
    <n v="370"/>
    <n v="1.4"/>
    <n v="2553.7399999999998"/>
    <s v="Refunded"/>
    <s v="Chennai"/>
    <x v="1"/>
    <x v="3"/>
    <x v="1"/>
    <n v="288"/>
    <n v="370"/>
  </r>
  <r>
    <s v="ORD-01790"/>
    <x v="275"/>
    <s v="CUST-0198"/>
    <s v="PROD-024"/>
    <s v="R004"/>
    <n v="3"/>
    <n v="2270"/>
    <n v="12.6"/>
    <n v="5951.94"/>
    <s v="Completed"/>
    <s v="Chennai"/>
    <x v="1"/>
    <x v="2"/>
    <x v="3"/>
    <n v="1203"/>
    <n v="2270"/>
  </r>
  <r>
    <s v="ORD-00268"/>
    <x v="114"/>
    <s v="CUST-0049"/>
    <s v="PROD-036"/>
    <s v="R014"/>
    <n v="1"/>
    <n v="3250"/>
    <n v="17.8"/>
    <n v="2671.5"/>
    <s v="Completed"/>
    <s v="Mumbai"/>
    <x v="3"/>
    <x v="3"/>
    <x v="3"/>
    <n v="1556"/>
    <n v="3250"/>
  </r>
  <r>
    <s v="ORD-01792"/>
    <x v="280"/>
    <s v="CUST-0029"/>
    <s v="PROD-016"/>
    <s v="R018"/>
    <n v="5"/>
    <n v="620"/>
    <n v="19.399999999999999"/>
    <n v="2498.6"/>
    <s v="Pending"/>
    <s v="Chennai"/>
    <x v="1"/>
    <x v="0"/>
    <x v="2"/>
    <n v="396"/>
    <n v="620"/>
  </r>
  <r>
    <s v="ORD-01793"/>
    <x v="77"/>
    <s v="CUST-0018"/>
    <s v="PROD-008"/>
    <s v="R005"/>
    <n v="6"/>
    <n v="2660"/>
    <n v="14.9"/>
    <n v="13581.96"/>
    <s v="Completed"/>
    <s v="Pune"/>
    <x v="0"/>
    <x v="4"/>
    <x v="0"/>
    <n v="1259"/>
    <n v="2660"/>
  </r>
  <r>
    <s v="ORD-01794"/>
    <x v="357"/>
    <s v="CUST-0007"/>
    <s v="PROD-014"/>
    <s v="R001"/>
    <n v="5"/>
    <n v="3620"/>
    <n v="21"/>
    <n v="14299"/>
    <s v="Cancelled"/>
    <s v="Bengaluru"/>
    <x v="4"/>
    <x v="0"/>
    <x v="0"/>
    <n v="2509"/>
    <n v="3620"/>
  </r>
  <r>
    <s v="ORD-01795"/>
    <x v="228"/>
    <s v="CUST-0014"/>
    <s v="PROD-013"/>
    <s v="R021"/>
    <n v="1"/>
    <n v="3640"/>
    <n v="15.8"/>
    <n v="3064.88"/>
    <s v="Completed"/>
    <s v="Bengaluru"/>
    <x v="4"/>
    <x v="0"/>
    <x v="0"/>
    <n v="2611"/>
    <n v="3640"/>
  </r>
  <r>
    <s v="ORD-01796"/>
    <x v="328"/>
    <s v="CUST-0215"/>
    <s v="PROD-009"/>
    <s v="R007"/>
    <n v="1"/>
    <n v="1220"/>
    <n v="0.6"/>
    <n v="1212.68"/>
    <s v="Refunded"/>
    <s v="Hyderabad"/>
    <x v="5"/>
    <x v="4"/>
    <x v="1"/>
    <n v="517"/>
    <n v="1220"/>
  </r>
  <r>
    <s v="ORD-01797"/>
    <x v="154"/>
    <s v="CUST-0056"/>
    <s v="PROD-019"/>
    <s v="R002"/>
    <n v="10"/>
    <n v="2480"/>
    <n v="0.6"/>
    <n v="24651.200000000001"/>
    <s v="Completed"/>
    <s v="Bengaluru"/>
    <x v="4"/>
    <x v="0"/>
    <x v="3"/>
    <n v="1173"/>
    <n v="2480"/>
  </r>
  <r>
    <s v="ORD-01798"/>
    <x v="287"/>
    <s v="CUST-0231"/>
    <s v="PROD-044"/>
    <s v="R027"/>
    <n v="9"/>
    <n v="1650"/>
    <n v="26.8"/>
    <n v="10870.2"/>
    <s v="Completed"/>
    <s v="Chennai"/>
    <x v="1"/>
    <x v="5"/>
    <x v="1"/>
    <n v="1222"/>
    <n v="1650"/>
  </r>
  <r>
    <s v="ORD-01799"/>
    <x v="9"/>
    <s v="CUST-0138"/>
    <s v="PROD-045"/>
    <s v="R008"/>
    <n v="10"/>
    <n v="3020"/>
    <n v="2.6"/>
    <n v="29414.799999999999"/>
    <s v="Completed"/>
    <s v="Chennai"/>
    <x v="1"/>
    <x v="5"/>
    <x v="0"/>
    <n v="1626"/>
    <n v="3020"/>
  </r>
  <r>
    <s v="ORD-01800"/>
    <x v="227"/>
    <s v="CUST-0007"/>
    <s v="PROD-011"/>
    <s v="R014"/>
    <n v="5"/>
    <n v="3450"/>
    <n v="25.3"/>
    <n v="12885.75"/>
    <s v="Completed"/>
    <s v="Bengaluru"/>
    <x v="4"/>
    <x v="0"/>
    <x v="0"/>
    <n v="1748"/>
    <n v="3450"/>
  </r>
  <r>
    <s v="ORD-01801"/>
    <x v="136"/>
    <s v="CUST-0118"/>
    <s v="PROD-009"/>
    <s v="R019"/>
    <n v="7"/>
    <n v="1220"/>
    <n v="13.1"/>
    <n v="7421.26"/>
    <s v="Completed"/>
    <s v="Hyderabad"/>
    <x v="5"/>
    <x v="4"/>
    <x v="1"/>
    <n v="517"/>
    <n v="1220"/>
  </r>
  <r>
    <s v="ORD-01802"/>
    <x v="344"/>
    <s v="CUST-0064"/>
    <s v="PROD-027"/>
    <s v="R005"/>
    <n v="10"/>
    <n v="3780"/>
    <n v="23.7"/>
    <n v="28841.4"/>
    <s v="Completed"/>
    <s v="Hyderabad"/>
    <x v="5"/>
    <x v="2"/>
    <x v="0"/>
    <n v="2436"/>
    <n v="3780"/>
  </r>
  <r>
    <s v="ORD-01803"/>
    <x v="171"/>
    <s v="CUST-0298"/>
    <s v="PROD-008"/>
    <s v="R002"/>
    <n v="8"/>
    <n v="2660"/>
    <n v="16.100000000000001"/>
    <n v="17853.919999999998"/>
    <s v="Completed"/>
    <s v="Delhi"/>
    <x v="2"/>
    <x v="4"/>
    <x v="1"/>
    <n v="1259"/>
    <n v="2660"/>
  </r>
  <r>
    <s v="ORD-01804"/>
    <x v="200"/>
    <s v="CUST-0020"/>
    <s v="PROD-035"/>
    <s v="R008"/>
    <n v="6"/>
    <n v="1090"/>
    <n v="20"/>
    <n v="5232"/>
    <s v="Pending"/>
    <s v="Hyderabad"/>
    <x v="5"/>
    <x v="3"/>
    <x v="2"/>
    <n v="464"/>
    <n v="1090"/>
  </r>
  <r>
    <s v="ORD-01805"/>
    <x v="258"/>
    <s v="CUST-9725"/>
    <s v="PROD-037"/>
    <s v="R016"/>
    <n v="2"/>
    <n v="660"/>
    <n v="18.7"/>
    <n v="1073.1600000000001"/>
    <s v="Completed"/>
    <s v="Mumbai"/>
    <x v="3"/>
    <x v="3"/>
    <x v="1"/>
    <n v="329"/>
    <n v="660"/>
  </r>
  <r>
    <s v="ORD-01806"/>
    <x v="10"/>
    <s v="CUST-0063"/>
    <s v="PROD-035"/>
    <s v="R015"/>
    <n v="7"/>
    <n v="1090"/>
    <n v="19.399999999999999"/>
    <n v="6149.78"/>
    <s v="Pending"/>
    <s v="Mumbai"/>
    <x v="3"/>
    <x v="3"/>
    <x v="0"/>
    <n v="464"/>
    <n v="1090"/>
  </r>
  <r>
    <s v="ORD-01807"/>
    <x v="335"/>
    <s v="CUST-0193"/>
    <s v="PROD-029"/>
    <s v="R015"/>
    <n v="3"/>
    <n v="2210"/>
    <n v="11"/>
    <n v="5900.7"/>
    <s v="Completed"/>
    <s v="Bengaluru"/>
    <x v="4"/>
    <x v="2"/>
    <x v="0"/>
    <n v="1010"/>
    <n v="2210"/>
  </r>
  <r>
    <s v="ORD-01808"/>
    <x v="103"/>
    <s v="CUST-0142"/>
    <s v="PROD-006"/>
    <s v="R029"/>
    <n v="2"/>
    <n v="3970"/>
    <n v="24.9"/>
    <n v="5962.94"/>
    <s v="Completed"/>
    <s v="Chennai"/>
    <x v="1"/>
    <x v="4"/>
    <x v="0"/>
    <n v="2865"/>
    <n v="3970"/>
  </r>
  <r>
    <s v="ORD-01809"/>
    <x v="210"/>
    <s v="CUST-0264"/>
    <s v="PROD-039"/>
    <s v="R021"/>
    <n v="7"/>
    <n v="4610"/>
    <n v="6.3"/>
    <n v="30236.99"/>
    <s v="Completed"/>
    <s v="Pune"/>
    <x v="0"/>
    <x v="3"/>
    <x v="1"/>
    <n v="1850"/>
    <n v="4610"/>
  </r>
  <r>
    <s v="ORD-01810"/>
    <x v="210"/>
    <s v="CUST-0121"/>
    <s v="PROD-049"/>
    <s v="R026"/>
    <n v="10"/>
    <n v="960"/>
    <n v="14.6"/>
    <n v="8198.4"/>
    <s v="Completed"/>
    <s v="Delhi"/>
    <x v="2"/>
    <x v="5"/>
    <x v="1"/>
    <n v="675"/>
    <n v="960"/>
  </r>
  <r>
    <s v="ORD-01811"/>
    <x v="77"/>
    <s v="CUST-0152"/>
    <s v="PROD-045"/>
    <s v="R016"/>
    <n v="8"/>
    <n v="3020"/>
    <n v="14.5"/>
    <n v="20656.8"/>
    <s v="Completed"/>
    <s v="Bengaluru"/>
    <x v="4"/>
    <x v="5"/>
    <x v="0"/>
    <n v="1626"/>
    <n v="3020"/>
  </r>
  <r>
    <s v="ORD-01812"/>
    <x v="98"/>
    <s v="CUST-0008"/>
    <s v="PROD-019"/>
    <s v="R026"/>
    <n v="7"/>
    <n v="2480"/>
    <n v="17.3"/>
    <n v="14356.72"/>
    <s v="Completed"/>
    <s v="Pune"/>
    <x v="0"/>
    <x v="0"/>
    <x v="0"/>
    <n v="1173"/>
    <n v="2480"/>
  </r>
  <r>
    <s v="ORD-01813"/>
    <x v="259"/>
    <s v="CUST-0285"/>
    <s v="PROD-004"/>
    <s v="R013"/>
    <n v="10"/>
    <n v="3870"/>
    <n v="22.4"/>
    <n v="30031.200000000001"/>
    <s v="Pending"/>
    <s v="Hyderabad"/>
    <x v="5"/>
    <x v="4"/>
    <x v="3"/>
    <n v="1559"/>
    <n v="3870"/>
  </r>
  <r>
    <s v="ORD-01814"/>
    <x v="317"/>
    <s v="CUST-0072"/>
    <s v="PROD-037"/>
    <s v="R022"/>
    <n v="6"/>
    <n v="660"/>
    <n v="27.3"/>
    <n v="2878.92"/>
    <s v="Completed"/>
    <s v="Mumbai"/>
    <x v="3"/>
    <x v="3"/>
    <x v="1"/>
    <n v="329"/>
    <n v="660"/>
  </r>
  <r>
    <s v="ORD-01815"/>
    <x v="188"/>
    <s v="CUST-9630"/>
    <s v="PROD-004"/>
    <s v="R026"/>
    <n v="3"/>
    <n v="3870"/>
    <n v="7.6"/>
    <n v="10727.64"/>
    <s v="Cancelled"/>
    <s v="Chennai"/>
    <x v="1"/>
    <x v="4"/>
    <x v="3"/>
    <n v="1559"/>
    <n v="3870"/>
  </r>
  <r>
    <s v="ORD-01816"/>
    <x v="176"/>
    <s v="CUST-0243"/>
    <s v="PROD-019"/>
    <s v="R006"/>
    <n v="10"/>
    <n v="2480"/>
    <n v="21.5"/>
    <n v="19468"/>
    <s v="Pending"/>
    <s v="Pune"/>
    <x v="0"/>
    <x v="0"/>
    <x v="0"/>
    <n v="1173"/>
    <n v="2480"/>
  </r>
  <r>
    <s v="ORD-01817"/>
    <x v="175"/>
    <s v="CUST-0231"/>
    <s v="PROD-010"/>
    <s v="R001"/>
    <n v="8"/>
    <n v="2640"/>
    <n v="22.3"/>
    <n v="16410.240000000002"/>
    <s v="Completed"/>
    <s v="Chennai"/>
    <x v="1"/>
    <x v="4"/>
    <x v="1"/>
    <n v="1149"/>
    <n v="2640"/>
  </r>
  <r>
    <s v="ORD-01818"/>
    <x v="115"/>
    <s v="CUST-0229"/>
    <s v="PROD-030"/>
    <s v="R001"/>
    <n v="8"/>
    <n v="970"/>
    <n v="13.1"/>
    <n v="6743.44"/>
    <s v="Completed"/>
    <s v="Hyderabad"/>
    <x v="5"/>
    <x v="2"/>
    <x v="1"/>
    <n v="434"/>
    <n v="970"/>
  </r>
  <r>
    <s v="ORD-01819"/>
    <x v="104"/>
    <s v="CUST-0218"/>
    <s v="PROD-057"/>
    <s v="R001"/>
    <n v="6"/>
    <n v="960"/>
    <n v="3.2"/>
    <n v="5575.68"/>
    <s v="Completed"/>
    <s v="Mumbai"/>
    <x v="3"/>
    <x v="1"/>
    <x v="3"/>
    <n v="705"/>
    <n v="960"/>
  </r>
  <r>
    <s v="ORD-01820"/>
    <x v="277"/>
    <s v="CUST-0015"/>
    <s v="PROD-033"/>
    <s v="R008"/>
    <n v="9"/>
    <n v="2030"/>
    <n v="12.6"/>
    <n v="15967.98"/>
    <s v="Cancelled"/>
    <s v="Chennai"/>
    <x v="1"/>
    <x v="3"/>
    <x v="0"/>
    <n v="1143"/>
    <n v="2030"/>
  </r>
  <r>
    <s v="ORD-01821"/>
    <x v="244"/>
    <s v="CUST-0291"/>
    <s v="PROD-042"/>
    <s v="R024"/>
    <n v="10"/>
    <n v="2290"/>
    <n v="22.2"/>
    <n v="17816.2"/>
    <s v="Completed"/>
    <s v="Pune"/>
    <x v="0"/>
    <x v="5"/>
    <x v="3"/>
    <n v="1219"/>
    <n v="2290"/>
  </r>
  <r>
    <s v="ORD-01822"/>
    <x v="41"/>
    <s v="CUST-0276"/>
    <s v="PROD-020"/>
    <s v="R027"/>
    <n v="7"/>
    <n v="820"/>
    <n v="6.4"/>
    <n v="5372.64"/>
    <s v="Refunded"/>
    <s v="Chennai"/>
    <x v="1"/>
    <x v="0"/>
    <x v="2"/>
    <n v="391"/>
    <n v="820"/>
  </r>
  <r>
    <s v="ORD-01823"/>
    <x v="105"/>
    <s v="CUST-0139"/>
    <s v="PROD-040"/>
    <s v="R030"/>
    <n v="5"/>
    <n v="1080"/>
    <n v="6"/>
    <n v="5076"/>
    <s v="Completed"/>
    <s v="Hyderabad"/>
    <x v="5"/>
    <x v="3"/>
    <x v="3"/>
    <n v="519"/>
    <n v="1080"/>
  </r>
  <r>
    <s v="ORD-01824"/>
    <x v="202"/>
    <s v="CUST-0087"/>
    <s v="PROD-060"/>
    <s v="R028"/>
    <n v="4"/>
    <n v="190"/>
    <n v="6.3"/>
    <n v="712.12"/>
    <s v="Refunded"/>
    <s v="Pune"/>
    <x v="0"/>
    <x v="1"/>
    <x v="2"/>
    <n v="147"/>
    <n v="190"/>
  </r>
  <r>
    <s v="ORD-01825"/>
    <x v="158"/>
    <s v="CUST-0203"/>
    <s v="PROD-017"/>
    <s v="R029"/>
    <n v="6"/>
    <n v="2510"/>
    <n v="11.5"/>
    <n v="13328.1"/>
    <s v="Completed"/>
    <s v="Chennai"/>
    <x v="1"/>
    <x v="0"/>
    <x v="3"/>
    <n v="1075"/>
    <n v="2510"/>
  </r>
  <r>
    <s v="ORD-01826"/>
    <x v="193"/>
    <s v="CUST-0180"/>
    <s v="PROD-018"/>
    <s v="R015"/>
    <n v="2"/>
    <n v="3560"/>
    <n v="10.5"/>
    <n v="6372.4"/>
    <s v="Completed"/>
    <s v="Chennai"/>
    <x v="1"/>
    <x v="0"/>
    <x v="0"/>
    <n v="2629"/>
    <n v="3560"/>
  </r>
  <r>
    <s v="ORD-01827"/>
    <x v="361"/>
    <s v="CUST-0130"/>
    <s v="PROD-020"/>
    <s v="R013"/>
    <n v="3"/>
    <n v="820"/>
    <n v="13"/>
    <n v="2140.1999999999998"/>
    <s v="Cancelled"/>
    <s v="Bengaluru"/>
    <x v="4"/>
    <x v="0"/>
    <x v="2"/>
    <n v="391"/>
    <n v="820"/>
  </r>
  <r>
    <s v="ORD-01828"/>
    <x v="66"/>
    <s v="CUST-0049"/>
    <s v="PROD-013"/>
    <s v="R003"/>
    <n v="6"/>
    <n v="3640"/>
    <n v="14"/>
    <n v="18782.400000000001"/>
    <s v="Completed"/>
    <s v="Mumbai"/>
    <x v="3"/>
    <x v="0"/>
    <x v="0"/>
    <n v="2611"/>
    <n v="3640"/>
  </r>
  <r>
    <s v="ORD-01829"/>
    <x v="43"/>
    <s v="CUST-0182"/>
    <s v="PROD-028"/>
    <s v="R019"/>
    <n v="5"/>
    <n v="3660"/>
    <n v="28.7"/>
    <n v="13047.9"/>
    <s v="Completed"/>
    <s v="Mumbai"/>
    <x v="3"/>
    <x v="2"/>
    <x v="2"/>
    <n v="2214"/>
    <n v="3660"/>
  </r>
  <r>
    <s v="ORD-01830"/>
    <x v="126"/>
    <s v="CUST-0291"/>
    <s v="PROD-055"/>
    <s v="R030"/>
    <n v="2"/>
    <n v="2860"/>
    <n v="21.1"/>
    <n v="4513.08"/>
    <s v="Completed"/>
    <s v="Pune"/>
    <x v="0"/>
    <x v="1"/>
    <x v="2"/>
    <n v="2028"/>
    <n v="2860"/>
  </r>
  <r>
    <s v="ORD-01831"/>
    <x v="214"/>
    <s v="CUST-0167"/>
    <s v="PROD-015"/>
    <s v="R019"/>
    <n v="1"/>
    <n v="2720"/>
    <n v="22.1"/>
    <n v="2118.88"/>
    <s v="Completed"/>
    <s v="Delhi"/>
    <x v="2"/>
    <x v="0"/>
    <x v="1"/>
    <n v="1962"/>
    <n v="2720"/>
  </r>
  <r>
    <s v="ORD-01832"/>
    <x v="142"/>
    <s v="CUST-0223"/>
    <s v="PROD-055"/>
    <s v="R004"/>
    <n v="6"/>
    <n v="2860"/>
    <n v="10.5"/>
    <n v="15358.2"/>
    <s v="Cancelled"/>
    <s v="Bengaluru"/>
    <x v="4"/>
    <x v="1"/>
    <x v="3"/>
    <n v="2028"/>
    <n v="2860"/>
  </r>
  <r>
    <s v="ORD-01833"/>
    <x v="359"/>
    <s v="CUST-0050"/>
    <s v="PROD-017"/>
    <s v="R020"/>
    <n v="1"/>
    <n v="2510"/>
    <n v="12"/>
    <n v="2208.8000000000002"/>
    <s v="Completed"/>
    <s v="Mumbai"/>
    <x v="3"/>
    <x v="0"/>
    <x v="3"/>
    <n v="1075"/>
    <n v="2510"/>
  </r>
  <r>
    <s v="ORD-01834"/>
    <x v="106"/>
    <s v="CUST-0242"/>
    <s v="PROD-017"/>
    <s v="R020"/>
    <n v="4"/>
    <n v="2510"/>
    <n v="23.2"/>
    <n v="7710.72"/>
    <s v="Completed"/>
    <s v="Chennai"/>
    <x v="1"/>
    <x v="0"/>
    <x v="2"/>
    <n v="1075"/>
    <n v="2510"/>
  </r>
  <r>
    <s v="ORD-01835"/>
    <x v="122"/>
    <s v="CUST-0144"/>
    <s v="PROD-049"/>
    <s v="R005"/>
    <n v="8"/>
    <n v="960"/>
    <n v="20.3"/>
    <n v="6120.96"/>
    <s v="Pending"/>
    <s v="Chennai"/>
    <x v="1"/>
    <x v="5"/>
    <x v="1"/>
    <n v="675"/>
    <n v="960"/>
  </r>
  <r>
    <s v="ORD-01836"/>
    <x v="5"/>
    <s v="CUST-0140"/>
    <s v="PROD-038"/>
    <s v="R010"/>
    <n v="3"/>
    <n v="5490"/>
    <n v="25.2"/>
    <n v="12319.56"/>
    <s v="Completed"/>
    <s v="Hyderabad"/>
    <x v="5"/>
    <x v="3"/>
    <x v="3"/>
    <n v="2549"/>
    <n v="5490"/>
  </r>
  <r>
    <s v="ORD-01837"/>
    <x v="262"/>
    <s v="CUST-0174"/>
    <s v="PROD-017"/>
    <s v="R006"/>
    <n v="2"/>
    <n v="2510"/>
    <n v="28.2"/>
    <n v="3604.36"/>
    <s v="Completed"/>
    <s v="Pune"/>
    <x v="0"/>
    <x v="0"/>
    <x v="1"/>
    <n v="1075"/>
    <n v="2510"/>
  </r>
  <r>
    <s v="ORD-01838"/>
    <x v="194"/>
    <s v="CUST-0290"/>
    <s v="PROD-020"/>
    <s v="R011"/>
    <n v="1"/>
    <n v="820"/>
    <n v="4.7"/>
    <n v="781.46"/>
    <s v="Completed"/>
    <s v="Delhi"/>
    <x v="2"/>
    <x v="0"/>
    <x v="3"/>
    <n v="391"/>
    <n v="820"/>
  </r>
  <r>
    <s v="ORD-01839"/>
    <x v="99"/>
    <s v="CUST-0170"/>
    <s v="PROD-005"/>
    <s v="R018"/>
    <n v="6"/>
    <n v="300"/>
    <n v="13.3"/>
    <n v="1560.6"/>
    <s v="Completed"/>
    <s v="Mumbai"/>
    <x v="3"/>
    <x v="4"/>
    <x v="2"/>
    <n v="128"/>
    <n v="300"/>
  </r>
  <r>
    <s v="ORD-01840"/>
    <x v="155"/>
    <s v="CUST-0180"/>
    <s v="PROD-043"/>
    <s v="R016"/>
    <n v="4"/>
    <n v="3350"/>
    <n v="5.8"/>
    <n v="12622.8"/>
    <s v="Pending"/>
    <s v="Chennai"/>
    <x v="1"/>
    <x v="5"/>
    <x v="1"/>
    <n v="1728"/>
    <n v="3350"/>
  </r>
  <r>
    <s v="ORD-01841"/>
    <x v="150"/>
    <s v="CUST-0286"/>
    <s v="PROD-036"/>
    <s v="R025"/>
    <n v="3"/>
    <n v="3250"/>
    <n v="19.600000000000001"/>
    <n v="7839"/>
    <s v="Pending"/>
    <s v="Delhi"/>
    <x v="2"/>
    <x v="3"/>
    <x v="1"/>
    <n v="1556"/>
    <n v="3250"/>
  </r>
  <r>
    <s v="ORD-01842"/>
    <x v="112"/>
    <s v="CUST-0056"/>
    <s v="PROD-044"/>
    <s v="R027"/>
    <n v="10"/>
    <n v="1650"/>
    <n v="22.5"/>
    <n v="12787.5"/>
    <s v="Cancelled"/>
    <s v="Bengaluru"/>
    <x v="4"/>
    <x v="5"/>
    <x v="3"/>
    <n v="1222"/>
    <n v="1650"/>
  </r>
  <r>
    <s v="ORD-01843"/>
    <x v="47"/>
    <s v="CUST-0292"/>
    <s v="PROD-009"/>
    <s v="R026"/>
    <n v="2"/>
    <n v="1220"/>
    <n v="10.5"/>
    <n v="2183.8000000000002"/>
    <s v="Completed"/>
    <s v="Bengaluru"/>
    <x v="4"/>
    <x v="4"/>
    <x v="3"/>
    <n v="517"/>
    <n v="1220"/>
  </r>
  <r>
    <s v="ORD-01844"/>
    <x v="126"/>
    <s v="CUST-0020"/>
    <s v="PROD-049"/>
    <s v="R026"/>
    <n v="7"/>
    <n v="960"/>
    <n v="5.4"/>
    <n v="6357.12"/>
    <s v="Refunded"/>
    <s v="Hyderabad"/>
    <x v="5"/>
    <x v="5"/>
    <x v="3"/>
    <n v="675"/>
    <n v="960"/>
  </r>
  <r>
    <s v="ORD-01845"/>
    <x v="44"/>
    <s v="CUST-0089"/>
    <s v="PROD-046"/>
    <s v="R014"/>
    <n v="3"/>
    <n v="4880"/>
    <n v="17.100000000000001"/>
    <n v="12136.56"/>
    <s v="Completed"/>
    <s v="Mumbai"/>
    <x v="3"/>
    <x v="5"/>
    <x v="0"/>
    <n v="2768"/>
    <n v="4880"/>
  </r>
  <r>
    <s v="ORD-01846"/>
    <x v="69"/>
    <s v="CUST-0242"/>
    <s v="PROD-024"/>
    <s v="R028"/>
    <n v="5"/>
    <n v="2270"/>
    <n v="12.4"/>
    <n v="9942.6"/>
    <s v="Completed"/>
    <s v="Chennai"/>
    <x v="1"/>
    <x v="2"/>
    <x v="3"/>
    <n v="1203"/>
    <n v="2270"/>
  </r>
  <r>
    <s v="ORD-01847"/>
    <x v="3"/>
    <s v="CUST-0249"/>
    <s v="PROD-035"/>
    <s v="R028"/>
    <n v="1"/>
    <n v="1090"/>
    <n v="17.3"/>
    <n v="901.43"/>
    <s v="Completed"/>
    <s v="Mumbai"/>
    <x v="3"/>
    <x v="3"/>
    <x v="1"/>
    <n v="464"/>
    <n v="1090"/>
  </r>
  <r>
    <s v="ORD-01848"/>
    <x v="275"/>
    <s v="CUST-0032"/>
    <s v="PROD-034"/>
    <s v="R029"/>
    <n v="8"/>
    <n v="5080"/>
    <n v="0.9"/>
    <n v="40274.239999999998"/>
    <s v="Completed"/>
    <s v="Hyderabad"/>
    <x v="5"/>
    <x v="3"/>
    <x v="1"/>
    <n v="2459"/>
    <n v="5080"/>
  </r>
  <r>
    <s v="ORD-01849"/>
    <x v="28"/>
    <s v="CUST-0217"/>
    <s v="PROD-039"/>
    <s v="R017"/>
    <n v="7"/>
    <n v="4610"/>
    <n v="0.9"/>
    <n v="31979.57"/>
    <s v="Completed"/>
    <s v="Pune"/>
    <x v="0"/>
    <x v="3"/>
    <x v="2"/>
    <n v="1850"/>
    <n v="4610"/>
  </r>
  <r>
    <s v="ORD-01850"/>
    <x v="159"/>
    <s v="CUST-0284"/>
    <s v="PROD-045"/>
    <s v="R028"/>
    <n v="1"/>
    <n v="3020"/>
    <n v="10.3"/>
    <n v="2708.94"/>
    <s v="Completed"/>
    <s v="Hyderabad"/>
    <x v="5"/>
    <x v="5"/>
    <x v="2"/>
    <n v="1626"/>
    <n v="3020"/>
  </r>
  <r>
    <s v="ORD-01851"/>
    <x v="99"/>
    <s v="CUST-0167"/>
    <s v="PROD-022"/>
    <s v="R028"/>
    <n v="6"/>
    <n v="2270"/>
    <n v="23.1"/>
    <n v="10473.780000000001"/>
    <s v="Completed"/>
    <s v="Delhi"/>
    <x v="2"/>
    <x v="2"/>
    <x v="1"/>
    <n v="1412"/>
    <n v="2270"/>
  </r>
  <r>
    <s v="ORD-01852"/>
    <x v="150"/>
    <s v="CUST-0008"/>
    <s v="PROD-026"/>
    <s v="R010"/>
    <n v="6"/>
    <n v="4070"/>
    <n v="28.9"/>
    <n v="17362.62"/>
    <s v="Completed"/>
    <s v="Pune"/>
    <x v="0"/>
    <x v="2"/>
    <x v="0"/>
    <n v="2027"/>
    <n v="4070"/>
  </r>
  <r>
    <s v="ORD-01853"/>
    <x v="181"/>
    <s v="CUST-0277"/>
    <s v="PROD-009"/>
    <s v="R017"/>
    <n v="5"/>
    <n v="1220"/>
    <n v="18.7"/>
    <n v="4959.3"/>
    <s v="Completed"/>
    <s v="Chennai"/>
    <x v="1"/>
    <x v="4"/>
    <x v="2"/>
    <n v="517"/>
    <n v="1220"/>
  </r>
  <r>
    <s v="ORD-01854"/>
    <x v="249"/>
    <s v="CUST-0025"/>
    <s v="PROD-019"/>
    <s v="R024"/>
    <n v="8"/>
    <n v="2480"/>
    <n v="3.2"/>
    <n v="19205.12"/>
    <s v="Cancelled"/>
    <s v="Bengaluru"/>
    <x v="4"/>
    <x v="0"/>
    <x v="1"/>
    <n v="1173"/>
    <n v="2480"/>
  </r>
  <r>
    <s v="ORD-01855"/>
    <x v="211"/>
    <s v="CUST-0228"/>
    <s v="PROD-055"/>
    <s v="R007"/>
    <n v="7"/>
    <n v="2860"/>
    <n v="8.4"/>
    <n v="18338.32"/>
    <s v="Completed"/>
    <s v="Pune"/>
    <x v="0"/>
    <x v="1"/>
    <x v="0"/>
    <n v="2028"/>
    <n v="2860"/>
  </r>
  <r>
    <s v="ORD-01856"/>
    <x v="13"/>
    <s v="CUST-0078"/>
    <s v="PROD-027"/>
    <s v="R024"/>
    <n v="1"/>
    <n v="3780"/>
    <n v="16.3"/>
    <n v="3163.86"/>
    <s v="Cancelled"/>
    <s v="Delhi"/>
    <x v="2"/>
    <x v="2"/>
    <x v="2"/>
    <n v="2436"/>
    <n v="3780"/>
  </r>
  <r>
    <s v="ORD-01857"/>
    <x v="172"/>
    <s v="CUST-0205"/>
    <s v="PROD-055"/>
    <s v="R025"/>
    <n v="6"/>
    <n v="2860"/>
    <n v="10.7"/>
    <n v="15323.88"/>
    <s v="Completed"/>
    <s v="Pune"/>
    <x v="0"/>
    <x v="1"/>
    <x v="0"/>
    <n v="2028"/>
    <n v="2860"/>
  </r>
  <r>
    <s v="ORD-01858"/>
    <x v="325"/>
    <s v="CUST-0044"/>
    <s v="PROD-058"/>
    <s v="R027"/>
    <n v="3"/>
    <n v="2400"/>
    <n v="20.7"/>
    <n v="5709.6"/>
    <s v="Completed"/>
    <s v="Hyderabad"/>
    <x v="5"/>
    <x v="1"/>
    <x v="2"/>
    <n v="974"/>
    <n v="2400"/>
  </r>
  <r>
    <s v="ORD-01859"/>
    <x v="259"/>
    <s v="CUST-0188"/>
    <s v="PROD-023"/>
    <s v="R025"/>
    <n v="8"/>
    <n v="2380"/>
    <n v="22.3"/>
    <n v="14794.08"/>
    <s v="Refunded"/>
    <s v="Bengaluru"/>
    <x v="4"/>
    <x v="2"/>
    <x v="0"/>
    <n v="1182"/>
    <n v="2380"/>
  </r>
  <r>
    <s v="ORD-01860"/>
    <x v="80"/>
    <s v="CUST-0165"/>
    <s v="PROD-048"/>
    <s v="R006"/>
    <n v="7"/>
    <n v="5100"/>
    <n v="22.9"/>
    <n v="27524.7"/>
    <s v="Cancelled"/>
    <s v="Pune"/>
    <x v="0"/>
    <x v="5"/>
    <x v="3"/>
    <n v="2237"/>
    <n v="5100"/>
  </r>
  <r>
    <s v="ORD-01861"/>
    <x v="113"/>
    <s v="CUST-0059"/>
    <s v="PROD-005"/>
    <s v="R015"/>
    <n v="7"/>
    <n v="300"/>
    <n v="15.3"/>
    <n v="1778.7"/>
    <s v="Completed"/>
    <s v="Pune"/>
    <x v="0"/>
    <x v="4"/>
    <x v="2"/>
    <n v="128"/>
    <n v="300"/>
  </r>
  <r>
    <s v="ORD-01862"/>
    <x v="49"/>
    <s v="CUST-0280"/>
    <s v="PROD-051"/>
    <s v="R010"/>
    <n v="5"/>
    <n v="3450"/>
    <n v="16.8"/>
    <n v="14352"/>
    <s v="Completed"/>
    <s v="Delhi"/>
    <x v="2"/>
    <x v="1"/>
    <x v="1"/>
    <n v="2467"/>
    <n v="3450"/>
  </r>
  <r>
    <s v="ORD-01863"/>
    <x v="287"/>
    <s v="CUST-0153"/>
    <s v="PROD-055"/>
    <s v="R014"/>
    <n v="4"/>
    <n v="2860"/>
    <n v="14.3"/>
    <n v="9804.08"/>
    <s v="Completed"/>
    <s v="Mumbai"/>
    <x v="3"/>
    <x v="1"/>
    <x v="1"/>
    <n v="2028"/>
    <n v="2860"/>
  </r>
  <r>
    <s v="ORD-01864"/>
    <x v="180"/>
    <s v="CUST-0251"/>
    <s v="PROD-015"/>
    <s v="R001"/>
    <n v="6"/>
    <n v="2720"/>
    <n v="25.1"/>
    <n v="12223.68"/>
    <s v="Cancelled"/>
    <s v="Mumbai"/>
    <x v="3"/>
    <x v="0"/>
    <x v="1"/>
    <n v="1962"/>
    <n v="2720"/>
  </r>
  <r>
    <s v="ORD-01865"/>
    <x v="335"/>
    <s v="CUST-0255"/>
    <s v="PROD-031"/>
    <s v="R028"/>
    <n v="3"/>
    <n v="3730"/>
    <n v="24.8"/>
    <n v="8414.8799999999992"/>
    <s v="Completed"/>
    <s v="Chennai"/>
    <x v="1"/>
    <x v="3"/>
    <x v="3"/>
    <n v="2135"/>
    <n v="3730"/>
  </r>
  <r>
    <s v="ORD-01866"/>
    <x v="83"/>
    <s v="CUST-0076"/>
    <s v="PROD-025"/>
    <s v="R002"/>
    <n v="2"/>
    <n v="4060"/>
    <n v="11.3"/>
    <n v="7202.44"/>
    <s v="Completed"/>
    <s v="Mumbai"/>
    <x v="3"/>
    <x v="2"/>
    <x v="0"/>
    <n v="2911"/>
    <n v="4060"/>
  </r>
  <r>
    <s v="ORD-01867"/>
    <x v="146"/>
    <s v="CUST-0195"/>
    <s v="PROD-042"/>
    <s v="R018"/>
    <n v="6"/>
    <n v="2290"/>
    <n v="26.8"/>
    <n v="10057.68"/>
    <s v="Refunded"/>
    <s v="Bengaluru"/>
    <x v="4"/>
    <x v="5"/>
    <x v="0"/>
    <n v="1219"/>
    <n v="2290"/>
  </r>
  <r>
    <s v="ORD-01868"/>
    <x v="196"/>
    <s v="CUST-0164"/>
    <s v="PROD-056"/>
    <s v="R013"/>
    <n v="1"/>
    <n v="6940"/>
    <n v="15.7"/>
    <n v="5850.42"/>
    <s v="Completed"/>
    <s v="Chennai"/>
    <x v="1"/>
    <x v="1"/>
    <x v="0"/>
    <n v="2827"/>
    <n v="6940"/>
  </r>
  <r>
    <s v="ORD-01869"/>
    <x v="235"/>
    <s v="CUST-0239"/>
    <s v="PROD-031"/>
    <s v="R009"/>
    <n v="3"/>
    <n v="3730"/>
    <n v="18.100000000000001"/>
    <n v="9164.61"/>
    <s v="Completed"/>
    <s v="Mumbai"/>
    <x v="3"/>
    <x v="3"/>
    <x v="1"/>
    <n v="2135"/>
    <n v="3730"/>
  </r>
  <r>
    <s v="ORD-01870"/>
    <x v="72"/>
    <s v="CUST-0133"/>
    <s v="PROD-031"/>
    <s v="R002"/>
    <n v="8"/>
    <n v="3730"/>
    <n v="12.5"/>
    <n v="26110"/>
    <s v="Completed"/>
    <s v="Chennai"/>
    <x v="1"/>
    <x v="3"/>
    <x v="0"/>
    <n v="2135"/>
    <n v="3730"/>
  </r>
  <r>
    <s v="ORD-01871"/>
    <x v="128"/>
    <s v="CUST-0286"/>
    <s v="PROD-023"/>
    <s v="R015"/>
    <n v="9"/>
    <n v="2380"/>
    <n v="8.1"/>
    <n v="19684.98"/>
    <s v="Cancelled"/>
    <s v="Delhi"/>
    <x v="2"/>
    <x v="2"/>
    <x v="1"/>
    <n v="1182"/>
    <n v="2380"/>
  </r>
  <r>
    <s v="ORD-01872"/>
    <x v="206"/>
    <s v="CUST-0122"/>
    <s v="PROD-040"/>
    <s v="R002"/>
    <n v="6"/>
    <n v="1080"/>
    <n v="8.8000000000000007"/>
    <n v="5909.76"/>
    <s v="Completed"/>
    <s v="Mumbai"/>
    <x v="3"/>
    <x v="3"/>
    <x v="3"/>
    <n v="519"/>
    <n v="1080"/>
  </r>
  <r>
    <s v="ORD-01712"/>
    <x v="24"/>
    <s v="CUST-0285"/>
    <s v="PROD-053"/>
    <s v="R013"/>
    <n v="5"/>
    <n v="470"/>
    <n v="1.3"/>
    <n v="2319.4499999999998"/>
    <s v="Completed"/>
    <s v="Hyderabad"/>
    <x v="5"/>
    <x v="1"/>
    <x v="3"/>
    <n v="302"/>
    <n v="470"/>
  </r>
  <r>
    <s v="ORD-01874"/>
    <x v="340"/>
    <s v="CUST-0174"/>
    <s v="PROD-032"/>
    <s v="R026"/>
    <n v="4"/>
    <n v="370"/>
    <n v="13.1"/>
    <n v="1286.1199999999999"/>
    <s v="Completed"/>
    <s v="Pune"/>
    <x v="0"/>
    <x v="3"/>
    <x v="2"/>
    <n v="288"/>
    <n v="370"/>
  </r>
  <r>
    <s v="ORD-01875"/>
    <x v="25"/>
    <s v="CUST-0115"/>
    <s v="PROD-012"/>
    <s v="R007"/>
    <n v="7"/>
    <n v="3160"/>
    <n v="12.3"/>
    <n v="19399.240000000002"/>
    <s v="Completed"/>
    <s v="Mumbai"/>
    <x v="3"/>
    <x v="0"/>
    <x v="0"/>
    <n v="1886"/>
    <n v="3160"/>
  </r>
  <r>
    <s v="ORD-01876"/>
    <x v="218"/>
    <s v="CUST-0028"/>
    <s v="PROD-018"/>
    <s v="R024"/>
    <n v="5"/>
    <n v="3560"/>
    <n v="24"/>
    <n v="13528"/>
    <s v="Completed"/>
    <s v="Bengaluru"/>
    <x v="4"/>
    <x v="0"/>
    <x v="3"/>
    <n v="2629"/>
    <n v="3560"/>
  </r>
  <r>
    <s v="ORD-01877"/>
    <x v="53"/>
    <s v="CUST-0111"/>
    <s v="PROD-033"/>
    <s v="R021"/>
    <n v="6"/>
    <n v="2030"/>
    <n v="20.5"/>
    <n v="9683.1"/>
    <s v="Completed"/>
    <s v="Chennai"/>
    <x v="1"/>
    <x v="3"/>
    <x v="1"/>
    <n v="1143"/>
    <n v="2030"/>
  </r>
  <r>
    <s v="ORD-01878"/>
    <x v="116"/>
    <s v="CUST-0240"/>
    <s v="PROD-010"/>
    <s v="R018"/>
    <n v="5"/>
    <n v="2640"/>
    <n v="21.3"/>
    <n v="10388.4"/>
    <s v="Pending"/>
    <s v="Chennai"/>
    <x v="1"/>
    <x v="4"/>
    <x v="1"/>
    <n v="1149"/>
    <n v="2640"/>
  </r>
  <r>
    <s v="ORD-01879"/>
    <x v="98"/>
    <s v="CUST-0222"/>
    <s v="PROD-022"/>
    <s v="R002"/>
    <n v="4"/>
    <n v="2270"/>
    <n v="15.8"/>
    <n v="7645.36"/>
    <s v="Completed"/>
    <s v="Chennai"/>
    <x v="1"/>
    <x v="2"/>
    <x v="3"/>
    <n v="1412"/>
    <n v="2270"/>
  </r>
  <r>
    <s v="ORD-01880"/>
    <x v="276"/>
    <s v="CUST-0251"/>
    <s v="PROD-032"/>
    <s v="R002"/>
    <n v="1"/>
    <n v="370"/>
    <n v="27"/>
    <n v="270.10000000000002"/>
    <s v="Pending"/>
    <s v="Mumbai"/>
    <x v="3"/>
    <x v="3"/>
    <x v="1"/>
    <n v="288"/>
    <n v="370"/>
  </r>
  <r>
    <s v="ORD-01881"/>
    <x v="250"/>
    <s v="CUST-0203"/>
    <s v="PROD-048"/>
    <s v="R017"/>
    <n v="9"/>
    <n v="5100"/>
    <n v="2.4"/>
    <n v="44798.400000000001"/>
    <s v="Completed"/>
    <s v="Chennai"/>
    <x v="1"/>
    <x v="5"/>
    <x v="0"/>
    <n v="2237"/>
    <n v="5100"/>
  </r>
  <r>
    <s v="ORD-01882"/>
    <x v="94"/>
    <s v="CUST-0285"/>
    <s v="PROD-032"/>
    <s v="R023"/>
    <n v="6"/>
    <n v="370"/>
    <n v="18.7"/>
    <n v="1804.86"/>
    <s v="Cancelled"/>
    <s v="Hyderabad"/>
    <x v="5"/>
    <x v="3"/>
    <x v="0"/>
    <n v="288"/>
    <n v="370"/>
  </r>
  <r>
    <s v="ORD-01883"/>
    <x v="57"/>
    <s v="CUST-0135"/>
    <s v="PROD-030"/>
    <s v="R004"/>
    <n v="6"/>
    <n v="970"/>
    <n v="21.6"/>
    <n v="4562.88"/>
    <s v="Completed"/>
    <s v="Pune"/>
    <x v="0"/>
    <x v="2"/>
    <x v="2"/>
    <n v="434"/>
    <n v="970"/>
  </r>
  <r>
    <s v="ORD-01884"/>
    <x v="81"/>
    <s v="CUST-9967"/>
    <s v="PROD-029"/>
    <s v="R029"/>
    <n v="3"/>
    <n v="2210"/>
    <n v="8.5"/>
    <n v="6066.45"/>
    <s v="Completed"/>
    <s v="Delhi"/>
    <x v="2"/>
    <x v="2"/>
    <x v="0"/>
    <n v="1010"/>
    <n v="2210"/>
  </r>
  <r>
    <s v="ORD-01885"/>
    <x v="136"/>
    <s v="CUST-0096"/>
    <s v="PROD-044"/>
    <s v="R002"/>
    <n v="1"/>
    <n v="1650"/>
    <n v="19.7"/>
    <n v="1324.95"/>
    <s v="Completed"/>
    <s v="Delhi"/>
    <x v="2"/>
    <x v="5"/>
    <x v="1"/>
    <n v="1222"/>
    <n v="1650"/>
  </r>
  <r>
    <s v="ORD-01886"/>
    <x v="178"/>
    <s v="CUST-0266"/>
    <s v="PROD-056"/>
    <s v="R003"/>
    <n v="5"/>
    <n v="6940"/>
    <n v="7.7"/>
    <n v="32028.1"/>
    <s v="Completed"/>
    <s v="Pune"/>
    <x v="0"/>
    <x v="1"/>
    <x v="1"/>
    <n v="2827"/>
    <n v="6940"/>
  </r>
  <r>
    <s v="ORD-01887"/>
    <x v="40"/>
    <s v="CUST-0059"/>
    <s v="PROD-029"/>
    <s v="R022"/>
    <n v="2"/>
    <n v="2210"/>
    <n v="5.6"/>
    <n v="4172.4799999999996"/>
    <s v="Cancelled"/>
    <s v="Pune"/>
    <x v="0"/>
    <x v="2"/>
    <x v="0"/>
    <n v="1010"/>
    <n v="2210"/>
  </r>
  <r>
    <s v="ORD-01888"/>
    <x v="82"/>
    <s v="CUST-0094"/>
    <s v="PROD-002"/>
    <s v="R014"/>
    <n v="9"/>
    <n v="2600"/>
    <n v="3.1"/>
    <n v="22674.6"/>
    <s v="Completed"/>
    <s v="Pune"/>
    <x v="0"/>
    <x v="4"/>
    <x v="1"/>
    <n v="1052"/>
    <n v="2600"/>
  </r>
  <r>
    <s v="ORD-01889"/>
    <x v="315"/>
    <s v="CUST-0254"/>
    <s v="PROD-059"/>
    <s v="R003"/>
    <n v="7"/>
    <n v="3780"/>
    <n v="13.3"/>
    <n v="22940.82"/>
    <s v="Completed"/>
    <s v="Bengaluru"/>
    <x v="4"/>
    <x v="1"/>
    <x v="1"/>
    <n v="1860"/>
    <n v="3780"/>
  </r>
  <r>
    <s v="ORD-01890"/>
    <x v="356"/>
    <s v="CUST-0022"/>
    <s v="PROD-058"/>
    <s v="R013"/>
    <n v="4"/>
    <n v="2400"/>
    <n v="16.600000000000001"/>
    <n v="8006.4"/>
    <s v="Pending"/>
    <s v="Bengaluru"/>
    <x v="4"/>
    <x v="1"/>
    <x v="2"/>
    <n v="974"/>
    <n v="2400"/>
  </r>
  <r>
    <s v="ORD-01891"/>
    <x v="348"/>
    <s v="CUST-0168"/>
    <s v="PROD-005"/>
    <s v="R005"/>
    <n v="10"/>
    <n v="300"/>
    <n v="23.9"/>
    <n v="2283"/>
    <s v="Completed"/>
    <s v="Pune"/>
    <x v="0"/>
    <x v="4"/>
    <x v="0"/>
    <n v="128"/>
    <n v="300"/>
  </r>
  <r>
    <s v="ORD-01892"/>
    <x v="93"/>
    <s v="CUST-0175"/>
    <s v="PROD-028"/>
    <s v="R010"/>
    <n v="1"/>
    <n v="3660"/>
    <n v="1.5"/>
    <n v="3605.1"/>
    <s v="Pending"/>
    <s v="Delhi"/>
    <x v="2"/>
    <x v="2"/>
    <x v="0"/>
    <n v="2214"/>
    <n v="3660"/>
  </r>
  <r>
    <s v="ORD-01893"/>
    <x v="166"/>
    <s v="CUST-0193"/>
    <s v="PROD-051"/>
    <s v="R011"/>
    <n v="9"/>
    <n v="3450"/>
    <n v="21.8"/>
    <n v="24281.1"/>
    <s v="Completed"/>
    <s v="Bengaluru"/>
    <x v="4"/>
    <x v="1"/>
    <x v="1"/>
    <n v="2467"/>
    <n v="3450"/>
  </r>
  <r>
    <s v="ORD-01894"/>
    <x v="306"/>
    <s v="CUST-0284"/>
    <s v="PROD-011"/>
    <s v="R007"/>
    <n v="10"/>
    <n v="3450"/>
    <n v="15.7"/>
    <n v="29083.5"/>
    <s v="Cancelled"/>
    <s v="Hyderabad"/>
    <x v="5"/>
    <x v="0"/>
    <x v="3"/>
    <n v="1748"/>
    <n v="3450"/>
  </r>
  <r>
    <s v="ORD-01895"/>
    <x v="249"/>
    <s v="CUST-0071"/>
    <s v="PROD-026"/>
    <s v="R008"/>
    <n v="2"/>
    <n v="4070"/>
    <n v="10.8"/>
    <n v="7260.88"/>
    <s v="Completed"/>
    <s v="Delhi"/>
    <x v="2"/>
    <x v="2"/>
    <x v="0"/>
    <n v="2027"/>
    <n v="4070"/>
  </r>
  <r>
    <s v="ORD-01896"/>
    <x v="332"/>
    <s v="CUST-0102"/>
    <s v="PROD-059"/>
    <s v="R023"/>
    <n v="4"/>
    <n v="3780"/>
    <n v="17.100000000000001"/>
    <n v="12534.48"/>
    <s v="Completed"/>
    <s v="Chennai"/>
    <x v="1"/>
    <x v="1"/>
    <x v="3"/>
    <n v="1860"/>
    <n v="3780"/>
  </r>
  <r>
    <s v="ORD-01897"/>
    <x v="81"/>
    <s v="CUST-0036"/>
    <s v="PROD-021"/>
    <s v="R004"/>
    <n v="1"/>
    <n v="2760"/>
    <n v="2.5"/>
    <n v="2691"/>
    <s v="Cancelled"/>
    <s v="Mumbai"/>
    <x v="3"/>
    <x v="2"/>
    <x v="1"/>
    <n v="1435"/>
    <n v="2760"/>
  </r>
  <r>
    <s v="ORD-01898"/>
    <x v="293"/>
    <s v="CUST-0273"/>
    <s v="PROD-046"/>
    <s v="R030"/>
    <n v="2"/>
    <n v="4880"/>
    <n v="11"/>
    <n v="8686.4"/>
    <s v="Completed"/>
    <s v="Hyderabad"/>
    <x v="5"/>
    <x v="5"/>
    <x v="2"/>
    <n v="2768"/>
    <n v="4880"/>
  </r>
  <r>
    <s v="ORD-01899"/>
    <x v="228"/>
    <s v="CUST-0262"/>
    <s v="PROD-023"/>
    <s v="R022"/>
    <n v="10"/>
    <n v="2380"/>
    <n v="28.3"/>
    <n v="17064.599999999999"/>
    <s v="Completed"/>
    <s v="Mumbai"/>
    <x v="3"/>
    <x v="2"/>
    <x v="1"/>
    <n v="1182"/>
    <n v="2380"/>
  </r>
  <r>
    <s v="ORD-01900"/>
    <x v="121"/>
    <s v="CUST-0083"/>
    <s v="PROD-042"/>
    <s v="R003"/>
    <n v="3"/>
    <n v="2290"/>
    <n v="11.1"/>
    <n v="6107.43"/>
    <s v="Cancelled"/>
    <s v="Bengaluru"/>
    <x v="4"/>
    <x v="5"/>
    <x v="0"/>
    <n v="1219"/>
    <n v="2290"/>
  </r>
  <r>
    <s v="ORD-01901"/>
    <x v="53"/>
    <s v="CUST-0273"/>
    <s v="PROD-021"/>
    <s v="R004"/>
    <n v="6"/>
    <n v="2760"/>
    <n v="16.5"/>
    <n v="13827.6"/>
    <s v="Completed"/>
    <s v="Hyderabad"/>
    <x v="5"/>
    <x v="2"/>
    <x v="2"/>
    <n v="1435"/>
    <n v="2760"/>
  </r>
  <r>
    <s v="ORD-01902"/>
    <x v="271"/>
    <s v="CUST-0047"/>
    <s v="PROD-025"/>
    <s v="R027"/>
    <n v="5"/>
    <n v="4060"/>
    <n v="22.5"/>
    <n v="15732.5"/>
    <s v="Completed"/>
    <s v="Pune"/>
    <x v="0"/>
    <x v="2"/>
    <x v="2"/>
    <n v="2911"/>
    <n v="4060"/>
  </r>
  <r>
    <s v="ORD-01903"/>
    <x v="27"/>
    <s v="CUST-0084"/>
    <s v="PROD-010"/>
    <s v="R006"/>
    <n v="8"/>
    <n v="2640"/>
    <n v="11.8"/>
    <n v="18627.84"/>
    <s v="Completed"/>
    <s v="Chennai"/>
    <x v="1"/>
    <x v="4"/>
    <x v="1"/>
    <n v="1149"/>
    <n v="2640"/>
  </r>
  <r>
    <s v="ORD-01904"/>
    <x v="119"/>
    <s v="CUST-0093"/>
    <s v="PROD-039"/>
    <s v="R005"/>
    <n v="2"/>
    <n v="4610"/>
    <n v="10.4"/>
    <n v="8261.1200000000008"/>
    <s v="Pending"/>
    <s v="Pune"/>
    <x v="0"/>
    <x v="3"/>
    <x v="0"/>
    <n v="1850"/>
    <n v="4610"/>
  </r>
  <r>
    <s v="ORD-01905"/>
    <x v="266"/>
    <s v="CUST-0282"/>
    <s v="PROD-029"/>
    <s v="R028"/>
    <n v="6"/>
    <n v="2210"/>
    <n v="22.5"/>
    <n v="10276.5"/>
    <s v="Cancelled"/>
    <s v="Hyderabad"/>
    <x v="5"/>
    <x v="2"/>
    <x v="0"/>
    <n v="1010"/>
    <n v="2210"/>
  </r>
  <r>
    <s v="ORD-01906"/>
    <x v="103"/>
    <s v="CUST-0246"/>
    <s v="PROD-029"/>
    <s v="R011"/>
    <n v="4"/>
    <n v="2210"/>
    <n v="21.5"/>
    <n v="6939.4"/>
    <s v="Pending"/>
    <s v="Delhi"/>
    <x v="2"/>
    <x v="2"/>
    <x v="1"/>
    <n v="1010"/>
    <n v="2210"/>
  </r>
  <r>
    <s v="ORD-01907"/>
    <x v="169"/>
    <s v="CUST-0243"/>
    <s v="PROD-035"/>
    <s v="R013"/>
    <n v="6"/>
    <n v="1090"/>
    <n v="28.3"/>
    <n v="4689.18"/>
    <s v="Completed"/>
    <s v="Pune"/>
    <x v="0"/>
    <x v="3"/>
    <x v="3"/>
    <n v="464"/>
    <n v="1090"/>
  </r>
  <r>
    <s v="ORD-01908"/>
    <x v="327"/>
    <s v="CUST-0298"/>
    <s v="PROD-032"/>
    <s v="R003"/>
    <n v="9"/>
    <n v="370"/>
    <n v="13.8"/>
    <n v="2870.46"/>
    <s v="Completed"/>
    <s v="Delhi"/>
    <x v="2"/>
    <x v="3"/>
    <x v="1"/>
    <n v="288"/>
    <n v="370"/>
  </r>
  <r>
    <s v="ORD-01909"/>
    <x v="122"/>
    <s v="CUST-0124"/>
    <s v="PROD-003"/>
    <s v="R025"/>
    <n v="10"/>
    <n v="3570"/>
    <n v="3"/>
    <n v="34629"/>
    <s v="Cancelled"/>
    <s v="Pune"/>
    <x v="0"/>
    <x v="4"/>
    <x v="2"/>
    <n v="1665"/>
    <n v="3570"/>
  </r>
  <r>
    <s v="ORD-01910"/>
    <x v="89"/>
    <s v="CUST-0070"/>
    <s v="PROD-036"/>
    <s v="R016"/>
    <n v="10"/>
    <n v="3250"/>
    <n v="20.3"/>
    <n v="25902.5"/>
    <s v="Completed"/>
    <s v="Mumbai"/>
    <x v="3"/>
    <x v="3"/>
    <x v="2"/>
    <n v="1556"/>
    <n v="3250"/>
  </r>
  <r>
    <s v="ORD-01911"/>
    <x v="295"/>
    <s v="CUST-0054"/>
    <s v="PROD-036"/>
    <s v="R028"/>
    <n v="6"/>
    <n v="3250"/>
    <n v="25.8"/>
    <n v="14469"/>
    <s v="Pending"/>
    <s v="Mumbai"/>
    <x v="3"/>
    <x v="3"/>
    <x v="3"/>
    <n v="1556"/>
    <n v="3250"/>
  </r>
  <r>
    <s v="ORD-01912"/>
    <x v="294"/>
    <s v="CUST-0208"/>
    <s v="PROD-057"/>
    <s v="R024"/>
    <n v="9"/>
    <n v="960"/>
    <n v="29"/>
    <n v="6134.4"/>
    <s v="Completed"/>
    <s v="Mumbai"/>
    <x v="3"/>
    <x v="1"/>
    <x v="3"/>
    <n v="705"/>
    <n v="960"/>
  </r>
  <r>
    <s v="ORD-01913"/>
    <x v="275"/>
    <s v="CUST-0181"/>
    <s v="PROD-050"/>
    <s v="R015"/>
    <n v="9"/>
    <n v="6080"/>
    <n v="21"/>
    <n v="43228.800000000003"/>
    <s v="Completed"/>
    <s v="Delhi"/>
    <x v="2"/>
    <x v="5"/>
    <x v="1"/>
    <n v="2617"/>
    <n v="6080"/>
  </r>
  <r>
    <s v="ORD-01914"/>
    <x v="250"/>
    <s v="CUST-0259"/>
    <s v="PROD-039"/>
    <s v="R020"/>
    <n v="6"/>
    <n v="4610"/>
    <n v="13.5"/>
    <n v="23925.9"/>
    <s v="Completed"/>
    <s v="Mumbai"/>
    <x v="3"/>
    <x v="3"/>
    <x v="1"/>
    <n v="1850"/>
    <n v="4610"/>
  </r>
  <r>
    <s v="ORD-01915"/>
    <x v="225"/>
    <s v="CUST-0277"/>
    <s v="PROD-034"/>
    <s v="R021"/>
    <n v="7"/>
    <n v="5080"/>
    <n v="25.4"/>
    <n v="26527.759999999998"/>
    <s v="Completed"/>
    <s v="Chennai"/>
    <x v="1"/>
    <x v="3"/>
    <x v="3"/>
    <n v="2459"/>
    <n v="5080"/>
  </r>
  <r>
    <s v="ORD-01916"/>
    <x v="269"/>
    <s v="CUST-0173"/>
    <s v="PROD-043"/>
    <s v="R017"/>
    <n v="5"/>
    <n v="3350"/>
    <n v="2.2000000000000002"/>
    <n v="16381.5"/>
    <s v="Completed"/>
    <s v="Mumbai"/>
    <x v="3"/>
    <x v="5"/>
    <x v="1"/>
    <n v="1728"/>
    <n v="3350"/>
  </r>
  <r>
    <s v="ORD-01917"/>
    <x v="77"/>
    <s v="CUST-0091"/>
    <s v="PROD-027"/>
    <s v="R014"/>
    <n v="1"/>
    <n v="3780"/>
    <n v="13.7"/>
    <n v="3262.14"/>
    <s v="Completed"/>
    <s v="Delhi"/>
    <x v="2"/>
    <x v="2"/>
    <x v="1"/>
    <n v="2436"/>
    <n v="3780"/>
  </r>
  <r>
    <s v="ORD-01918"/>
    <x v="279"/>
    <s v="CUST-0142"/>
    <s v="PROD-046"/>
    <s v="R020"/>
    <n v="4"/>
    <n v="4880"/>
    <n v="11.6"/>
    <n v="17255.68"/>
    <s v="Completed"/>
    <s v="Chennai"/>
    <x v="1"/>
    <x v="5"/>
    <x v="2"/>
    <n v="2768"/>
    <n v="4880"/>
  </r>
  <r>
    <s v="ORD-01919"/>
    <x v="217"/>
    <s v="CUST-0011"/>
    <s v="PROD-048"/>
    <s v="R029"/>
    <n v="3"/>
    <n v="5100"/>
    <n v="24.2"/>
    <n v="11597.4"/>
    <s v="Completed"/>
    <s v=" Chennai "/>
    <x v="1"/>
    <x v="5"/>
    <x v="1"/>
    <n v="2237"/>
    <n v="5100"/>
  </r>
  <r>
    <s v="ORD-01920"/>
    <x v="287"/>
    <s v="CUST-0074"/>
    <s v="PROD-008"/>
    <s v="R023"/>
    <n v="5"/>
    <n v="2660"/>
    <n v="4.7"/>
    <n v="12674.9"/>
    <s v="Completed"/>
    <s v="Bengaluru"/>
    <x v="4"/>
    <x v="4"/>
    <x v="2"/>
    <n v="1259"/>
    <n v="2660"/>
  </r>
  <r>
    <s v="ORD-01921"/>
    <x v="328"/>
    <s v="CUST-0131"/>
    <s v="PROD-023"/>
    <s v="R017"/>
    <n v="10"/>
    <n v="2380"/>
    <n v="1"/>
    <n v="23562"/>
    <s v="Completed"/>
    <s v="Delhi"/>
    <x v="2"/>
    <x v="2"/>
    <x v="0"/>
    <n v="1182"/>
    <n v="2380"/>
  </r>
  <r>
    <s v="ORD-01922"/>
    <x v="223"/>
    <s v="CUST-0093"/>
    <s v="PROD-046"/>
    <s v="R002"/>
    <n v="9"/>
    <n v="4880"/>
    <n v="7.2"/>
    <n v="40757.760000000002"/>
    <s v="Completed"/>
    <s v="Pune"/>
    <x v="0"/>
    <x v="5"/>
    <x v="0"/>
    <n v="2768"/>
    <n v="4880"/>
  </r>
  <r>
    <s v="ORD-01923"/>
    <x v="91"/>
    <s v="CUST-0229"/>
    <s v="PROD-031"/>
    <s v="R014"/>
    <n v="1"/>
    <n v="3730"/>
    <n v="15.3"/>
    <n v="3159.31"/>
    <s v="Completed"/>
    <s v="Hyderabad"/>
    <x v="5"/>
    <x v="3"/>
    <x v="0"/>
    <n v="2135"/>
    <n v="3730"/>
  </r>
  <r>
    <s v="ORD-01924"/>
    <x v="33"/>
    <s v="CUST-0293"/>
    <s v="PROD-059"/>
    <s v="R003"/>
    <n v="10"/>
    <n v="3780"/>
    <n v="2.7"/>
    <n v="36779.4"/>
    <s v="Completed"/>
    <s v="Bengaluru"/>
    <x v="4"/>
    <x v="1"/>
    <x v="0"/>
    <n v="1860"/>
    <n v="3780"/>
  </r>
  <r>
    <s v="ORD-01925"/>
    <x v="257"/>
    <s v="CUST-0105"/>
    <s v="PROD-014"/>
    <s v="R023"/>
    <n v="2"/>
    <n v="3620"/>
    <n v="23"/>
    <n v="5574.8"/>
    <s v="Completed"/>
    <s v="Chennai"/>
    <x v="1"/>
    <x v="0"/>
    <x v="2"/>
    <n v="2509"/>
    <n v="3620"/>
  </r>
  <r>
    <s v="ORD-01926"/>
    <x v="355"/>
    <s v="CUST-0003"/>
    <s v="PROD-034"/>
    <s v="R021"/>
    <n v="9"/>
    <n v="5080"/>
    <n v="19.899999999999999"/>
    <n v="36621.72"/>
    <s v="Completed"/>
    <s v="Mumbai"/>
    <x v="3"/>
    <x v="3"/>
    <x v="0"/>
    <n v="2459"/>
    <n v="5080"/>
  </r>
  <r>
    <s v="ORD-01927"/>
    <x v="230"/>
    <s v="CUST-0092"/>
    <s v="PROD-018"/>
    <s v="R024"/>
    <n v="2"/>
    <n v="3560"/>
    <n v="5.5"/>
    <n v="6728.4"/>
    <s v="Completed"/>
    <s v="Bengaluru"/>
    <x v="4"/>
    <x v="0"/>
    <x v="0"/>
    <n v="2629"/>
    <n v="3560"/>
  </r>
  <r>
    <s v="ORD-01928"/>
    <x v="134"/>
    <s v="CUST-0050"/>
    <s v="PROD-030"/>
    <s v="R001"/>
    <n v="6"/>
    <n v="970"/>
    <n v="22.5"/>
    <n v="4510.5"/>
    <s v="Refunded"/>
    <s v="Mumbai"/>
    <x v="3"/>
    <x v="2"/>
    <x v="2"/>
    <n v="434"/>
    <n v="970"/>
  </r>
  <r>
    <s v="ORD-01929"/>
    <x v="181"/>
    <s v="CUST-0237"/>
    <s v="PROD-043"/>
    <s v="R014"/>
    <n v="9"/>
    <n v="3350"/>
    <n v="5.0999999999999996"/>
    <n v="28612.35"/>
    <s v="Completed"/>
    <s v="Mumbai"/>
    <x v="3"/>
    <x v="5"/>
    <x v="1"/>
    <n v="1728"/>
    <n v="3350"/>
  </r>
  <r>
    <s v="ORD-01930"/>
    <x v="283"/>
    <s v="CUST-9905"/>
    <s v="PROD-032"/>
    <s v="R011"/>
    <n v="6"/>
    <n v="370"/>
    <n v="17.8"/>
    <n v="1824.84"/>
    <s v="Completed"/>
    <s v="Mumbai"/>
    <x v="3"/>
    <x v="3"/>
    <x v="2"/>
    <n v="288"/>
    <n v="370"/>
  </r>
  <r>
    <s v="ORD-01931"/>
    <x v="13"/>
    <s v="CUST-0175"/>
    <s v="PROD-024"/>
    <s v="R011"/>
    <n v="3"/>
    <n v="2270"/>
    <n v="8.4"/>
    <n v="6237.96"/>
    <s v="Pending"/>
    <s v="Delhi"/>
    <x v="2"/>
    <x v="2"/>
    <x v="2"/>
    <n v="1203"/>
    <n v="2270"/>
  </r>
  <r>
    <s v="ORD-01932"/>
    <x v="364"/>
    <s v="CUST-0271"/>
    <s v="PROD-051"/>
    <s v="R021"/>
    <n v="3"/>
    <n v="3450"/>
    <n v="7.2"/>
    <n v="9604.7999999999993"/>
    <s v="Completed"/>
    <s v="Bengaluru"/>
    <x v="4"/>
    <x v="1"/>
    <x v="3"/>
    <n v="2467"/>
    <n v="3450"/>
  </r>
  <r>
    <s v="ORD-01933"/>
    <x v="142"/>
    <s v="CUST-0129"/>
    <s v="PROD-054"/>
    <s v="R008"/>
    <n v="9"/>
    <n v="1010"/>
    <n v="17.8"/>
    <n v="7471.98"/>
    <s v="Completed"/>
    <s v="Hyderabad"/>
    <x v="5"/>
    <x v="1"/>
    <x v="0"/>
    <n v="516"/>
    <n v="1010"/>
  </r>
  <r>
    <s v="ORD-01934"/>
    <x v="41"/>
    <s v="CUST-0156"/>
    <s v="PROD-039"/>
    <s v="R003"/>
    <n v="5"/>
    <n v="4610"/>
    <n v="29.8"/>
    <n v="16181.1"/>
    <s v="Cancelled"/>
    <s v="Mumbai"/>
    <x v="3"/>
    <x v="3"/>
    <x v="0"/>
    <n v="1850"/>
    <n v="4610"/>
  </r>
  <r>
    <s v="ORD-01935"/>
    <x v="255"/>
    <s v="CUST-0048"/>
    <s v="PROD-032"/>
    <s v="R003"/>
    <n v="6"/>
    <n v="370"/>
    <n v="17.899999999999999"/>
    <n v="1822.62"/>
    <s v="Completed"/>
    <s v="Delhi"/>
    <x v="2"/>
    <x v="3"/>
    <x v="1"/>
    <n v="288"/>
    <n v="370"/>
  </r>
  <r>
    <s v="ORD-01936"/>
    <x v="279"/>
    <s v="CUST-0224"/>
    <s v="PROD-023"/>
    <s v="R026"/>
    <n v="6"/>
    <n v="2380"/>
    <n v="13.6"/>
    <n v="12337.92"/>
    <s v="Cancelled"/>
    <s v="Chennai"/>
    <x v="1"/>
    <x v="2"/>
    <x v="2"/>
    <n v="1182"/>
    <n v="2380"/>
  </r>
  <r>
    <s v="ORD-01937"/>
    <x v="229"/>
    <s v="CUST-0101"/>
    <s v="PROD-049"/>
    <s v="R023"/>
    <n v="6"/>
    <n v="960"/>
    <n v="15"/>
    <n v="4896"/>
    <s v="Pending"/>
    <s v="Hyderabad"/>
    <x v="5"/>
    <x v="5"/>
    <x v="1"/>
    <n v="675"/>
    <n v="960"/>
  </r>
  <r>
    <s v="ORD-01938"/>
    <x v="124"/>
    <s v="CUST-0269"/>
    <s v="PROD-057"/>
    <s v="R002"/>
    <n v="3"/>
    <n v="960"/>
    <n v="12.3"/>
    <n v="2525.7600000000002"/>
    <s v="Completed"/>
    <s v="Pune"/>
    <x v="0"/>
    <x v="1"/>
    <x v="0"/>
    <n v="705"/>
    <n v="960"/>
  </r>
  <r>
    <s v="ORD-01939"/>
    <x v="3"/>
    <s v="CUST-0097"/>
    <s v="PROD-016"/>
    <s v="R029"/>
    <n v="7"/>
    <n v="620"/>
    <n v="5.8"/>
    <n v="4088.28"/>
    <s v="Completed"/>
    <s v="Mumbai"/>
    <x v="3"/>
    <x v="0"/>
    <x v="2"/>
    <n v="396"/>
    <n v="620"/>
  </r>
  <r>
    <s v="ORD-01940"/>
    <x v="299"/>
    <s v="CUST-0062"/>
    <s v="PROD-057"/>
    <s v="R020"/>
    <n v="1"/>
    <n v="960"/>
    <n v="4.5999999999999996"/>
    <n v="915.84"/>
    <s v="Completed"/>
    <s v="Pune"/>
    <x v="0"/>
    <x v="1"/>
    <x v="2"/>
    <n v="705"/>
    <n v="960"/>
  </r>
  <r>
    <s v="ORD-01941"/>
    <x v="226"/>
    <s v="CUST-0124"/>
    <s v="PROD-047"/>
    <s v="R028"/>
    <n v="4"/>
    <n v="3450"/>
    <n v="13.3"/>
    <n v="11964.6"/>
    <s v="Completed"/>
    <s v="Pune"/>
    <x v="0"/>
    <x v="5"/>
    <x v="3"/>
    <n v="2420"/>
    <n v="3450"/>
  </r>
  <r>
    <s v="ORD-01942"/>
    <x v="17"/>
    <s v="CUST-0185"/>
    <s v="PROD-015"/>
    <s v="R019"/>
    <n v="10"/>
    <n v="2720"/>
    <n v="3.4"/>
    <n v="26275.200000000001"/>
    <s v="Completed"/>
    <s v="Hyderabad"/>
    <x v="5"/>
    <x v="0"/>
    <x v="2"/>
    <n v="1962"/>
    <n v="2720"/>
  </r>
  <r>
    <s v="ORD-01943"/>
    <x v="358"/>
    <s v="CUST-0115"/>
    <s v="PROD-047"/>
    <s v="R019"/>
    <n v="1"/>
    <n v="3450"/>
    <n v="29.4"/>
    <n v="2435.6999999999998"/>
    <s v="Completed"/>
    <s v="Mumbai"/>
    <x v="3"/>
    <x v="5"/>
    <x v="0"/>
    <n v="2420"/>
    <n v="3450"/>
  </r>
  <r>
    <s v="ORD-01944"/>
    <x v="201"/>
    <s v="CUST-0097"/>
    <s v="PROD-044"/>
    <s v="R024"/>
    <n v="5"/>
    <n v="1650"/>
    <n v="29.4"/>
    <n v="5824.5"/>
    <s v="Completed"/>
    <s v="Mumbai"/>
    <x v="3"/>
    <x v="5"/>
    <x v="2"/>
    <n v="1222"/>
    <n v="1650"/>
  </r>
  <r>
    <s v="ORD-01945"/>
    <x v="167"/>
    <s v="CUST-0221"/>
    <s v="PROD-014"/>
    <s v="R009"/>
    <n v="2"/>
    <n v="3620"/>
    <n v="15.6"/>
    <n v="6110.56"/>
    <s v="Completed"/>
    <s v="Delhi"/>
    <x v="2"/>
    <x v="0"/>
    <x v="3"/>
    <n v="2509"/>
    <n v="3620"/>
  </r>
  <r>
    <s v="ORD-01946"/>
    <x v="95"/>
    <s v="CUST-0098"/>
    <s v="PROD-005"/>
    <s v="R012"/>
    <n v="3"/>
    <n v="300"/>
    <n v="24.8"/>
    <n v="676.8"/>
    <s v="Completed"/>
    <s v="Delhi"/>
    <x v="2"/>
    <x v="4"/>
    <x v="3"/>
    <n v="128"/>
    <n v="300"/>
  </r>
  <r>
    <s v="ORD-01947"/>
    <x v="200"/>
    <s v="CUST-0203"/>
    <s v="PROD-041"/>
    <s v="R001"/>
    <n v="3"/>
    <n v="1540"/>
    <n v="29.5"/>
    <n v="3257.1"/>
    <s v="Completed"/>
    <s v="Chennai"/>
    <x v="1"/>
    <x v="5"/>
    <x v="3"/>
    <n v="647"/>
    <n v="1540"/>
  </r>
  <r>
    <s v="ORD-01948"/>
    <x v="317"/>
    <s v="CUST-0074"/>
    <s v="PROD-024"/>
    <s v="R019"/>
    <n v="10"/>
    <n v="2270"/>
    <n v="5.5"/>
    <n v="21451.5"/>
    <s v="Cancelled"/>
    <s v="Bengaluru"/>
    <x v="4"/>
    <x v="2"/>
    <x v="0"/>
    <n v="1203"/>
    <n v="2270"/>
  </r>
  <r>
    <s v="ORD-01949"/>
    <x v="154"/>
    <s v="CUST-0217"/>
    <s v="PROD-010"/>
    <s v="R008"/>
    <n v="3"/>
    <n v="2640"/>
    <n v="28.2"/>
    <n v="5686.56"/>
    <s v="Refunded"/>
    <s v="Pune"/>
    <x v="0"/>
    <x v="4"/>
    <x v="1"/>
    <n v="1149"/>
    <n v="2640"/>
  </r>
  <r>
    <s v="ORD-01950"/>
    <x v="11"/>
    <s v="CUST-0021"/>
    <s v="PROD-010"/>
    <s v="R015"/>
    <n v="10"/>
    <n v="2640"/>
    <n v="25.9"/>
    <n v="19562.400000000001"/>
    <s v="Completed"/>
    <s v="Pune"/>
    <x v="0"/>
    <x v="4"/>
    <x v="3"/>
    <n v="1149"/>
    <n v="2640"/>
  </r>
  <r>
    <s v="ORD-01951"/>
    <x v="152"/>
    <s v="CUST-0004"/>
    <s v="PROD-007"/>
    <s v="R030"/>
    <n v="2"/>
    <n v="1430"/>
    <n v="5"/>
    <n v="2717"/>
    <s v="Cancelled"/>
    <s v="Delhi"/>
    <x v="2"/>
    <x v="4"/>
    <x v="0"/>
    <n v="861"/>
    <n v="1430"/>
  </r>
  <r>
    <s v="ORD-01952"/>
    <x v="221"/>
    <s v="CUST-0080"/>
    <s v="PROD-003"/>
    <s v="R020"/>
    <n v="6"/>
    <n v="3570"/>
    <n v="28.5"/>
    <n v="15315.3"/>
    <s v="Cancelled"/>
    <s v="Pune"/>
    <x v="0"/>
    <x v="4"/>
    <x v="2"/>
    <n v="1665"/>
    <n v="3570"/>
  </r>
  <r>
    <s v="ORD-01953"/>
    <x v="328"/>
    <s v="CUST-0113"/>
    <s v="PROD-003"/>
    <s v="R024"/>
    <n v="1"/>
    <n v="3570"/>
    <n v="7.7"/>
    <n v="3295.11"/>
    <s v="Completed"/>
    <s v="Delhi"/>
    <x v="2"/>
    <x v="4"/>
    <x v="2"/>
    <n v="1665"/>
    <n v="3570"/>
  </r>
  <r>
    <s v="ORD-01954"/>
    <x v="312"/>
    <s v="CUST-0023"/>
    <s v="PROD-004"/>
    <s v="R030"/>
    <n v="9"/>
    <n v="3870"/>
    <n v="11.9"/>
    <n v="30685.23"/>
    <s v="Cancelled"/>
    <s v="Chennai"/>
    <x v="1"/>
    <x v="4"/>
    <x v="1"/>
    <n v="1559"/>
    <n v="3870"/>
  </r>
  <r>
    <s v="ORD-01955"/>
    <x v="50"/>
    <s v="CUST-0136"/>
    <s v="PROD-056"/>
    <s v="R014"/>
    <n v="5"/>
    <n v="6940"/>
    <n v="17.399999999999999"/>
    <n v="28662.2"/>
    <s v="Completed"/>
    <s v="Chennai"/>
    <x v="1"/>
    <x v="1"/>
    <x v="1"/>
    <n v="2827"/>
    <n v="6940"/>
  </r>
  <r>
    <s v="ORD-01956"/>
    <x v="42"/>
    <s v="CUST-0031"/>
    <s v="PROD-032"/>
    <s v="R026"/>
    <n v="6"/>
    <n v="370"/>
    <n v="8.1"/>
    <n v="2040.18"/>
    <s v="Cancelled"/>
    <s v="Hyderabad"/>
    <x v="5"/>
    <x v="3"/>
    <x v="3"/>
    <n v="288"/>
    <n v="370"/>
  </r>
  <r>
    <s v="ORD-01957"/>
    <x v="0"/>
    <s v="CUST-0175"/>
    <s v="PROD-018"/>
    <s v="R027"/>
    <n v="8"/>
    <n v="3560"/>
    <n v="23.3"/>
    <n v="21844.16"/>
    <s v="Completed"/>
    <s v="Delhi"/>
    <x v="2"/>
    <x v="0"/>
    <x v="1"/>
    <n v="2629"/>
    <n v="3560"/>
  </r>
  <r>
    <s v="ORD-01958"/>
    <x v="142"/>
    <s v="CUST-0249"/>
    <s v="PROD-009"/>
    <s v="R028"/>
    <n v="4"/>
    <n v="1220"/>
    <n v="2.7"/>
    <n v="4748.24"/>
    <s v="Completed"/>
    <s v="Mumbai"/>
    <x v="3"/>
    <x v="4"/>
    <x v="1"/>
    <n v="517"/>
    <n v="1220"/>
  </r>
  <r>
    <s v="ORD-01959"/>
    <x v="311"/>
    <s v="CUST-0138"/>
    <s v="PROD-026"/>
    <s v="R020"/>
    <n v="10"/>
    <n v="4070"/>
    <n v="11.6"/>
    <n v="35978.800000000003"/>
    <s v="Completed"/>
    <s v="Chennai"/>
    <x v="1"/>
    <x v="2"/>
    <x v="1"/>
    <n v="2027"/>
    <n v="4070"/>
  </r>
  <r>
    <s v="ORD-01960"/>
    <x v="260"/>
    <s v="CUST-0290"/>
    <s v="PROD-028"/>
    <s v="R019"/>
    <n v="10"/>
    <n v="3660"/>
    <n v="28.8"/>
    <n v="26059.200000000001"/>
    <s v="Completed"/>
    <s v="Delhi"/>
    <x v="2"/>
    <x v="2"/>
    <x v="3"/>
    <n v="2214"/>
    <n v="3660"/>
  </r>
  <r>
    <s v="ORD-01961"/>
    <x v="121"/>
    <s v="CUST-0151"/>
    <s v="PROD-034"/>
    <s v="R018"/>
    <n v="5"/>
    <n v="5080"/>
    <n v="12.1"/>
    <n v="22326.6"/>
    <s v="Completed"/>
    <s v="Mumbai"/>
    <x v="3"/>
    <x v="3"/>
    <x v="1"/>
    <n v="2459"/>
    <n v="5080"/>
  </r>
  <r>
    <s v="ORD-01962"/>
    <x v="200"/>
    <s v="CUST-0290"/>
    <s v="PROD-039"/>
    <s v="R013"/>
    <n v="10"/>
    <n v="4610"/>
    <n v="22.5"/>
    <n v="35727.5"/>
    <s v="Completed"/>
    <s v="Delhi"/>
    <x v="2"/>
    <x v="3"/>
    <x v="3"/>
    <n v="1850"/>
    <n v="4610"/>
  </r>
  <r>
    <s v="ORD-01963"/>
    <x v="58"/>
    <s v="CUST-0074"/>
    <s v="PROD-008"/>
    <s v="R007"/>
    <n v="3"/>
    <n v="2660"/>
    <n v="15"/>
    <n v="6783"/>
    <s v="Completed"/>
    <s v="Bengaluru"/>
    <x v="4"/>
    <x v="4"/>
    <x v="2"/>
    <n v="1259"/>
    <n v="2660"/>
  </r>
  <r>
    <s v="ORD-01964"/>
    <x v="360"/>
    <s v="CUST-0295"/>
    <s v="PROD-012"/>
    <s v="R006"/>
    <n v="5"/>
    <n v="3160"/>
    <n v="1.3"/>
    <n v="15594.6"/>
    <s v="Completed"/>
    <s v="Delhi"/>
    <x v="2"/>
    <x v="0"/>
    <x v="2"/>
    <n v="1886"/>
    <n v="3160"/>
  </r>
  <r>
    <s v="ORD-01965"/>
    <x v="354"/>
    <s v="CUST-0132"/>
    <s v="PROD-032"/>
    <s v="R004"/>
    <n v="10"/>
    <n v="370"/>
    <n v="29"/>
    <n v="2627"/>
    <s v="Completed"/>
    <s v="Delhi"/>
    <x v="2"/>
    <x v="3"/>
    <x v="0"/>
    <n v="288"/>
    <n v="370"/>
  </r>
  <r>
    <s v="ORD-01966"/>
    <x v="243"/>
    <s v="CUST-0289"/>
    <s v="PROD-054"/>
    <s v="R008"/>
    <n v="10"/>
    <n v="1010"/>
    <n v="14.1"/>
    <n v="8675.9"/>
    <s v="Refunded"/>
    <s v="Mumbai"/>
    <x v="3"/>
    <x v="1"/>
    <x v="2"/>
    <n v="516"/>
    <n v="1010"/>
  </r>
  <r>
    <s v="ORD-01967"/>
    <x v="261"/>
    <s v="CUST-0139"/>
    <s v="PROD-018"/>
    <s v="R030"/>
    <n v="3"/>
    <n v="3560"/>
    <n v="23.6"/>
    <n v="8159.52"/>
    <s v="Completed"/>
    <s v="Hyderabad"/>
    <x v="5"/>
    <x v="0"/>
    <x v="3"/>
    <n v="2629"/>
    <n v="3560"/>
  </r>
  <r>
    <s v="ORD-01968"/>
    <x v="1"/>
    <s v="CUST-0032"/>
    <s v="PROD-009"/>
    <s v="R028"/>
    <n v="9"/>
    <n v="1220"/>
    <n v="16.600000000000001"/>
    <n v="9157.32"/>
    <s v="Completed"/>
    <s v="Hyderabad"/>
    <x v="5"/>
    <x v="4"/>
    <x v="2"/>
    <n v="517"/>
    <n v="1220"/>
  </r>
  <r>
    <s v="ORD-01969"/>
    <x v="30"/>
    <s v="CUST-0109"/>
    <s v="PROD-060"/>
    <s v="R008"/>
    <n v="8"/>
    <n v="190"/>
    <n v="22.3"/>
    <n v="1181.04"/>
    <s v="Completed"/>
    <s v="Pune"/>
    <x v="0"/>
    <x v="1"/>
    <x v="3"/>
    <n v="147"/>
    <n v="190"/>
  </r>
  <r>
    <s v="ORD-01970"/>
    <x v="290"/>
    <s v="CUST-0224"/>
    <s v="PROD-054"/>
    <s v="R002"/>
    <n v="2"/>
    <n v="1010"/>
    <n v="3.8"/>
    <n v="1943.24"/>
    <s v="Completed"/>
    <s v="Chennai"/>
    <x v="1"/>
    <x v="1"/>
    <x v="1"/>
    <n v="516"/>
    <n v="1010"/>
  </r>
  <r>
    <s v="ORD-01971"/>
    <x v="96"/>
    <s v="CUST-0038"/>
    <s v="PROD-002"/>
    <s v="R009"/>
    <n v="4"/>
    <n v="2600"/>
    <n v="29.1"/>
    <n v="7373.6"/>
    <s v="Completed"/>
    <s v="Mumbai"/>
    <x v="3"/>
    <x v="4"/>
    <x v="0"/>
    <n v="1052"/>
    <n v="2600"/>
  </r>
  <r>
    <s v="ORD-01972"/>
    <x v="25"/>
    <s v="CUST-0132"/>
    <s v="PROD-011"/>
    <s v="R029"/>
    <n v="7"/>
    <n v="3450"/>
    <n v="4"/>
    <n v="23184"/>
    <s v="Completed"/>
    <s v="Delhi"/>
    <x v="2"/>
    <x v="0"/>
    <x v="0"/>
    <n v="1748"/>
    <n v="3450"/>
  </r>
  <r>
    <s v="ORD-01973"/>
    <x v="288"/>
    <s v="CUST-0226"/>
    <s v="PROD-017"/>
    <s v="R019"/>
    <n v="6"/>
    <n v="2510"/>
    <n v="12.7"/>
    <n v="13147.38"/>
    <s v="Completed"/>
    <s v="Chennai"/>
    <x v="1"/>
    <x v="0"/>
    <x v="2"/>
    <n v="1075"/>
    <n v="2510"/>
  </r>
  <r>
    <s v="ORD-01974"/>
    <x v="9"/>
    <s v="CUST-0275"/>
    <s v="PROD-060"/>
    <s v="R027"/>
    <n v="6"/>
    <n v="190"/>
    <n v="20"/>
    <n v="912"/>
    <s v="Cancelled"/>
    <s v="Mumbai"/>
    <x v="3"/>
    <x v="1"/>
    <x v="1"/>
    <n v="147"/>
    <n v="190"/>
  </r>
  <r>
    <s v="ORD-01975"/>
    <x v="201"/>
    <s v="CUST-0109"/>
    <s v="PROD-044"/>
    <s v="R029"/>
    <n v="10"/>
    <n v="1650"/>
    <n v="21.5"/>
    <n v="12952.5"/>
    <s v="Completed"/>
    <s v="Pune"/>
    <x v="0"/>
    <x v="5"/>
    <x v="1"/>
    <n v="1222"/>
    <n v="1650"/>
  </r>
  <r>
    <s v="ORD-01976"/>
    <x v="112"/>
    <s v="CUST-0281"/>
    <s v="PROD-055"/>
    <s v="R009"/>
    <n v="4"/>
    <n v="2860"/>
    <n v="15.2"/>
    <n v="9701.1200000000008"/>
    <s v="Completed"/>
    <s v="Bengaluru"/>
    <x v="4"/>
    <x v="1"/>
    <x v="2"/>
    <n v="2028"/>
    <n v="2860"/>
  </r>
  <r>
    <s v="ORD-01977"/>
    <x v="55"/>
    <s v="CUST-0174"/>
    <s v="PROD-053"/>
    <s v="R028"/>
    <n v="3"/>
    <n v="470"/>
    <n v="14.2"/>
    <n v="1209.78"/>
    <s v="Completed"/>
    <s v="Pune"/>
    <x v="0"/>
    <x v="1"/>
    <x v="2"/>
    <n v="302"/>
    <n v="470"/>
  </r>
  <r>
    <s v="ORD-01978"/>
    <x v="277"/>
    <s v="CUST-0103"/>
    <s v="PROD-055"/>
    <s v="R030"/>
    <n v="2"/>
    <n v="2860"/>
    <n v="17.899999999999999"/>
    <n v="4696.12"/>
    <s v="Completed"/>
    <s v="Hyderabad"/>
    <x v="5"/>
    <x v="1"/>
    <x v="1"/>
    <n v="2028"/>
    <n v="2860"/>
  </r>
  <r>
    <s v="ORD-01979"/>
    <x v="192"/>
    <s v="CUST-0076"/>
    <s v="PROD-019"/>
    <s v="R018"/>
    <n v="2"/>
    <n v="2480"/>
    <n v="11.5"/>
    <n v="4389.6000000000004"/>
    <s v="Cancelled"/>
    <s v="Mumbai"/>
    <x v="3"/>
    <x v="0"/>
    <x v="1"/>
    <n v="1173"/>
    <n v="2480"/>
  </r>
  <r>
    <s v="ORD-01980"/>
    <x v="208"/>
    <s v="CUST-0227"/>
    <s v="PROD-033"/>
    <s v="R006"/>
    <n v="10"/>
    <n v="2030"/>
    <n v="29.2"/>
    <n v="14372.4"/>
    <s v="Completed"/>
    <s v="Bengaluru"/>
    <x v="4"/>
    <x v="3"/>
    <x v="3"/>
    <n v="1143"/>
    <n v="2030"/>
  </r>
  <r>
    <s v="ORD-01981"/>
    <x v="135"/>
    <s v="CUST-0006"/>
    <s v="PROD-047"/>
    <s v="R012"/>
    <n v="6"/>
    <n v="3450"/>
    <n v="3.5"/>
    <n v="19975.5"/>
    <s v="Refunded"/>
    <s v="Pune"/>
    <x v="0"/>
    <x v="5"/>
    <x v="0"/>
    <n v="2420"/>
    <n v="3450"/>
  </r>
  <r>
    <s v="ORD-01982"/>
    <x v="320"/>
    <s v="CUST-0231"/>
    <s v="PROD-007"/>
    <s v="R011"/>
    <n v="10"/>
    <n v="1430"/>
    <n v="3.5"/>
    <n v="13799.5"/>
    <s v="Completed"/>
    <s v="Chennai"/>
    <x v="1"/>
    <x v="4"/>
    <x v="3"/>
    <n v="861"/>
    <n v="1430"/>
  </r>
  <r>
    <s v="ORD-01983"/>
    <x v="124"/>
    <s v="CUST-0085"/>
    <s v="PROD-020"/>
    <s v="R017"/>
    <n v="1"/>
    <n v="820"/>
    <n v="14.5"/>
    <n v="701.1"/>
    <s v="Cancelled"/>
    <s v="Chennai"/>
    <x v="1"/>
    <x v="0"/>
    <x v="3"/>
    <n v="391"/>
    <n v="820"/>
  </r>
  <r>
    <s v="ORD-01984"/>
    <x v="144"/>
    <s v="CUST-0022"/>
    <s v="PROD-046"/>
    <s v="R023"/>
    <n v="5"/>
    <n v="4880"/>
    <n v="1.8"/>
    <n v="23960.799999999999"/>
    <s v="Completed"/>
    <s v="Bengaluru"/>
    <x v="4"/>
    <x v="5"/>
    <x v="3"/>
    <n v="2768"/>
    <n v="4880"/>
  </r>
  <r>
    <s v="ORD-01985"/>
    <x v="217"/>
    <s v="CUST-0275"/>
    <s v="PROD-043"/>
    <s v="R016"/>
    <n v="8"/>
    <n v="3350"/>
    <n v="26.3"/>
    <n v="19751.599999999999"/>
    <s v="Cancelled"/>
    <s v="Mumbai"/>
    <x v="3"/>
    <x v="5"/>
    <x v="3"/>
    <n v="1728"/>
    <n v="3350"/>
  </r>
  <r>
    <s v="ORD-01986"/>
    <x v="129"/>
    <s v="CUST-0159"/>
    <s v="PROD-019"/>
    <s v="R022"/>
    <n v="9"/>
    <n v="2480"/>
    <n v="24.3"/>
    <n v="16896.240000000002"/>
    <s v="Completed"/>
    <s v="Hyderabad"/>
    <x v="5"/>
    <x v="0"/>
    <x v="1"/>
    <n v="1173"/>
    <n v="2480"/>
  </r>
  <r>
    <s v="ORD-01987"/>
    <x v="66"/>
    <s v="CUST-0152"/>
    <s v="PROD-039"/>
    <s v="R024"/>
    <n v="9"/>
    <n v="4610"/>
    <n v="10"/>
    <n v="37341"/>
    <s v="Completed"/>
    <s v="Bengaluru"/>
    <x v="4"/>
    <x v="3"/>
    <x v="1"/>
    <n v="1850"/>
    <n v="4610"/>
  </r>
  <r>
    <s v="ORD-01988"/>
    <x v="132"/>
    <s v="CUST-0289"/>
    <s v="PROD-027"/>
    <s v="R004"/>
    <n v="1"/>
    <n v="3780"/>
    <n v="2.2000000000000002"/>
    <n v="3696.84"/>
    <s v="Completed"/>
    <s v="Mumbai"/>
    <x v="3"/>
    <x v="2"/>
    <x v="1"/>
    <n v="2436"/>
    <n v="3780"/>
  </r>
  <r>
    <s v="ORD-01989"/>
    <x v="24"/>
    <s v="CUST-0004"/>
    <s v="PROD-045"/>
    <s v="R026"/>
    <n v="3"/>
    <n v="3020"/>
    <n v="21.4"/>
    <n v="7121.16"/>
    <s v="Cancelled"/>
    <s v="Delhi"/>
    <x v="2"/>
    <x v="5"/>
    <x v="0"/>
    <n v="1626"/>
    <n v="3020"/>
  </r>
  <r>
    <s v="ORD-01990"/>
    <x v="218"/>
    <s v="CUST-0159"/>
    <s v="PROD-035"/>
    <s v="R006"/>
    <n v="10"/>
    <n v="1090"/>
    <n v="29.2"/>
    <n v="7717.2"/>
    <s v="Cancelled"/>
    <s v="Hyderabad"/>
    <x v="5"/>
    <x v="3"/>
    <x v="2"/>
    <n v="464"/>
    <n v="1090"/>
  </r>
  <r>
    <s v="ORD-01991"/>
    <x v="48"/>
    <s v="CUST-0083"/>
    <s v="PROD-048"/>
    <s v="R013"/>
    <n v="5"/>
    <n v="5100"/>
    <n v="28.4"/>
    <n v="18258"/>
    <s v="Completed"/>
    <s v="Bengaluru"/>
    <x v="4"/>
    <x v="5"/>
    <x v="1"/>
    <n v="2237"/>
    <n v="5100"/>
  </r>
  <r>
    <s v="ORD-01992"/>
    <x v="279"/>
    <s v="CUST-0242"/>
    <s v="PROD-046"/>
    <s v="R008"/>
    <n v="6"/>
    <n v="4880"/>
    <n v="16.8"/>
    <n v="24360.959999999999"/>
    <s v="Completed"/>
    <s v="Chennai"/>
    <x v="1"/>
    <x v="5"/>
    <x v="3"/>
    <n v="2768"/>
    <n v="4880"/>
  </r>
  <r>
    <s v="ORD-01993"/>
    <x v="310"/>
    <s v="CUST-0245"/>
    <s v="PROD-001"/>
    <s v="R027"/>
    <n v="1"/>
    <n v="5330"/>
    <n v="27.5"/>
    <n v="3864.25"/>
    <s v="Completed"/>
    <s v="Hyderabad"/>
    <x v="5"/>
    <x v="4"/>
    <x v="2"/>
    <n v="2405"/>
    <n v="5330"/>
  </r>
  <r>
    <s v="ORD-01994"/>
    <x v="302"/>
    <s v="CUST-0008"/>
    <s v="PROD-033"/>
    <s v="R029"/>
    <n v="7"/>
    <n v="2030"/>
    <n v="5.3"/>
    <n v="13456.87"/>
    <s v="Cancelled"/>
    <s v="Pune"/>
    <x v="0"/>
    <x v="3"/>
    <x v="2"/>
    <n v="1143"/>
    <n v="2030"/>
  </r>
  <r>
    <s v="ORD-01995"/>
    <x v="107"/>
    <s v="CUST-0260"/>
    <s v="PROD-043"/>
    <s v="R024"/>
    <n v="7"/>
    <n v="3350"/>
    <n v="0.4"/>
    <n v="23356.2"/>
    <s v="Completed"/>
    <s v="Bengaluru"/>
    <x v="4"/>
    <x v="5"/>
    <x v="2"/>
    <n v="1728"/>
    <n v="3350"/>
  </r>
  <r>
    <s v="ORD-01996"/>
    <x v="346"/>
    <s v="CUST-0265"/>
    <s v="PROD-031"/>
    <s v="R015"/>
    <n v="6"/>
    <n v="3730"/>
    <n v="13.8"/>
    <n v="19291.560000000001"/>
    <s v="Completed"/>
    <s v="Chennai"/>
    <x v="1"/>
    <x v="3"/>
    <x v="3"/>
    <n v="2135"/>
    <n v="3730"/>
  </r>
  <r>
    <s v="ORD-01997"/>
    <x v="65"/>
    <s v="CUST-0135"/>
    <s v="PROD-006"/>
    <s v="R017"/>
    <n v="6"/>
    <n v="3970"/>
    <n v="5.8"/>
    <n v="22438.44"/>
    <s v="Pending"/>
    <s v="Pune"/>
    <x v="0"/>
    <x v="4"/>
    <x v="3"/>
    <n v="2865"/>
    <n v="3970"/>
  </r>
  <r>
    <s v="ORD-01998"/>
    <x v="95"/>
    <s v="CUST-0030"/>
    <s v="PROD-029"/>
    <s v="R011"/>
    <n v="4"/>
    <n v="2210"/>
    <n v="18.2"/>
    <n v="7231.12"/>
    <s v="Pending"/>
    <s v="Bengaluru"/>
    <x v="4"/>
    <x v="2"/>
    <x v="3"/>
    <n v="1010"/>
    <n v="2210"/>
  </r>
  <r>
    <s v="ORD-01999"/>
    <x v="43"/>
    <s v="CUST-0167"/>
    <s v="PROD-052"/>
    <s v="R008"/>
    <n v="6"/>
    <n v="5410"/>
    <n v="15.5"/>
    <n v="27428.7"/>
    <s v="Completed"/>
    <s v="Delhi"/>
    <x v="2"/>
    <x v="1"/>
    <x v="1"/>
    <n v="2265"/>
    <n v="5410"/>
  </r>
  <r>
    <s v="ORD-02000"/>
    <x v="354"/>
    <s v="CUST-0238"/>
    <s v="PROD-034"/>
    <s v="R023"/>
    <n v="6"/>
    <n v="5080"/>
    <n v="28.1"/>
    <n v="21915.119999999999"/>
    <s v="Completed"/>
    <s v="Delhi"/>
    <x v="2"/>
    <x v="3"/>
    <x v="2"/>
    <n v="2459"/>
    <n v="50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A575B-64A8-41D3-9774-FA90D364DAD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8" firstHeaderRow="0" firstDataRow="1" firstDataCol="1" rowPageCount="1" colPageCount="1"/>
  <pivotFields count="19">
    <pivotField showAll="0"/>
    <pivotField axis="axisRow"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7">
        <item x="0"/>
        <item x="5"/>
        <item x="4"/>
        <item x="2"/>
        <item x="3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1">
    <field x="1"/>
  </rowFields>
  <rowItems count="205">
    <i>
      <x v="2"/>
    </i>
    <i>
      <x v="6"/>
    </i>
    <i>
      <x v="9"/>
    </i>
    <i>
      <x v="14"/>
    </i>
    <i>
      <x v="17"/>
    </i>
    <i>
      <x v="18"/>
    </i>
    <i>
      <x v="20"/>
    </i>
    <i>
      <x v="21"/>
    </i>
    <i>
      <x v="24"/>
    </i>
    <i>
      <x v="26"/>
    </i>
    <i>
      <x v="30"/>
    </i>
    <i>
      <x v="33"/>
    </i>
    <i>
      <x v="34"/>
    </i>
    <i>
      <x v="36"/>
    </i>
    <i>
      <x v="37"/>
    </i>
    <i>
      <x v="40"/>
    </i>
    <i>
      <x v="42"/>
    </i>
    <i>
      <x v="43"/>
    </i>
    <i>
      <x v="44"/>
    </i>
    <i>
      <x v="45"/>
    </i>
    <i>
      <x v="46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59"/>
    </i>
    <i>
      <x v="61"/>
    </i>
    <i>
      <x v="62"/>
    </i>
    <i>
      <x v="63"/>
    </i>
    <i>
      <x v="65"/>
    </i>
    <i>
      <x v="66"/>
    </i>
    <i>
      <x v="68"/>
    </i>
    <i>
      <x v="73"/>
    </i>
    <i>
      <x v="74"/>
    </i>
    <i>
      <x v="77"/>
    </i>
    <i>
      <x v="78"/>
    </i>
    <i>
      <x v="79"/>
    </i>
    <i>
      <x v="80"/>
    </i>
    <i>
      <x v="81"/>
    </i>
    <i>
      <x v="83"/>
    </i>
    <i>
      <x v="84"/>
    </i>
    <i>
      <x v="85"/>
    </i>
    <i>
      <x v="87"/>
    </i>
    <i>
      <x v="88"/>
    </i>
    <i>
      <x v="92"/>
    </i>
    <i>
      <x v="93"/>
    </i>
    <i>
      <x v="94"/>
    </i>
    <i>
      <x v="95"/>
    </i>
    <i>
      <x v="96"/>
    </i>
    <i>
      <x v="100"/>
    </i>
    <i>
      <x v="101"/>
    </i>
    <i>
      <x v="102"/>
    </i>
    <i>
      <x v="103"/>
    </i>
    <i>
      <x v="105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20"/>
    </i>
    <i>
      <x v="121"/>
    </i>
    <i>
      <x v="122"/>
    </i>
    <i>
      <x v="123"/>
    </i>
    <i>
      <x v="125"/>
    </i>
    <i>
      <x v="126"/>
    </i>
    <i>
      <x v="127"/>
    </i>
    <i>
      <x v="128"/>
    </i>
    <i>
      <x v="131"/>
    </i>
    <i>
      <x v="136"/>
    </i>
    <i>
      <x v="138"/>
    </i>
    <i>
      <x v="140"/>
    </i>
    <i>
      <x v="144"/>
    </i>
    <i>
      <x v="145"/>
    </i>
    <i>
      <x v="147"/>
    </i>
    <i>
      <x v="149"/>
    </i>
    <i>
      <x v="150"/>
    </i>
    <i>
      <x v="151"/>
    </i>
    <i>
      <x v="152"/>
    </i>
    <i>
      <x v="155"/>
    </i>
    <i>
      <x v="156"/>
    </i>
    <i>
      <x v="157"/>
    </i>
    <i>
      <x v="161"/>
    </i>
    <i>
      <x v="163"/>
    </i>
    <i>
      <x v="165"/>
    </i>
    <i>
      <x v="167"/>
    </i>
    <i>
      <x v="168"/>
    </i>
    <i>
      <x v="170"/>
    </i>
    <i>
      <x v="171"/>
    </i>
    <i>
      <x v="173"/>
    </i>
    <i>
      <x v="177"/>
    </i>
    <i>
      <x v="180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4"/>
    </i>
    <i>
      <x v="196"/>
    </i>
    <i>
      <x v="197"/>
    </i>
    <i>
      <x v="198"/>
    </i>
    <i>
      <x v="199"/>
    </i>
    <i>
      <x v="204"/>
    </i>
    <i>
      <x v="205"/>
    </i>
    <i>
      <x v="206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5"/>
    </i>
    <i>
      <x v="226"/>
    </i>
    <i>
      <x v="229"/>
    </i>
    <i>
      <x v="231"/>
    </i>
    <i>
      <x v="233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6"/>
    </i>
    <i>
      <x v="250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2"/>
    </i>
    <i>
      <x v="263"/>
    </i>
    <i>
      <x v="267"/>
    </i>
    <i>
      <x v="268"/>
    </i>
    <i>
      <x v="275"/>
    </i>
    <i>
      <x v="276"/>
    </i>
    <i>
      <x v="277"/>
    </i>
    <i>
      <x v="278"/>
    </i>
    <i>
      <x v="280"/>
    </i>
    <i>
      <x v="281"/>
    </i>
    <i>
      <x v="285"/>
    </i>
    <i>
      <x v="286"/>
    </i>
    <i>
      <x v="287"/>
    </i>
    <i>
      <x v="292"/>
    </i>
    <i>
      <x v="293"/>
    </i>
    <i>
      <x v="294"/>
    </i>
    <i>
      <x v="296"/>
    </i>
    <i>
      <x v="297"/>
    </i>
    <i>
      <x v="299"/>
    </i>
    <i>
      <x v="300"/>
    </i>
    <i>
      <x v="301"/>
    </i>
    <i>
      <x v="303"/>
    </i>
    <i>
      <x v="305"/>
    </i>
    <i>
      <x v="307"/>
    </i>
    <i>
      <x v="308"/>
    </i>
    <i>
      <x v="309"/>
    </i>
    <i>
      <x v="311"/>
    </i>
    <i>
      <x v="312"/>
    </i>
    <i>
      <x v="313"/>
    </i>
    <i>
      <x v="317"/>
    </i>
    <i>
      <x v="318"/>
    </i>
    <i>
      <x v="319"/>
    </i>
    <i>
      <x v="322"/>
    </i>
    <i>
      <x v="324"/>
    </i>
    <i>
      <x v="325"/>
    </i>
    <i>
      <x v="328"/>
    </i>
    <i>
      <x v="329"/>
    </i>
    <i>
      <x v="330"/>
    </i>
    <i>
      <x v="333"/>
    </i>
    <i>
      <x v="336"/>
    </i>
    <i>
      <x v="337"/>
    </i>
    <i>
      <x v="339"/>
    </i>
    <i>
      <x v="340"/>
    </i>
    <i>
      <x v="341"/>
    </i>
    <i>
      <x v="342"/>
    </i>
    <i>
      <x v="345"/>
    </i>
    <i>
      <x v="346"/>
    </i>
    <i>
      <x v="347"/>
    </i>
    <i>
      <x v="348"/>
    </i>
    <i>
      <x v="352"/>
    </i>
    <i>
      <x v="353"/>
    </i>
    <i>
      <x v="354"/>
    </i>
    <i>
      <x v="357"/>
    </i>
    <i>
      <x v="358"/>
    </i>
    <i>
      <x v="359"/>
    </i>
    <i>
      <x v="361"/>
    </i>
    <i>
      <x v="362"/>
    </i>
    <i>
      <x v="364"/>
    </i>
    <i t="grand">
      <x/>
    </i>
  </rowItems>
  <colFields count="1">
    <field x="-2"/>
  </colFields>
  <colItems count="2">
    <i>
      <x/>
    </i>
    <i i="1">
      <x v="1"/>
    </i>
  </colItems>
  <pageFields count="1">
    <pageField fld="11" item="2" hier="-1"/>
  </pageFields>
  <dataFields count="2">
    <dataField name="Sum of final_amount" fld="8" baseField="0" baseItem="0"/>
    <dataField name="Average of profit_margin" fld="18" subtotal="average" showDataAs="percentOfTotal" baseField="1" baseItem="9" numFmtId="10"/>
  </dataFields>
  <formats count="2">
    <format dxfId="8">
      <pivotArea grandRow="1" outline="0" collapsedLevelsAreSubtotals="1" fieldPosition="0"/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F2337-95F7-4F09-A788-2E3CFD5FB61B}" name="Table1" displayName="Table1" ref="A3:P2003" totalsRowShown="0">
  <autoFilter ref="A3:P2003" xr:uid="{12FF2337-95F7-4F09-A788-2E3CFD5FB61B}"/>
  <tableColumns count="16">
    <tableColumn id="1" xr3:uid="{3351718E-70CD-41DF-9454-017C4C507AE3}" name="order_id"/>
    <tableColumn id="2" xr3:uid="{A05DB282-2610-4B02-9A26-37D9F15F56B7}" name="order_date" dataDxfId="7"/>
    <tableColumn id="3" xr3:uid="{449313B1-0737-45F6-874A-D6A0BB642915}" name="customer_id"/>
    <tableColumn id="4" xr3:uid="{42387E93-2E8B-41BE-8812-2E65B0F5B134}" name="product_id"/>
    <tableColumn id="5" xr3:uid="{0543C88D-849F-48E1-9DB6-4F866A52E040}" name="sales_rep_id"/>
    <tableColumn id="6" xr3:uid="{EE2CC0A2-0F55-43FE-8828-F9F99DE01E90}" name="quantity"/>
    <tableColumn id="7" xr3:uid="{9C06A27D-DA5F-43B3-9CEC-739785080CFA}" name="unit_price"/>
    <tableColumn id="8" xr3:uid="{782E0C46-2328-49F1-9F73-D7885818A4AB}" name="discount_pct"/>
    <tableColumn id="9" xr3:uid="{243A59D4-C358-4C0C-AA54-7369B97F79B9}" name="final_amount"/>
    <tableColumn id="10" xr3:uid="{463BA23E-D46C-4076-8A1B-7E38F8093FF8}" name="payment_status"/>
    <tableColumn id="11" xr3:uid="{7C6F7088-3F1E-4E37-A4A0-B4A57FD9197B}" name="ship_city"/>
    <tableColumn id="12" xr3:uid="{45EA988D-ED6C-4FB2-A15D-E02922730DB8}" name="Clean City"/>
    <tableColumn id="13" xr3:uid="{CEB912F2-937A-4765-861F-35D1386B31B2}" name="Category"/>
    <tableColumn id="14" xr3:uid="{E81333B4-2956-4416-A0AD-80DBE8ABBB3A}" name="Region"/>
    <tableColumn id="15" xr3:uid="{0A6B50A2-653A-41F0-A50E-151EF3DEADEE}" name="Unit Cost"/>
    <tableColumn id="16" xr3:uid="{A2187C36-4AE6-40EF-88D4-59A631D01B4C}" name="Unit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D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5" t="s">
        <v>0</v>
      </c>
      <c r="B5" s="32"/>
      <c r="C5" s="32"/>
      <c r="D5" s="32"/>
      <c r="E5" s="32"/>
      <c r="F5" s="32"/>
    </row>
    <row r="6" spans="1:8" x14ac:dyDescent="0.3">
      <c r="A6" s="34" t="s">
        <v>1</v>
      </c>
      <c r="B6" s="32"/>
      <c r="C6" s="32"/>
      <c r="D6" s="32"/>
      <c r="E6" s="32"/>
      <c r="F6" s="32"/>
      <c r="G6" s="32"/>
      <c r="H6" s="32"/>
    </row>
    <row r="7" spans="1:8" x14ac:dyDescent="0.3">
      <c r="A7" s="34" t="s">
        <v>3007</v>
      </c>
      <c r="B7" s="32"/>
      <c r="C7" s="32"/>
      <c r="D7" s="32"/>
      <c r="E7" s="32"/>
      <c r="F7" s="32"/>
      <c r="G7" s="32"/>
      <c r="H7" s="32"/>
    </row>
    <row r="8" spans="1:8" x14ac:dyDescent="0.3">
      <c r="A8" s="34" t="s">
        <v>2</v>
      </c>
      <c r="B8" s="32"/>
      <c r="C8" s="32"/>
      <c r="D8" s="32"/>
      <c r="E8" s="32"/>
      <c r="F8" s="32"/>
      <c r="G8" s="32"/>
      <c r="H8" s="32"/>
    </row>
    <row r="9" spans="1:8" x14ac:dyDescent="0.3">
      <c r="A9" s="34"/>
      <c r="B9" s="32"/>
      <c r="C9" s="32"/>
      <c r="D9" s="32"/>
      <c r="E9" s="32"/>
      <c r="F9" s="32"/>
      <c r="G9" s="32"/>
      <c r="H9" s="32"/>
    </row>
    <row r="10" spans="1:8" x14ac:dyDescent="0.3">
      <c r="A10" s="34" t="s">
        <v>3</v>
      </c>
      <c r="B10" s="32"/>
      <c r="C10" s="32"/>
      <c r="D10" s="32"/>
      <c r="E10" s="32"/>
      <c r="F10" s="32"/>
      <c r="G10" s="32"/>
      <c r="H10" s="32"/>
    </row>
    <row r="11" spans="1:8" x14ac:dyDescent="0.3">
      <c r="A11" s="34" t="s">
        <v>3008</v>
      </c>
      <c r="B11" s="32"/>
      <c r="C11" s="32"/>
      <c r="D11" s="32"/>
      <c r="E11" s="32"/>
      <c r="F11" s="32"/>
      <c r="G11" s="32"/>
      <c r="H11" s="32"/>
    </row>
    <row r="12" spans="1:8" x14ac:dyDescent="0.3">
      <c r="A12" s="34" t="s">
        <v>4</v>
      </c>
      <c r="B12" s="32"/>
      <c r="C12" s="32"/>
      <c r="D12" s="32"/>
      <c r="E12" s="32"/>
      <c r="F12" s="32"/>
      <c r="G12" s="32"/>
      <c r="H12" s="32"/>
    </row>
    <row r="14" spans="1:8" ht="15.6" x14ac:dyDescent="0.3">
      <c r="A14" s="4" t="s">
        <v>5</v>
      </c>
    </row>
    <row r="15" spans="1:8" x14ac:dyDescent="0.3">
      <c r="A15" s="34" t="s">
        <v>6</v>
      </c>
      <c r="B15" s="32"/>
      <c r="C15" s="32"/>
      <c r="D15" s="32"/>
      <c r="E15" s="32"/>
      <c r="F15" s="32"/>
      <c r="G15" s="32"/>
      <c r="H15" s="32"/>
    </row>
    <row r="16" spans="1:8" x14ac:dyDescent="0.3">
      <c r="A16" s="34" t="s">
        <v>7</v>
      </c>
      <c r="B16" s="32"/>
      <c r="C16" s="32"/>
      <c r="D16" s="32"/>
      <c r="E16" s="32"/>
      <c r="F16" s="32"/>
      <c r="G16" s="32"/>
      <c r="H16" s="32"/>
    </row>
    <row r="17" spans="1:8" x14ac:dyDescent="0.3">
      <c r="A17" s="34" t="s">
        <v>8</v>
      </c>
      <c r="B17" s="32"/>
      <c r="C17" s="32"/>
      <c r="D17" s="32"/>
      <c r="E17" s="32"/>
      <c r="F17" s="32"/>
      <c r="G17" s="32"/>
      <c r="H17" s="32"/>
    </row>
    <row r="18" spans="1:8" x14ac:dyDescent="0.3">
      <c r="A18" s="34" t="s">
        <v>3009</v>
      </c>
      <c r="B18" s="32"/>
      <c r="C18" s="32"/>
      <c r="D18" s="32"/>
      <c r="E18" s="32"/>
      <c r="F18" s="32"/>
      <c r="G18" s="32"/>
      <c r="H18" s="32"/>
    </row>
    <row r="19" spans="1:8" x14ac:dyDescent="0.3">
      <c r="A19" s="34" t="s">
        <v>9</v>
      </c>
      <c r="B19" s="32"/>
      <c r="C19" s="32"/>
      <c r="D19" s="32"/>
      <c r="E19" s="32"/>
      <c r="F19" s="32"/>
      <c r="G19" s="32"/>
      <c r="H19" s="32"/>
    </row>
    <row r="20" spans="1:8" x14ac:dyDescent="0.3">
      <c r="A20" s="34" t="s">
        <v>3010</v>
      </c>
      <c r="B20" s="32"/>
      <c r="C20" s="32"/>
      <c r="D20" s="32"/>
      <c r="E20" s="32"/>
      <c r="F20" s="32"/>
      <c r="G20" s="32"/>
      <c r="H20" s="32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1035-3637-435D-AEED-837B82C7148C}">
  <dimension ref="A1:P2003"/>
  <sheetViews>
    <sheetView workbookViewId="0">
      <selection activeCell="A3" sqref="A3:P2003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3.6640625" bestFit="1" customWidth="1"/>
    <col min="4" max="4" width="12.44140625" bestFit="1" customWidth="1"/>
    <col min="5" max="5" width="13.5546875" bestFit="1" customWidth="1"/>
    <col min="6" max="6" width="10.33203125" bestFit="1" customWidth="1"/>
    <col min="7" max="7" width="11.6640625" bestFit="1" customWidth="1"/>
    <col min="8" max="8" width="14.109375" bestFit="1" customWidth="1"/>
    <col min="9" max="9" width="14.5546875" bestFit="1" customWidth="1"/>
    <col min="10" max="10" width="16.88671875" bestFit="1" customWidth="1"/>
    <col min="11" max="11" width="10.6640625" bestFit="1" customWidth="1"/>
    <col min="12" max="12" width="11.5546875" bestFit="1" customWidth="1"/>
    <col min="13" max="13" width="10.77734375" bestFit="1" customWidth="1"/>
    <col min="14" max="14" width="9" bestFit="1" customWidth="1"/>
    <col min="15" max="15" width="10.88671875" bestFit="1" customWidth="1"/>
    <col min="16" max="16" width="11.33203125" bestFit="1" customWidth="1"/>
  </cols>
  <sheetData>
    <row r="1" spans="1:16" x14ac:dyDescent="0.3">
      <c r="A1" s="39" t="s">
        <v>3034</v>
      </c>
    </row>
    <row r="3" spans="1:16" x14ac:dyDescent="0.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3026</v>
      </c>
      <c r="M3" t="s">
        <v>3027</v>
      </c>
      <c r="N3" t="s">
        <v>3028</v>
      </c>
      <c r="O3" t="s">
        <v>3029</v>
      </c>
      <c r="P3" t="s">
        <v>3030</v>
      </c>
    </row>
    <row r="4" spans="1:16" x14ac:dyDescent="0.3">
      <c r="A4" t="s">
        <v>83</v>
      </c>
      <c r="B4" s="45">
        <v>45549</v>
      </c>
      <c r="C4" t="s">
        <v>84</v>
      </c>
      <c r="D4" t="s">
        <v>85</v>
      </c>
      <c r="E4" t="s">
        <v>86</v>
      </c>
      <c r="F4">
        <v>8</v>
      </c>
      <c r="G4">
        <v>3620</v>
      </c>
      <c r="H4">
        <v>15.4</v>
      </c>
      <c r="I4">
        <v>24500.16</v>
      </c>
      <c r="J4" t="s">
        <v>87</v>
      </c>
      <c r="K4" t="s">
        <v>88</v>
      </c>
      <c r="L4" t="s">
        <v>88</v>
      </c>
      <c r="M4" t="s">
        <v>2795</v>
      </c>
      <c r="N4" t="s">
        <v>2855</v>
      </c>
      <c r="O4">
        <v>2509</v>
      </c>
      <c r="P4">
        <v>3620</v>
      </c>
    </row>
    <row r="5" spans="1:16" x14ac:dyDescent="0.3">
      <c r="A5" t="s">
        <v>89</v>
      </c>
      <c r="B5" s="45">
        <v>45340</v>
      </c>
      <c r="C5" t="s">
        <v>90</v>
      </c>
      <c r="D5" t="s">
        <v>91</v>
      </c>
      <c r="E5" t="s">
        <v>92</v>
      </c>
      <c r="F5">
        <v>2</v>
      </c>
      <c r="G5">
        <v>820</v>
      </c>
      <c r="H5">
        <v>10.8</v>
      </c>
      <c r="I5">
        <v>1462.88</v>
      </c>
      <c r="J5" t="s">
        <v>93</v>
      </c>
      <c r="K5" t="s">
        <v>94</v>
      </c>
      <c r="L5" t="s">
        <v>94</v>
      </c>
      <c r="M5" t="s">
        <v>2795</v>
      </c>
      <c r="N5" t="s">
        <v>2855</v>
      </c>
      <c r="O5">
        <v>391</v>
      </c>
      <c r="P5">
        <v>820</v>
      </c>
    </row>
    <row r="6" spans="1:16" x14ac:dyDescent="0.3">
      <c r="A6" t="s">
        <v>104</v>
      </c>
      <c r="B6" s="45">
        <v>45611</v>
      </c>
      <c r="C6" t="s">
        <v>105</v>
      </c>
      <c r="D6" t="s">
        <v>106</v>
      </c>
      <c r="E6" t="s">
        <v>107</v>
      </c>
      <c r="F6">
        <v>1</v>
      </c>
      <c r="G6">
        <v>3160</v>
      </c>
      <c r="H6">
        <v>26</v>
      </c>
      <c r="I6">
        <v>2338.4</v>
      </c>
      <c r="J6" t="s">
        <v>87</v>
      </c>
      <c r="K6" t="s">
        <v>94</v>
      </c>
      <c r="L6" t="s">
        <v>94</v>
      </c>
      <c r="M6" t="s">
        <v>2795</v>
      </c>
      <c r="N6" t="s">
        <v>2855</v>
      </c>
      <c r="O6">
        <v>1886</v>
      </c>
      <c r="P6">
        <v>3160</v>
      </c>
    </row>
    <row r="7" spans="1:16" x14ac:dyDescent="0.3">
      <c r="A7" t="s">
        <v>165</v>
      </c>
      <c r="B7" s="45">
        <v>45470</v>
      </c>
      <c r="C7" t="s">
        <v>166</v>
      </c>
      <c r="D7" t="s">
        <v>167</v>
      </c>
      <c r="E7" t="s">
        <v>103</v>
      </c>
      <c r="F7">
        <v>7</v>
      </c>
      <c r="G7">
        <v>2480</v>
      </c>
      <c r="H7">
        <v>28.7</v>
      </c>
      <c r="I7">
        <v>12377.68</v>
      </c>
      <c r="J7" t="s">
        <v>87</v>
      </c>
      <c r="K7" t="s">
        <v>133</v>
      </c>
      <c r="L7" t="s">
        <v>133</v>
      </c>
      <c r="M7" t="s">
        <v>2795</v>
      </c>
      <c r="N7" t="s">
        <v>2855</v>
      </c>
      <c r="O7">
        <v>1173</v>
      </c>
      <c r="P7">
        <v>2480</v>
      </c>
    </row>
    <row r="8" spans="1:16" x14ac:dyDescent="0.3">
      <c r="A8" t="s">
        <v>171</v>
      </c>
      <c r="B8" s="45">
        <v>45530</v>
      </c>
      <c r="C8" t="s">
        <v>172</v>
      </c>
      <c r="D8" t="s">
        <v>173</v>
      </c>
      <c r="E8" t="s">
        <v>170</v>
      </c>
      <c r="F8">
        <v>9</v>
      </c>
      <c r="G8">
        <v>2720</v>
      </c>
      <c r="H8">
        <v>26.2</v>
      </c>
      <c r="I8">
        <v>18066.240000000002</v>
      </c>
      <c r="J8" t="s">
        <v>87</v>
      </c>
      <c r="K8" t="s">
        <v>88</v>
      </c>
      <c r="L8" t="s">
        <v>88</v>
      </c>
      <c r="M8" t="s">
        <v>2795</v>
      </c>
      <c r="N8" t="s">
        <v>2879</v>
      </c>
      <c r="O8">
        <v>1962</v>
      </c>
      <c r="P8">
        <v>2720</v>
      </c>
    </row>
    <row r="9" spans="1:16" x14ac:dyDescent="0.3">
      <c r="A9" t="s">
        <v>230</v>
      </c>
      <c r="B9" s="45">
        <v>45373</v>
      </c>
      <c r="C9" t="s">
        <v>231</v>
      </c>
      <c r="D9" t="s">
        <v>167</v>
      </c>
      <c r="E9" t="s">
        <v>121</v>
      </c>
      <c r="F9">
        <v>2</v>
      </c>
      <c r="G9">
        <v>2480</v>
      </c>
      <c r="H9">
        <v>17.3</v>
      </c>
      <c r="I9">
        <v>4101.92</v>
      </c>
      <c r="J9" t="s">
        <v>87</v>
      </c>
      <c r="K9" t="s">
        <v>117</v>
      </c>
      <c r="L9" t="s">
        <v>117</v>
      </c>
      <c r="M9" t="s">
        <v>2795</v>
      </c>
      <c r="N9" t="s">
        <v>2871</v>
      </c>
      <c r="O9">
        <v>1173</v>
      </c>
      <c r="P9">
        <v>2480</v>
      </c>
    </row>
    <row r="10" spans="1:16" x14ac:dyDescent="0.3">
      <c r="A10" t="s">
        <v>235</v>
      </c>
      <c r="B10" s="45">
        <v>45340</v>
      </c>
      <c r="C10" t="s">
        <v>236</v>
      </c>
      <c r="D10" t="s">
        <v>237</v>
      </c>
      <c r="E10" t="s">
        <v>238</v>
      </c>
      <c r="F10">
        <v>4</v>
      </c>
      <c r="G10">
        <v>3640</v>
      </c>
      <c r="H10">
        <v>20.7</v>
      </c>
      <c r="I10">
        <v>11546.08</v>
      </c>
      <c r="J10" t="s">
        <v>87</v>
      </c>
      <c r="K10" t="s">
        <v>133</v>
      </c>
      <c r="L10" t="s">
        <v>133</v>
      </c>
      <c r="M10" t="s">
        <v>2795</v>
      </c>
      <c r="N10" t="s">
        <v>2871</v>
      </c>
      <c r="O10">
        <v>2611</v>
      </c>
      <c r="P10">
        <v>3640</v>
      </c>
    </row>
    <row r="11" spans="1:16" x14ac:dyDescent="0.3">
      <c r="A11" t="s">
        <v>255</v>
      </c>
      <c r="B11" s="45">
        <v>45515</v>
      </c>
      <c r="C11" t="s">
        <v>256</v>
      </c>
      <c r="D11" t="s">
        <v>237</v>
      </c>
      <c r="E11" t="s">
        <v>86</v>
      </c>
      <c r="F11">
        <v>4</v>
      </c>
      <c r="G11">
        <v>3640</v>
      </c>
      <c r="H11">
        <v>9.9</v>
      </c>
      <c r="I11">
        <v>13118.56</v>
      </c>
      <c r="J11" t="s">
        <v>144</v>
      </c>
      <c r="K11" t="s">
        <v>133</v>
      </c>
      <c r="L11" t="s">
        <v>133</v>
      </c>
      <c r="M11" t="s">
        <v>2795</v>
      </c>
      <c r="N11" t="s">
        <v>2855</v>
      </c>
      <c r="O11">
        <v>2611</v>
      </c>
      <c r="P11">
        <v>3640</v>
      </c>
    </row>
    <row r="12" spans="1:16" x14ac:dyDescent="0.3">
      <c r="A12" t="s">
        <v>286</v>
      </c>
      <c r="B12" s="45">
        <v>45462</v>
      </c>
      <c r="C12" t="s">
        <v>219</v>
      </c>
      <c r="D12" t="s">
        <v>91</v>
      </c>
      <c r="E12" t="s">
        <v>192</v>
      </c>
      <c r="F12">
        <v>8</v>
      </c>
      <c r="G12">
        <v>820</v>
      </c>
      <c r="H12">
        <v>24</v>
      </c>
      <c r="I12">
        <v>4985.6000000000004</v>
      </c>
      <c r="J12" t="s">
        <v>87</v>
      </c>
      <c r="K12" t="s">
        <v>99</v>
      </c>
      <c r="L12" t="s">
        <v>99</v>
      </c>
      <c r="M12" t="s">
        <v>2795</v>
      </c>
      <c r="N12" t="s">
        <v>2871</v>
      </c>
      <c r="O12">
        <v>391</v>
      </c>
      <c r="P12">
        <v>820</v>
      </c>
    </row>
    <row r="13" spans="1:16" x14ac:dyDescent="0.3">
      <c r="A13" t="s">
        <v>288</v>
      </c>
      <c r="B13" s="45">
        <v>45328</v>
      </c>
      <c r="C13" t="s">
        <v>289</v>
      </c>
      <c r="D13" t="s">
        <v>85</v>
      </c>
      <c r="E13" t="s">
        <v>238</v>
      </c>
      <c r="F13">
        <v>2</v>
      </c>
      <c r="G13">
        <v>3620</v>
      </c>
      <c r="H13">
        <v>19.100000000000001</v>
      </c>
      <c r="I13">
        <v>5857.16</v>
      </c>
      <c r="J13" t="s">
        <v>87</v>
      </c>
      <c r="K13" t="s">
        <v>94</v>
      </c>
      <c r="L13" t="s">
        <v>94</v>
      </c>
      <c r="M13" t="s">
        <v>2795</v>
      </c>
      <c r="N13" t="s">
        <v>2871</v>
      </c>
      <c r="O13">
        <v>2509</v>
      </c>
      <c r="P13">
        <v>3620</v>
      </c>
    </row>
    <row r="14" spans="1:16" x14ac:dyDescent="0.3">
      <c r="A14" t="s">
        <v>290</v>
      </c>
      <c r="B14" s="45">
        <v>45459</v>
      </c>
      <c r="C14" t="s">
        <v>291</v>
      </c>
      <c r="D14" t="s">
        <v>292</v>
      </c>
      <c r="E14" t="s">
        <v>111</v>
      </c>
      <c r="F14">
        <v>1</v>
      </c>
      <c r="G14">
        <v>620</v>
      </c>
      <c r="H14">
        <v>1</v>
      </c>
      <c r="I14">
        <v>613.79999999999995</v>
      </c>
      <c r="J14" t="s">
        <v>87</v>
      </c>
      <c r="K14" t="s">
        <v>99</v>
      </c>
      <c r="L14" t="s">
        <v>99</v>
      </c>
      <c r="M14" t="s">
        <v>2795</v>
      </c>
      <c r="N14" t="s">
        <v>2879</v>
      </c>
      <c r="O14">
        <v>396</v>
      </c>
      <c r="P14">
        <v>620</v>
      </c>
    </row>
    <row r="15" spans="1:16" x14ac:dyDescent="0.3">
      <c r="A15" t="s">
        <v>296</v>
      </c>
      <c r="B15" s="45">
        <v>45470</v>
      </c>
      <c r="C15" t="s">
        <v>105</v>
      </c>
      <c r="D15" t="s">
        <v>106</v>
      </c>
      <c r="E15" t="s">
        <v>297</v>
      </c>
      <c r="F15">
        <v>10</v>
      </c>
      <c r="G15">
        <v>3160</v>
      </c>
      <c r="H15">
        <v>15.8</v>
      </c>
      <c r="I15">
        <v>26607.200000000001</v>
      </c>
      <c r="J15" t="s">
        <v>87</v>
      </c>
      <c r="K15" t="s">
        <v>94</v>
      </c>
      <c r="L15" t="s">
        <v>94</v>
      </c>
      <c r="M15" t="s">
        <v>2795</v>
      </c>
      <c r="N15" t="s">
        <v>2855</v>
      </c>
      <c r="O15">
        <v>1886</v>
      </c>
      <c r="P15">
        <v>3160</v>
      </c>
    </row>
    <row r="16" spans="1:16" x14ac:dyDescent="0.3">
      <c r="A16" t="s">
        <v>317</v>
      </c>
      <c r="B16" s="45">
        <v>45528</v>
      </c>
      <c r="C16" t="s">
        <v>318</v>
      </c>
      <c r="D16" t="s">
        <v>106</v>
      </c>
      <c r="E16" t="s">
        <v>238</v>
      </c>
      <c r="F16">
        <v>2</v>
      </c>
      <c r="G16">
        <v>3160</v>
      </c>
      <c r="H16">
        <v>18.3</v>
      </c>
      <c r="I16">
        <v>5163.4399999999996</v>
      </c>
      <c r="J16" t="s">
        <v>87</v>
      </c>
      <c r="K16" t="s">
        <v>94</v>
      </c>
      <c r="L16" t="s">
        <v>94</v>
      </c>
      <c r="M16" t="s">
        <v>2795</v>
      </c>
      <c r="N16" t="s">
        <v>2871</v>
      </c>
      <c r="O16">
        <v>1886</v>
      </c>
      <c r="P16">
        <v>3160</v>
      </c>
    </row>
    <row r="17" spans="1:16" x14ac:dyDescent="0.3">
      <c r="A17" t="s">
        <v>319</v>
      </c>
      <c r="B17" s="45">
        <v>45402</v>
      </c>
      <c r="C17" t="s">
        <v>320</v>
      </c>
      <c r="D17" t="s">
        <v>167</v>
      </c>
      <c r="E17" t="s">
        <v>86</v>
      </c>
      <c r="F17">
        <v>4</v>
      </c>
      <c r="G17">
        <v>2480</v>
      </c>
      <c r="H17">
        <v>1.1000000000000001</v>
      </c>
      <c r="I17">
        <v>9810.8799999999992</v>
      </c>
      <c r="J17" t="s">
        <v>93</v>
      </c>
      <c r="K17" t="s">
        <v>133</v>
      </c>
      <c r="L17" t="s">
        <v>133</v>
      </c>
      <c r="M17" t="s">
        <v>2795</v>
      </c>
      <c r="N17" t="s">
        <v>2855</v>
      </c>
      <c r="O17">
        <v>1173</v>
      </c>
      <c r="P17">
        <v>2480</v>
      </c>
    </row>
    <row r="18" spans="1:16" x14ac:dyDescent="0.3">
      <c r="A18" t="s">
        <v>326</v>
      </c>
      <c r="B18" s="45">
        <v>45461</v>
      </c>
      <c r="C18" t="s">
        <v>194</v>
      </c>
      <c r="D18" t="s">
        <v>292</v>
      </c>
      <c r="E18" t="s">
        <v>170</v>
      </c>
      <c r="F18">
        <v>9</v>
      </c>
      <c r="G18">
        <v>620</v>
      </c>
      <c r="H18">
        <v>23.3</v>
      </c>
      <c r="I18">
        <v>4279.8599999999997</v>
      </c>
      <c r="J18" t="s">
        <v>87</v>
      </c>
      <c r="K18" t="s">
        <v>88</v>
      </c>
      <c r="L18" t="s">
        <v>88</v>
      </c>
      <c r="M18" t="s">
        <v>2795</v>
      </c>
      <c r="N18" t="s">
        <v>2879</v>
      </c>
      <c r="O18">
        <v>396</v>
      </c>
      <c r="P18">
        <v>620</v>
      </c>
    </row>
    <row r="19" spans="1:16" x14ac:dyDescent="0.3">
      <c r="A19" t="s">
        <v>330</v>
      </c>
      <c r="B19" s="45">
        <v>45518</v>
      </c>
      <c r="C19" t="s">
        <v>331</v>
      </c>
      <c r="D19" t="s">
        <v>292</v>
      </c>
      <c r="E19" t="s">
        <v>139</v>
      </c>
      <c r="F19">
        <v>6</v>
      </c>
      <c r="G19">
        <v>620</v>
      </c>
      <c r="H19">
        <v>2.6</v>
      </c>
      <c r="I19">
        <v>3623.28</v>
      </c>
      <c r="J19" t="s">
        <v>87</v>
      </c>
      <c r="K19" t="s">
        <v>117</v>
      </c>
      <c r="L19" t="s">
        <v>117</v>
      </c>
      <c r="M19" t="s">
        <v>2795</v>
      </c>
      <c r="N19" t="s">
        <v>2855</v>
      </c>
      <c r="O19">
        <v>396</v>
      </c>
      <c r="P19">
        <v>620</v>
      </c>
    </row>
    <row r="20" spans="1:16" x14ac:dyDescent="0.3">
      <c r="A20" t="s">
        <v>335</v>
      </c>
      <c r="B20" s="45">
        <v>45328</v>
      </c>
      <c r="C20" t="s">
        <v>336</v>
      </c>
      <c r="D20" t="s">
        <v>173</v>
      </c>
      <c r="E20" t="s">
        <v>98</v>
      </c>
      <c r="F20">
        <v>7</v>
      </c>
      <c r="G20">
        <v>2720</v>
      </c>
      <c r="H20">
        <v>15.4</v>
      </c>
      <c r="I20">
        <v>16107.84</v>
      </c>
      <c r="J20" t="s">
        <v>87</v>
      </c>
      <c r="K20" t="s">
        <v>112</v>
      </c>
      <c r="L20" t="s">
        <v>112</v>
      </c>
      <c r="M20" t="s">
        <v>2795</v>
      </c>
      <c r="N20" t="s">
        <v>2862</v>
      </c>
      <c r="O20">
        <v>1962</v>
      </c>
      <c r="P20">
        <v>2720</v>
      </c>
    </row>
    <row r="21" spans="1:16" x14ac:dyDescent="0.3">
      <c r="A21" t="s">
        <v>354</v>
      </c>
      <c r="B21" s="45">
        <v>45557</v>
      </c>
      <c r="C21" t="s">
        <v>194</v>
      </c>
      <c r="D21" t="s">
        <v>355</v>
      </c>
      <c r="E21" t="s">
        <v>128</v>
      </c>
      <c r="F21">
        <v>6</v>
      </c>
      <c r="G21">
        <v>2510</v>
      </c>
      <c r="H21">
        <v>11.7</v>
      </c>
      <c r="I21">
        <v>13297.98</v>
      </c>
      <c r="J21" t="s">
        <v>87</v>
      </c>
      <c r="K21" t="s">
        <v>88</v>
      </c>
      <c r="L21" t="s">
        <v>88</v>
      </c>
      <c r="M21" t="s">
        <v>2795</v>
      </c>
      <c r="N21" t="s">
        <v>2879</v>
      </c>
      <c r="O21">
        <v>1075</v>
      </c>
      <c r="P21">
        <v>2510</v>
      </c>
    </row>
    <row r="22" spans="1:16" x14ac:dyDescent="0.3">
      <c r="A22" t="s">
        <v>377</v>
      </c>
      <c r="B22" s="45">
        <v>45629</v>
      </c>
      <c r="C22" t="s">
        <v>378</v>
      </c>
      <c r="D22" t="s">
        <v>91</v>
      </c>
      <c r="E22" t="s">
        <v>103</v>
      </c>
      <c r="F22">
        <v>7</v>
      </c>
      <c r="G22">
        <v>820</v>
      </c>
      <c r="H22">
        <v>13.5</v>
      </c>
      <c r="I22">
        <v>4965.1000000000004</v>
      </c>
      <c r="J22" t="s">
        <v>140</v>
      </c>
      <c r="K22" t="s">
        <v>94</v>
      </c>
      <c r="L22" t="s">
        <v>94</v>
      </c>
      <c r="M22" t="s">
        <v>2795</v>
      </c>
      <c r="N22" t="s">
        <v>2855</v>
      </c>
      <c r="O22">
        <v>391</v>
      </c>
      <c r="P22">
        <v>820</v>
      </c>
    </row>
    <row r="23" spans="1:16" x14ac:dyDescent="0.3">
      <c r="A23" t="s">
        <v>396</v>
      </c>
      <c r="B23" s="45">
        <v>45614</v>
      </c>
      <c r="C23" t="s">
        <v>397</v>
      </c>
      <c r="D23" t="s">
        <v>85</v>
      </c>
      <c r="E23" t="s">
        <v>297</v>
      </c>
      <c r="F23">
        <v>6</v>
      </c>
      <c r="G23">
        <v>3620</v>
      </c>
      <c r="H23">
        <v>10.8</v>
      </c>
      <c r="I23">
        <v>19374.240000000002</v>
      </c>
      <c r="J23" t="s">
        <v>87</v>
      </c>
      <c r="K23" t="s">
        <v>99</v>
      </c>
      <c r="L23" t="s">
        <v>99</v>
      </c>
      <c r="M23" t="s">
        <v>2795</v>
      </c>
      <c r="N23" t="s">
        <v>2855</v>
      </c>
      <c r="O23">
        <v>2509</v>
      </c>
      <c r="P23">
        <v>3620</v>
      </c>
    </row>
    <row r="24" spans="1:16" x14ac:dyDescent="0.3">
      <c r="A24" t="s">
        <v>398</v>
      </c>
      <c r="B24" s="45">
        <v>45593</v>
      </c>
      <c r="C24" t="s">
        <v>399</v>
      </c>
      <c r="D24" t="s">
        <v>85</v>
      </c>
      <c r="E24" t="s">
        <v>92</v>
      </c>
      <c r="F24">
        <v>6</v>
      </c>
      <c r="G24">
        <v>3620</v>
      </c>
      <c r="H24">
        <v>21.7</v>
      </c>
      <c r="I24">
        <v>17006.759999999998</v>
      </c>
      <c r="J24" t="s">
        <v>87</v>
      </c>
      <c r="K24" t="s">
        <v>99</v>
      </c>
      <c r="L24" t="s">
        <v>99</v>
      </c>
      <c r="M24" t="s">
        <v>2795</v>
      </c>
      <c r="N24" t="s">
        <v>2855</v>
      </c>
      <c r="O24">
        <v>2509</v>
      </c>
      <c r="P24">
        <v>3620</v>
      </c>
    </row>
    <row r="25" spans="1:16" x14ac:dyDescent="0.3">
      <c r="A25" t="s">
        <v>426</v>
      </c>
      <c r="B25" s="45">
        <v>45546</v>
      </c>
      <c r="C25" t="s">
        <v>427</v>
      </c>
      <c r="D25" t="s">
        <v>106</v>
      </c>
      <c r="E25" t="s">
        <v>192</v>
      </c>
      <c r="F25">
        <v>10</v>
      </c>
      <c r="G25">
        <v>3160</v>
      </c>
      <c r="H25">
        <v>16.100000000000001</v>
      </c>
      <c r="I25">
        <v>26512.400000000001</v>
      </c>
      <c r="J25" t="s">
        <v>140</v>
      </c>
      <c r="K25" t="s">
        <v>88</v>
      </c>
      <c r="L25" t="s">
        <v>88</v>
      </c>
      <c r="M25" t="s">
        <v>2795</v>
      </c>
      <c r="N25" t="s">
        <v>2871</v>
      </c>
      <c r="O25">
        <v>1886</v>
      </c>
      <c r="P25">
        <v>3160</v>
      </c>
    </row>
    <row r="26" spans="1:16" x14ac:dyDescent="0.3">
      <c r="A26" t="s">
        <v>435</v>
      </c>
      <c r="B26" s="45">
        <v>45309</v>
      </c>
      <c r="C26" t="s">
        <v>137</v>
      </c>
      <c r="D26" t="s">
        <v>106</v>
      </c>
      <c r="E26" t="s">
        <v>215</v>
      </c>
      <c r="F26">
        <v>3</v>
      </c>
      <c r="G26">
        <v>3160</v>
      </c>
      <c r="H26">
        <v>12.8</v>
      </c>
      <c r="I26">
        <v>8266.56</v>
      </c>
      <c r="J26" t="s">
        <v>87</v>
      </c>
      <c r="K26" t="s">
        <v>99</v>
      </c>
      <c r="L26" t="s">
        <v>99</v>
      </c>
      <c r="M26" t="s">
        <v>2795</v>
      </c>
      <c r="N26" t="s">
        <v>2855</v>
      </c>
      <c r="O26">
        <v>1886</v>
      </c>
      <c r="P26">
        <v>3160</v>
      </c>
    </row>
    <row r="27" spans="1:16" x14ac:dyDescent="0.3">
      <c r="A27" t="s">
        <v>437</v>
      </c>
      <c r="B27" s="45">
        <v>45449</v>
      </c>
      <c r="C27" t="s">
        <v>438</v>
      </c>
      <c r="D27" t="s">
        <v>91</v>
      </c>
      <c r="E27" t="s">
        <v>303</v>
      </c>
      <c r="F27">
        <v>5</v>
      </c>
      <c r="G27">
        <v>820</v>
      </c>
      <c r="H27">
        <v>9.1</v>
      </c>
      <c r="I27">
        <v>3726.9</v>
      </c>
      <c r="J27" t="s">
        <v>144</v>
      </c>
      <c r="K27" t="s">
        <v>88</v>
      </c>
      <c r="L27" t="s">
        <v>88</v>
      </c>
      <c r="M27" t="s">
        <v>2795</v>
      </c>
      <c r="N27" t="s">
        <v>2871</v>
      </c>
      <c r="O27">
        <v>391</v>
      </c>
      <c r="P27">
        <v>820</v>
      </c>
    </row>
    <row r="28" spans="1:16" x14ac:dyDescent="0.3">
      <c r="A28" t="s">
        <v>450</v>
      </c>
      <c r="B28" s="45">
        <v>45595</v>
      </c>
      <c r="C28" t="s">
        <v>451</v>
      </c>
      <c r="D28" t="s">
        <v>452</v>
      </c>
      <c r="E28" t="s">
        <v>188</v>
      </c>
      <c r="F28">
        <v>2</v>
      </c>
      <c r="G28">
        <v>3450</v>
      </c>
      <c r="H28">
        <v>1.2</v>
      </c>
      <c r="I28">
        <v>6817.2</v>
      </c>
      <c r="J28" t="s">
        <v>87</v>
      </c>
      <c r="K28" t="s">
        <v>99</v>
      </c>
      <c r="L28" t="s">
        <v>99</v>
      </c>
      <c r="M28" t="s">
        <v>2795</v>
      </c>
      <c r="N28" t="s">
        <v>2862</v>
      </c>
      <c r="O28">
        <v>1748</v>
      </c>
      <c r="P28">
        <v>3450</v>
      </c>
    </row>
    <row r="29" spans="1:16" x14ac:dyDescent="0.3">
      <c r="A29" t="s">
        <v>456</v>
      </c>
      <c r="B29" s="45">
        <v>45298</v>
      </c>
      <c r="C29" t="s">
        <v>457</v>
      </c>
      <c r="D29" t="s">
        <v>106</v>
      </c>
      <c r="E29" t="s">
        <v>215</v>
      </c>
      <c r="F29">
        <v>5</v>
      </c>
      <c r="G29">
        <v>3160</v>
      </c>
      <c r="H29">
        <v>0.9</v>
      </c>
      <c r="I29">
        <v>15657.8</v>
      </c>
      <c r="J29" t="s">
        <v>87</v>
      </c>
      <c r="K29" t="s">
        <v>88</v>
      </c>
      <c r="L29" t="s">
        <v>88</v>
      </c>
      <c r="M29" t="s">
        <v>2795</v>
      </c>
      <c r="N29" t="s">
        <v>2855</v>
      </c>
      <c r="O29">
        <v>1886</v>
      </c>
      <c r="P29">
        <v>3160</v>
      </c>
    </row>
    <row r="30" spans="1:16" x14ac:dyDescent="0.3">
      <c r="A30" t="s">
        <v>470</v>
      </c>
      <c r="B30" s="45">
        <v>45414</v>
      </c>
      <c r="C30" t="s">
        <v>137</v>
      </c>
      <c r="D30" t="s">
        <v>91</v>
      </c>
      <c r="E30" t="s">
        <v>188</v>
      </c>
      <c r="F30">
        <v>2</v>
      </c>
      <c r="G30">
        <v>820</v>
      </c>
      <c r="H30">
        <v>18.100000000000001</v>
      </c>
      <c r="I30">
        <v>1343.16</v>
      </c>
      <c r="J30" t="s">
        <v>140</v>
      </c>
      <c r="K30" t="s">
        <v>99</v>
      </c>
      <c r="L30" t="s">
        <v>99</v>
      </c>
      <c r="M30" t="s">
        <v>2795</v>
      </c>
      <c r="N30" t="s">
        <v>2862</v>
      </c>
      <c r="O30">
        <v>391</v>
      </c>
      <c r="P30">
        <v>820</v>
      </c>
    </row>
    <row r="31" spans="1:16" x14ac:dyDescent="0.3">
      <c r="A31" t="s">
        <v>473</v>
      </c>
      <c r="B31" s="45">
        <v>45533</v>
      </c>
      <c r="C31" t="s">
        <v>474</v>
      </c>
      <c r="D31" t="s">
        <v>292</v>
      </c>
      <c r="E31" t="s">
        <v>204</v>
      </c>
      <c r="F31">
        <v>5</v>
      </c>
      <c r="G31">
        <v>620</v>
      </c>
      <c r="H31">
        <v>13.8</v>
      </c>
      <c r="I31">
        <v>2672.2</v>
      </c>
      <c r="J31" t="s">
        <v>87</v>
      </c>
      <c r="K31" t="s">
        <v>99</v>
      </c>
      <c r="L31" t="s">
        <v>99</v>
      </c>
      <c r="M31" t="s">
        <v>2795</v>
      </c>
      <c r="N31" t="s">
        <v>2862</v>
      </c>
      <c r="O31">
        <v>396</v>
      </c>
      <c r="P31">
        <v>620</v>
      </c>
    </row>
    <row r="32" spans="1:16" x14ac:dyDescent="0.3">
      <c r="A32" t="s">
        <v>481</v>
      </c>
      <c r="B32" s="45">
        <v>45391</v>
      </c>
      <c r="C32" t="s">
        <v>482</v>
      </c>
      <c r="D32" t="s">
        <v>292</v>
      </c>
      <c r="E32" t="s">
        <v>132</v>
      </c>
      <c r="F32">
        <v>5</v>
      </c>
      <c r="G32">
        <v>620</v>
      </c>
      <c r="H32">
        <v>6.9</v>
      </c>
      <c r="I32">
        <v>2886.1</v>
      </c>
      <c r="J32" t="s">
        <v>140</v>
      </c>
      <c r="K32" t="s">
        <v>133</v>
      </c>
      <c r="L32" t="s">
        <v>133</v>
      </c>
      <c r="M32" t="s">
        <v>2795</v>
      </c>
      <c r="N32" t="s">
        <v>2862</v>
      </c>
      <c r="O32">
        <v>396</v>
      </c>
      <c r="P32">
        <v>620</v>
      </c>
    </row>
    <row r="33" spans="1:16" x14ac:dyDescent="0.3">
      <c r="A33" t="s">
        <v>483</v>
      </c>
      <c r="B33" s="45">
        <v>45419</v>
      </c>
      <c r="C33" t="s">
        <v>427</v>
      </c>
      <c r="D33" t="s">
        <v>355</v>
      </c>
      <c r="E33" t="s">
        <v>343</v>
      </c>
      <c r="F33">
        <v>8</v>
      </c>
      <c r="G33">
        <v>2510</v>
      </c>
      <c r="H33">
        <v>0.7</v>
      </c>
      <c r="I33">
        <v>19939.439999999999</v>
      </c>
      <c r="J33" t="s">
        <v>87</v>
      </c>
      <c r="K33" t="s">
        <v>88</v>
      </c>
      <c r="L33" t="s">
        <v>88</v>
      </c>
      <c r="M33" t="s">
        <v>2795</v>
      </c>
      <c r="N33" t="s">
        <v>2879</v>
      </c>
      <c r="O33">
        <v>1075</v>
      </c>
      <c r="P33">
        <v>2510</v>
      </c>
    </row>
    <row r="34" spans="1:16" x14ac:dyDescent="0.3">
      <c r="A34" t="s">
        <v>484</v>
      </c>
      <c r="B34" s="45">
        <v>45306</v>
      </c>
      <c r="C34" t="s">
        <v>485</v>
      </c>
      <c r="D34" t="s">
        <v>173</v>
      </c>
      <c r="E34" t="s">
        <v>192</v>
      </c>
      <c r="F34">
        <v>1</v>
      </c>
      <c r="G34">
        <v>2720</v>
      </c>
      <c r="H34">
        <v>13.7</v>
      </c>
      <c r="I34">
        <v>2347.36</v>
      </c>
      <c r="J34" t="s">
        <v>87</v>
      </c>
      <c r="K34" t="s">
        <v>88</v>
      </c>
      <c r="L34" t="s">
        <v>88</v>
      </c>
      <c r="M34" t="s">
        <v>2795</v>
      </c>
      <c r="N34" t="s">
        <v>2871</v>
      </c>
      <c r="O34">
        <v>1962</v>
      </c>
      <c r="P34">
        <v>2720</v>
      </c>
    </row>
    <row r="35" spans="1:16" x14ac:dyDescent="0.3">
      <c r="A35" t="s">
        <v>492</v>
      </c>
      <c r="B35" s="45">
        <v>45382</v>
      </c>
      <c r="C35" t="s">
        <v>493</v>
      </c>
      <c r="D35" t="s">
        <v>237</v>
      </c>
      <c r="E35" t="s">
        <v>325</v>
      </c>
      <c r="F35">
        <v>4</v>
      </c>
      <c r="G35">
        <v>3640</v>
      </c>
      <c r="H35">
        <v>18.399999999999999</v>
      </c>
      <c r="I35">
        <v>11880.96</v>
      </c>
      <c r="J35" t="s">
        <v>87</v>
      </c>
      <c r="K35" t="s">
        <v>88</v>
      </c>
      <c r="L35" t="s">
        <v>88</v>
      </c>
      <c r="M35" t="s">
        <v>2795</v>
      </c>
      <c r="N35" t="s">
        <v>2862</v>
      </c>
      <c r="O35">
        <v>2611</v>
      </c>
      <c r="P35">
        <v>3640</v>
      </c>
    </row>
    <row r="36" spans="1:16" x14ac:dyDescent="0.3">
      <c r="A36" t="s">
        <v>495</v>
      </c>
      <c r="B36" s="45">
        <v>45392</v>
      </c>
      <c r="C36" t="s">
        <v>169</v>
      </c>
      <c r="D36" t="s">
        <v>452</v>
      </c>
      <c r="E36" t="s">
        <v>325</v>
      </c>
      <c r="F36">
        <v>6</v>
      </c>
      <c r="G36">
        <v>3450</v>
      </c>
      <c r="H36">
        <v>14.4</v>
      </c>
      <c r="I36">
        <v>17719.2</v>
      </c>
      <c r="J36" t="s">
        <v>93</v>
      </c>
      <c r="K36" t="s">
        <v>112</v>
      </c>
      <c r="L36" t="s">
        <v>112</v>
      </c>
      <c r="M36" t="s">
        <v>2795</v>
      </c>
      <c r="N36" t="s">
        <v>2862</v>
      </c>
      <c r="O36">
        <v>1748</v>
      </c>
      <c r="P36">
        <v>3450</v>
      </c>
    </row>
    <row r="37" spans="1:16" x14ac:dyDescent="0.3">
      <c r="A37" t="s">
        <v>509</v>
      </c>
      <c r="B37" s="45">
        <v>45538</v>
      </c>
      <c r="C37" t="s">
        <v>510</v>
      </c>
      <c r="D37" t="s">
        <v>106</v>
      </c>
      <c r="E37" t="s">
        <v>204</v>
      </c>
      <c r="F37">
        <v>3</v>
      </c>
      <c r="G37">
        <v>3160</v>
      </c>
      <c r="H37">
        <v>7.3</v>
      </c>
      <c r="I37">
        <v>8787.9599999999991</v>
      </c>
      <c r="J37" t="s">
        <v>87</v>
      </c>
      <c r="K37" t="s">
        <v>117</v>
      </c>
      <c r="L37" t="s">
        <v>117</v>
      </c>
      <c r="M37" t="s">
        <v>2795</v>
      </c>
      <c r="N37" t="s">
        <v>2862</v>
      </c>
      <c r="O37">
        <v>1886</v>
      </c>
      <c r="P37">
        <v>3160</v>
      </c>
    </row>
    <row r="38" spans="1:16" x14ac:dyDescent="0.3">
      <c r="A38" t="s">
        <v>517</v>
      </c>
      <c r="B38" s="45">
        <v>45380</v>
      </c>
      <c r="C38" t="s">
        <v>518</v>
      </c>
      <c r="D38" t="s">
        <v>167</v>
      </c>
      <c r="E38" t="s">
        <v>229</v>
      </c>
      <c r="F38">
        <v>6</v>
      </c>
      <c r="G38">
        <v>2480</v>
      </c>
      <c r="H38">
        <v>27.9</v>
      </c>
      <c r="I38">
        <v>10728.48</v>
      </c>
      <c r="J38" t="s">
        <v>87</v>
      </c>
      <c r="K38" t="s">
        <v>88</v>
      </c>
      <c r="L38" t="s">
        <v>88</v>
      </c>
      <c r="M38" t="s">
        <v>2795</v>
      </c>
      <c r="N38" t="s">
        <v>2879</v>
      </c>
      <c r="O38">
        <v>1173</v>
      </c>
      <c r="P38">
        <v>2480</v>
      </c>
    </row>
    <row r="39" spans="1:16" x14ac:dyDescent="0.3">
      <c r="A39" t="s">
        <v>523</v>
      </c>
      <c r="B39" s="45">
        <v>45350</v>
      </c>
      <c r="C39" t="s">
        <v>524</v>
      </c>
      <c r="D39" t="s">
        <v>355</v>
      </c>
      <c r="E39" t="s">
        <v>188</v>
      </c>
      <c r="F39">
        <v>4</v>
      </c>
      <c r="G39">
        <v>2510</v>
      </c>
      <c r="H39">
        <v>10.1</v>
      </c>
      <c r="I39">
        <v>9025.9599999999991</v>
      </c>
      <c r="J39" t="s">
        <v>144</v>
      </c>
      <c r="K39" t="s">
        <v>112</v>
      </c>
      <c r="L39" t="s">
        <v>112</v>
      </c>
      <c r="M39" t="s">
        <v>2795</v>
      </c>
      <c r="N39" t="s">
        <v>2862</v>
      </c>
      <c r="O39">
        <v>1075</v>
      </c>
      <c r="P39">
        <v>2510</v>
      </c>
    </row>
    <row r="40" spans="1:16" x14ac:dyDescent="0.3">
      <c r="A40" t="s">
        <v>535</v>
      </c>
      <c r="B40" s="45">
        <v>45527</v>
      </c>
      <c r="C40" t="s">
        <v>528</v>
      </c>
      <c r="D40" t="s">
        <v>173</v>
      </c>
      <c r="E40" t="s">
        <v>297</v>
      </c>
      <c r="F40">
        <v>5</v>
      </c>
      <c r="G40">
        <v>2720</v>
      </c>
      <c r="H40">
        <v>17.100000000000001</v>
      </c>
      <c r="I40">
        <v>11274.4</v>
      </c>
      <c r="J40" t="s">
        <v>93</v>
      </c>
      <c r="K40" t="s">
        <v>112</v>
      </c>
      <c r="L40" t="s">
        <v>112</v>
      </c>
      <c r="M40" t="s">
        <v>2795</v>
      </c>
      <c r="N40" t="s">
        <v>2855</v>
      </c>
      <c r="O40">
        <v>1962</v>
      </c>
      <c r="P40">
        <v>2720</v>
      </c>
    </row>
    <row r="41" spans="1:16" x14ac:dyDescent="0.3">
      <c r="A41" t="s">
        <v>540</v>
      </c>
      <c r="B41" s="45">
        <v>45315</v>
      </c>
      <c r="C41" t="s">
        <v>541</v>
      </c>
      <c r="D41" t="s">
        <v>167</v>
      </c>
      <c r="E41" t="s">
        <v>325</v>
      </c>
      <c r="F41">
        <v>8</v>
      </c>
      <c r="G41">
        <v>2480</v>
      </c>
      <c r="H41">
        <v>18.2</v>
      </c>
      <c r="I41">
        <v>16229.12</v>
      </c>
      <c r="J41" t="s">
        <v>140</v>
      </c>
      <c r="K41" t="s">
        <v>94</v>
      </c>
      <c r="L41" t="s">
        <v>94</v>
      </c>
      <c r="M41" t="s">
        <v>2795</v>
      </c>
      <c r="N41" t="s">
        <v>2862</v>
      </c>
      <c r="O41">
        <v>1173</v>
      </c>
      <c r="P41">
        <v>2480</v>
      </c>
    </row>
    <row r="42" spans="1:16" x14ac:dyDescent="0.3">
      <c r="A42" t="s">
        <v>545</v>
      </c>
      <c r="B42" s="45">
        <v>45656</v>
      </c>
      <c r="C42" t="s">
        <v>546</v>
      </c>
      <c r="D42" t="s">
        <v>85</v>
      </c>
      <c r="E42" t="s">
        <v>170</v>
      </c>
      <c r="F42">
        <v>2</v>
      </c>
      <c r="G42">
        <v>3620</v>
      </c>
      <c r="H42">
        <v>1.1000000000000001</v>
      </c>
      <c r="I42">
        <v>7160.36</v>
      </c>
      <c r="J42" t="s">
        <v>93</v>
      </c>
      <c r="K42" t="s">
        <v>99</v>
      </c>
      <c r="L42" t="s">
        <v>99</v>
      </c>
      <c r="M42" t="s">
        <v>2795</v>
      </c>
      <c r="N42" t="s">
        <v>2879</v>
      </c>
      <c r="O42">
        <v>2509</v>
      </c>
      <c r="P42">
        <v>3620</v>
      </c>
    </row>
    <row r="43" spans="1:16" x14ac:dyDescent="0.3">
      <c r="A43" t="s">
        <v>593</v>
      </c>
      <c r="B43" s="45">
        <v>45317</v>
      </c>
      <c r="C43" t="s">
        <v>416</v>
      </c>
      <c r="D43" t="s">
        <v>106</v>
      </c>
      <c r="E43" t="s">
        <v>252</v>
      </c>
      <c r="F43">
        <v>1</v>
      </c>
      <c r="G43">
        <v>3160</v>
      </c>
      <c r="H43">
        <v>11.5</v>
      </c>
      <c r="I43">
        <v>2796.6</v>
      </c>
      <c r="J43" t="s">
        <v>87</v>
      </c>
      <c r="K43" t="s">
        <v>117</v>
      </c>
      <c r="L43" t="s">
        <v>117</v>
      </c>
      <c r="M43" t="s">
        <v>2795</v>
      </c>
      <c r="N43" t="s">
        <v>2862</v>
      </c>
      <c r="O43">
        <v>1886</v>
      </c>
      <c r="P43">
        <v>3160</v>
      </c>
    </row>
    <row r="44" spans="1:16" x14ac:dyDescent="0.3">
      <c r="A44" t="s">
        <v>600</v>
      </c>
      <c r="B44" s="45">
        <v>45395</v>
      </c>
      <c r="C44" t="s">
        <v>258</v>
      </c>
      <c r="D44" t="s">
        <v>355</v>
      </c>
      <c r="E44" t="s">
        <v>204</v>
      </c>
      <c r="F44">
        <v>4</v>
      </c>
      <c r="G44">
        <v>2510</v>
      </c>
      <c r="H44">
        <v>1</v>
      </c>
      <c r="I44">
        <v>9939.6</v>
      </c>
      <c r="J44" t="s">
        <v>87</v>
      </c>
      <c r="K44" t="s">
        <v>99</v>
      </c>
      <c r="L44" t="s">
        <v>99</v>
      </c>
      <c r="M44" t="s">
        <v>2795</v>
      </c>
      <c r="N44" t="s">
        <v>2862</v>
      </c>
      <c r="O44">
        <v>1075</v>
      </c>
      <c r="P44">
        <v>2510</v>
      </c>
    </row>
    <row r="45" spans="1:16" x14ac:dyDescent="0.3">
      <c r="A45" t="s">
        <v>603</v>
      </c>
      <c r="B45" s="45">
        <v>45612</v>
      </c>
      <c r="C45" t="s">
        <v>604</v>
      </c>
      <c r="D45" t="s">
        <v>91</v>
      </c>
      <c r="E45" t="s">
        <v>132</v>
      </c>
      <c r="F45">
        <v>6</v>
      </c>
      <c r="G45">
        <v>820</v>
      </c>
      <c r="H45">
        <v>14</v>
      </c>
      <c r="I45">
        <v>4231.2</v>
      </c>
      <c r="J45" t="s">
        <v>87</v>
      </c>
      <c r="K45" t="s">
        <v>117</v>
      </c>
      <c r="L45" t="s">
        <v>117</v>
      </c>
      <c r="M45" t="s">
        <v>2795</v>
      </c>
      <c r="N45" t="s">
        <v>2862</v>
      </c>
      <c r="O45">
        <v>391</v>
      </c>
      <c r="P45">
        <v>820</v>
      </c>
    </row>
    <row r="46" spans="1:16" x14ac:dyDescent="0.3">
      <c r="A46" t="s">
        <v>619</v>
      </c>
      <c r="B46" s="45">
        <v>45649</v>
      </c>
      <c r="C46" t="s">
        <v>175</v>
      </c>
      <c r="D46" t="s">
        <v>452</v>
      </c>
      <c r="E46" t="s">
        <v>132</v>
      </c>
      <c r="F46">
        <v>8</v>
      </c>
      <c r="G46">
        <v>3450</v>
      </c>
      <c r="H46">
        <v>19</v>
      </c>
      <c r="I46">
        <v>22356</v>
      </c>
      <c r="J46" t="s">
        <v>87</v>
      </c>
      <c r="K46" t="s">
        <v>133</v>
      </c>
      <c r="L46" t="s">
        <v>133</v>
      </c>
      <c r="M46" t="s">
        <v>2795</v>
      </c>
      <c r="N46" t="s">
        <v>2862</v>
      </c>
      <c r="O46">
        <v>1748</v>
      </c>
      <c r="P46">
        <v>3450</v>
      </c>
    </row>
    <row r="47" spans="1:16" x14ac:dyDescent="0.3">
      <c r="A47" t="s">
        <v>630</v>
      </c>
      <c r="B47" s="45">
        <v>45405</v>
      </c>
      <c r="C47" t="s">
        <v>357</v>
      </c>
      <c r="D47" t="s">
        <v>292</v>
      </c>
      <c r="E47" t="s">
        <v>154</v>
      </c>
      <c r="F47">
        <v>5</v>
      </c>
      <c r="G47">
        <v>620</v>
      </c>
      <c r="H47">
        <v>13.1</v>
      </c>
      <c r="I47">
        <v>2693.9</v>
      </c>
      <c r="J47" t="s">
        <v>140</v>
      </c>
      <c r="K47" t="s">
        <v>99</v>
      </c>
      <c r="L47" t="s">
        <v>99</v>
      </c>
      <c r="M47" t="s">
        <v>2795</v>
      </c>
      <c r="N47" t="s">
        <v>2871</v>
      </c>
      <c r="O47">
        <v>396</v>
      </c>
      <c r="P47">
        <v>620</v>
      </c>
    </row>
    <row r="48" spans="1:16" x14ac:dyDescent="0.3">
      <c r="A48" t="s">
        <v>633</v>
      </c>
      <c r="B48" s="45">
        <v>45386</v>
      </c>
      <c r="C48" t="s">
        <v>589</v>
      </c>
      <c r="D48" t="s">
        <v>237</v>
      </c>
      <c r="E48" t="s">
        <v>98</v>
      </c>
      <c r="F48">
        <v>8</v>
      </c>
      <c r="G48">
        <v>3640</v>
      </c>
      <c r="H48">
        <v>13.5</v>
      </c>
      <c r="I48">
        <v>25188.799999999999</v>
      </c>
      <c r="J48" t="s">
        <v>87</v>
      </c>
      <c r="K48" t="s">
        <v>94</v>
      </c>
      <c r="L48" t="s">
        <v>94</v>
      </c>
      <c r="M48" t="s">
        <v>2795</v>
      </c>
      <c r="N48" t="s">
        <v>2862</v>
      </c>
      <c r="O48">
        <v>2611</v>
      </c>
      <c r="P48">
        <v>3640</v>
      </c>
    </row>
    <row r="49" spans="1:16" x14ac:dyDescent="0.3">
      <c r="A49" t="s">
        <v>634</v>
      </c>
      <c r="B49" s="45">
        <v>45472</v>
      </c>
      <c r="C49" t="s">
        <v>635</v>
      </c>
      <c r="D49" t="s">
        <v>106</v>
      </c>
      <c r="E49" t="s">
        <v>92</v>
      </c>
      <c r="F49">
        <v>9</v>
      </c>
      <c r="G49">
        <v>3160</v>
      </c>
      <c r="H49">
        <v>29.7</v>
      </c>
      <c r="I49">
        <v>19993.32</v>
      </c>
      <c r="J49" t="s">
        <v>87</v>
      </c>
      <c r="K49" t="s">
        <v>99</v>
      </c>
      <c r="L49" t="s">
        <v>99</v>
      </c>
      <c r="M49" t="s">
        <v>2795</v>
      </c>
      <c r="N49" t="s">
        <v>2855</v>
      </c>
      <c r="O49">
        <v>1886</v>
      </c>
      <c r="P49">
        <v>3160</v>
      </c>
    </row>
    <row r="50" spans="1:16" x14ac:dyDescent="0.3">
      <c r="A50" t="s">
        <v>642</v>
      </c>
      <c r="B50" s="45">
        <v>45460</v>
      </c>
      <c r="C50" t="s">
        <v>643</v>
      </c>
      <c r="D50" t="s">
        <v>292</v>
      </c>
      <c r="E50" t="s">
        <v>192</v>
      </c>
      <c r="F50">
        <v>2</v>
      </c>
      <c r="G50">
        <v>620</v>
      </c>
      <c r="H50">
        <v>29.5</v>
      </c>
      <c r="I50">
        <v>874.2</v>
      </c>
      <c r="J50" t="s">
        <v>87</v>
      </c>
      <c r="K50" t="s">
        <v>112</v>
      </c>
      <c r="L50" t="s">
        <v>112</v>
      </c>
      <c r="M50" t="s">
        <v>2795</v>
      </c>
      <c r="N50" t="s">
        <v>2871</v>
      </c>
      <c r="O50">
        <v>396</v>
      </c>
      <c r="P50">
        <v>620</v>
      </c>
    </row>
    <row r="51" spans="1:16" x14ac:dyDescent="0.3">
      <c r="A51" t="s">
        <v>644</v>
      </c>
      <c r="B51" s="45">
        <v>45638</v>
      </c>
      <c r="C51" t="s">
        <v>403</v>
      </c>
      <c r="D51" t="s">
        <v>452</v>
      </c>
      <c r="E51" t="s">
        <v>252</v>
      </c>
      <c r="F51">
        <v>3</v>
      </c>
      <c r="G51">
        <v>3450</v>
      </c>
      <c r="H51">
        <v>3</v>
      </c>
      <c r="I51">
        <v>10039.5</v>
      </c>
      <c r="J51" t="s">
        <v>87</v>
      </c>
      <c r="K51" t="s">
        <v>117</v>
      </c>
      <c r="L51" t="s">
        <v>117</v>
      </c>
      <c r="M51" t="s">
        <v>2795</v>
      </c>
      <c r="N51" t="s">
        <v>2862</v>
      </c>
      <c r="O51">
        <v>1748</v>
      </c>
      <c r="P51">
        <v>3450</v>
      </c>
    </row>
    <row r="52" spans="1:16" x14ac:dyDescent="0.3">
      <c r="A52" t="s">
        <v>658</v>
      </c>
      <c r="B52" s="45">
        <v>45500</v>
      </c>
      <c r="C52" t="s">
        <v>225</v>
      </c>
      <c r="D52" t="s">
        <v>659</v>
      </c>
      <c r="E52" t="s">
        <v>170</v>
      </c>
      <c r="F52">
        <v>4</v>
      </c>
      <c r="G52">
        <v>3560</v>
      </c>
      <c r="H52">
        <v>10.5</v>
      </c>
      <c r="I52">
        <v>12744.8</v>
      </c>
      <c r="J52" t="s">
        <v>87</v>
      </c>
      <c r="K52" t="s">
        <v>94</v>
      </c>
      <c r="L52" t="s">
        <v>94</v>
      </c>
      <c r="M52" t="s">
        <v>2795</v>
      </c>
      <c r="N52" t="s">
        <v>2879</v>
      </c>
      <c r="O52">
        <v>2629</v>
      </c>
      <c r="P52">
        <v>3560</v>
      </c>
    </row>
    <row r="53" spans="1:16" x14ac:dyDescent="0.3">
      <c r="A53" t="s">
        <v>663</v>
      </c>
      <c r="B53" s="45">
        <v>45617</v>
      </c>
      <c r="C53" t="s">
        <v>312</v>
      </c>
      <c r="D53" t="s">
        <v>106</v>
      </c>
      <c r="E53" t="s">
        <v>188</v>
      </c>
      <c r="F53">
        <v>7</v>
      </c>
      <c r="G53">
        <v>3160</v>
      </c>
      <c r="H53">
        <v>3.6</v>
      </c>
      <c r="I53">
        <v>21323.68</v>
      </c>
      <c r="J53" t="s">
        <v>87</v>
      </c>
      <c r="K53" t="s">
        <v>133</v>
      </c>
      <c r="L53" t="s">
        <v>133</v>
      </c>
      <c r="M53" t="s">
        <v>2795</v>
      </c>
      <c r="N53" t="s">
        <v>2862</v>
      </c>
      <c r="O53">
        <v>1886</v>
      </c>
      <c r="P53">
        <v>3160</v>
      </c>
    </row>
    <row r="54" spans="1:16" x14ac:dyDescent="0.3">
      <c r="A54" t="s">
        <v>667</v>
      </c>
      <c r="B54" s="45">
        <v>45537</v>
      </c>
      <c r="C54" t="s">
        <v>617</v>
      </c>
      <c r="D54" t="s">
        <v>237</v>
      </c>
      <c r="E54" t="s">
        <v>325</v>
      </c>
      <c r="F54">
        <v>1</v>
      </c>
      <c r="G54">
        <v>3640</v>
      </c>
      <c r="H54">
        <v>15.3</v>
      </c>
      <c r="I54">
        <v>3083.08</v>
      </c>
      <c r="J54" t="s">
        <v>93</v>
      </c>
      <c r="K54" t="s">
        <v>112</v>
      </c>
      <c r="L54" t="s">
        <v>112</v>
      </c>
      <c r="M54" t="s">
        <v>2795</v>
      </c>
      <c r="N54" t="s">
        <v>2862</v>
      </c>
      <c r="O54">
        <v>2611</v>
      </c>
      <c r="P54">
        <v>3640</v>
      </c>
    </row>
    <row r="55" spans="1:16" x14ac:dyDescent="0.3">
      <c r="A55" t="s">
        <v>670</v>
      </c>
      <c r="B55" s="45">
        <v>45624</v>
      </c>
      <c r="C55" t="s">
        <v>269</v>
      </c>
      <c r="D55" t="s">
        <v>355</v>
      </c>
      <c r="E55" t="s">
        <v>170</v>
      </c>
      <c r="F55">
        <v>3</v>
      </c>
      <c r="G55">
        <v>2510</v>
      </c>
      <c r="H55">
        <v>17.399999999999999</v>
      </c>
      <c r="I55">
        <v>6219.78</v>
      </c>
      <c r="J55" t="s">
        <v>87</v>
      </c>
      <c r="K55" t="s">
        <v>112</v>
      </c>
      <c r="L55" t="s">
        <v>112</v>
      </c>
      <c r="M55" t="s">
        <v>2795</v>
      </c>
      <c r="N55" t="s">
        <v>2879</v>
      </c>
      <c r="O55">
        <v>1075</v>
      </c>
      <c r="P55">
        <v>2510</v>
      </c>
    </row>
    <row r="56" spans="1:16" x14ac:dyDescent="0.3">
      <c r="A56" t="s">
        <v>675</v>
      </c>
      <c r="B56" s="45">
        <v>45653</v>
      </c>
      <c r="C56" t="s">
        <v>676</v>
      </c>
      <c r="D56" t="s">
        <v>106</v>
      </c>
      <c r="E56" t="s">
        <v>346</v>
      </c>
      <c r="F56">
        <v>1</v>
      </c>
      <c r="G56">
        <v>3160</v>
      </c>
      <c r="H56">
        <v>10.7</v>
      </c>
      <c r="I56">
        <v>2821.88</v>
      </c>
      <c r="J56" t="s">
        <v>87</v>
      </c>
      <c r="K56" t="s">
        <v>88</v>
      </c>
      <c r="L56" t="s">
        <v>88</v>
      </c>
      <c r="M56" t="s">
        <v>2795</v>
      </c>
      <c r="N56" t="s">
        <v>2862</v>
      </c>
      <c r="O56">
        <v>1886</v>
      </c>
      <c r="P56">
        <v>3160</v>
      </c>
    </row>
    <row r="57" spans="1:16" x14ac:dyDescent="0.3">
      <c r="A57" t="s">
        <v>691</v>
      </c>
      <c r="B57" s="45">
        <v>45508</v>
      </c>
      <c r="C57" t="s">
        <v>615</v>
      </c>
      <c r="D57" t="s">
        <v>167</v>
      </c>
      <c r="E57" t="s">
        <v>132</v>
      </c>
      <c r="F57">
        <v>10</v>
      </c>
      <c r="G57">
        <v>2480</v>
      </c>
      <c r="H57">
        <v>24.4</v>
      </c>
      <c r="I57">
        <v>18748.8</v>
      </c>
      <c r="J57" t="s">
        <v>93</v>
      </c>
      <c r="K57" t="s">
        <v>112</v>
      </c>
      <c r="L57" t="s">
        <v>112</v>
      </c>
      <c r="M57" t="s">
        <v>2795</v>
      </c>
      <c r="N57" t="s">
        <v>2862</v>
      </c>
      <c r="O57">
        <v>1173</v>
      </c>
      <c r="P57">
        <v>2480</v>
      </c>
    </row>
    <row r="58" spans="1:16" x14ac:dyDescent="0.3">
      <c r="A58" t="s">
        <v>694</v>
      </c>
      <c r="B58" s="45">
        <v>45632</v>
      </c>
      <c r="C58" t="s">
        <v>490</v>
      </c>
      <c r="D58" t="s">
        <v>106</v>
      </c>
      <c r="E58" t="s">
        <v>215</v>
      </c>
      <c r="F58">
        <v>7</v>
      </c>
      <c r="G58">
        <v>3160</v>
      </c>
      <c r="H58">
        <v>8.9</v>
      </c>
      <c r="I58">
        <v>20151.32</v>
      </c>
      <c r="J58" t="s">
        <v>87</v>
      </c>
      <c r="K58" t="s">
        <v>99</v>
      </c>
      <c r="L58" t="s">
        <v>99</v>
      </c>
      <c r="M58" t="s">
        <v>2795</v>
      </c>
      <c r="N58" t="s">
        <v>2855</v>
      </c>
      <c r="O58">
        <v>1886</v>
      </c>
      <c r="P58">
        <v>3160</v>
      </c>
    </row>
    <row r="59" spans="1:16" x14ac:dyDescent="0.3">
      <c r="A59" t="s">
        <v>699</v>
      </c>
      <c r="B59" s="45">
        <v>45509</v>
      </c>
      <c r="C59" t="s">
        <v>700</v>
      </c>
      <c r="D59" t="s">
        <v>292</v>
      </c>
      <c r="E59" t="s">
        <v>215</v>
      </c>
      <c r="F59">
        <v>5</v>
      </c>
      <c r="G59">
        <v>620</v>
      </c>
      <c r="H59">
        <v>10.7</v>
      </c>
      <c r="I59">
        <v>2768.3</v>
      </c>
      <c r="J59" t="s">
        <v>144</v>
      </c>
      <c r="K59" t="s">
        <v>94</v>
      </c>
      <c r="L59" t="s">
        <v>94</v>
      </c>
      <c r="M59" t="s">
        <v>2795</v>
      </c>
      <c r="N59" t="s">
        <v>2855</v>
      </c>
      <c r="O59">
        <v>396</v>
      </c>
      <c r="P59">
        <v>620</v>
      </c>
    </row>
    <row r="60" spans="1:16" x14ac:dyDescent="0.3">
      <c r="A60" t="s">
        <v>701</v>
      </c>
      <c r="B60" s="45">
        <v>45513</v>
      </c>
      <c r="C60" t="s">
        <v>454</v>
      </c>
      <c r="D60" t="s">
        <v>659</v>
      </c>
      <c r="E60" t="s">
        <v>148</v>
      </c>
      <c r="F60">
        <v>3</v>
      </c>
      <c r="G60">
        <v>3560</v>
      </c>
      <c r="H60">
        <v>4.0999999999999996</v>
      </c>
      <c r="I60">
        <v>10242.120000000001</v>
      </c>
      <c r="J60" t="s">
        <v>87</v>
      </c>
      <c r="K60" t="s">
        <v>133</v>
      </c>
      <c r="L60" t="s">
        <v>133</v>
      </c>
      <c r="M60" t="s">
        <v>2795</v>
      </c>
      <c r="N60" t="s">
        <v>2855</v>
      </c>
      <c r="O60">
        <v>2629</v>
      </c>
      <c r="P60">
        <v>3560</v>
      </c>
    </row>
    <row r="61" spans="1:16" x14ac:dyDescent="0.3">
      <c r="A61" t="s">
        <v>708</v>
      </c>
      <c r="B61" s="45">
        <v>45542</v>
      </c>
      <c r="C61" t="s">
        <v>266</v>
      </c>
      <c r="D61" t="s">
        <v>85</v>
      </c>
      <c r="E61" t="s">
        <v>128</v>
      </c>
      <c r="F61">
        <v>6</v>
      </c>
      <c r="G61">
        <v>3620</v>
      </c>
      <c r="H61">
        <v>9.1999999999999993</v>
      </c>
      <c r="I61">
        <v>19721.759999999998</v>
      </c>
      <c r="J61" t="s">
        <v>87</v>
      </c>
      <c r="K61" t="s">
        <v>99</v>
      </c>
      <c r="L61" t="s">
        <v>99</v>
      </c>
      <c r="M61" t="s">
        <v>2795</v>
      </c>
      <c r="N61" t="s">
        <v>2879</v>
      </c>
      <c r="O61">
        <v>2509</v>
      </c>
      <c r="P61">
        <v>3620</v>
      </c>
    </row>
    <row r="62" spans="1:16" x14ac:dyDescent="0.3">
      <c r="A62" t="s">
        <v>710</v>
      </c>
      <c r="B62" s="45">
        <v>45343</v>
      </c>
      <c r="C62" t="s">
        <v>680</v>
      </c>
      <c r="D62" t="s">
        <v>91</v>
      </c>
      <c r="E62" t="s">
        <v>303</v>
      </c>
      <c r="F62">
        <v>6</v>
      </c>
      <c r="G62">
        <v>820</v>
      </c>
      <c r="H62">
        <v>29.1</v>
      </c>
      <c r="I62">
        <v>3488.28</v>
      </c>
      <c r="J62" t="s">
        <v>87</v>
      </c>
      <c r="K62" t="s">
        <v>94</v>
      </c>
      <c r="L62" t="s">
        <v>94</v>
      </c>
      <c r="M62" t="s">
        <v>2795</v>
      </c>
      <c r="N62" t="s">
        <v>2871</v>
      </c>
      <c r="O62">
        <v>391</v>
      </c>
      <c r="P62">
        <v>820</v>
      </c>
    </row>
    <row r="63" spans="1:16" x14ac:dyDescent="0.3">
      <c r="A63" t="s">
        <v>722</v>
      </c>
      <c r="B63" s="45">
        <v>45618</v>
      </c>
      <c r="C63" t="s">
        <v>142</v>
      </c>
      <c r="D63" t="s">
        <v>355</v>
      </c>
      <c r="E63" t="s">
        <v>116</v>
      </c>
      <c r="F63">
        <v>5</v>
      </c>
      <c r="G63">
        <v>2510</v>
      </c>
      <c r="H63">
        <v>25</v>
      </c>
      <c r="I63">
        <v>9412.5</v>
      </c>
      <c r="J63" t="s">
        <v>87</v>
      </c>
      <c r="K63" t="s">
        <v>88</v>
      </c>
      <c r="L63" t="s">
        <v>88</v>
      </c>
      <c r="M63" t="s">
        <v>2795</v>
      </c>
      <c r="N63" t="s">
        <v>2879</v>
      </c>
      <c r="O63">
        <v>1075</v>
      </c>
      <c r="P63">
        <v>2510</v>
      </c>
    </row>
    <row r="64" spans="1:16" x14ac:dyDescent="0.3">
      <c r="A64" t="s">
        <v>724</v>
      </c>
      <c r="B64" s="45">
        <v>45420</v>
      </c>
      <c r="C64" t="s">
        <v>725</v>
      </c>
      <c r="D64" t="s">
        <v>452</v>
      </c>
      <c r="E64" t="s">
        <v>107</v>
      </c>
      <c r="F64">
        <v>1</v>
      </c>
      <c r="G64">
        <v>3450</v>
      </c>
      <c r="H64">
        <v>1.5</v>
      </c>
      <c r="I64">
        <v>3398.25</v>
      </c>
      <c r="J64" t="s">
        <v>144</v>
      </c>
      <c r="K64" t="s">
        <v>99</v>
      </c>
      <c r="L64" t="s">
        <v>99</v>
      </c>
      <c r="M64" t="s">
        <v>2795</v>
      </c>
      <c r="N64" t="s">
        <v>2855</v>
      </c>
      <c r="O64">
        <v>1748</v>
      </c>
      <c r="P64">
        <v>3450</v>
      </c>
    </row>
    <row r="65" spans="1:16" x14ac:dyDescent="0.3">
      <c r="A65" t="s">
        <v>742</v>
      </c>
      <c r="B65" s="45">
        <v>45314</v>
      </c>
      <c r="C65" t="s">
        <v>597</v>
      </c>
      <c r="D65" t="s">
        <v>355</v>
      </c>
      <c r="E65" t="s">
        <v>238</v>
      </c>
      <c r="F65">
        <v>1</v>
      </c>
      <c r="G65">
        <v>2510</v>
      </c>
      <c r="H65">
        <v>2.4</v>
      </c>
      <c r="I65">
        <v>2449.7600000000002</v>
      </c>
      <c r="J65" t="s">
        <v>87</v>
      </c>
      <c r="K65" t="s">
        <v>112</v>
      </c>
      <c r="L65" t="s">
        <v>112</v>
      </c>
      <c r="M65" t="s">
        <v>2795</v>
      </c>
      <c r="N65" t="s">
        <v>2871</v>
      </c>
      <c r="O65">
        <v>1075</v>
      </c>
      <c r="P65">
        <v>2510</v>
      </c>
    </row>
    <row r="66" spans="1:16" x14ac:dyDescent="0.3">
      <c r="A66" t="s">
        <v>743</v>
      </c>
      <c r="B66" s="45">
        <v>45480</v>
      </c>
      <c r="C66" t="s">
        <v>744</v>
      </c>
      <c r="D66" t="s">
        <v>237</v>
      </c>
      <c r="E66" t="s">
        <v>285</v>
      </c>
      <c r="F66">
        <v>8</v>
      </c>
      <c r="G66">
        <v>3640</v>
      </c>
      <c r="H66">
        <v>28.7</v>
      </c>
      <c r="I66">
        <v>20762.560000000001</v>
      </c>
      <c r="J66" t="s">
        <v>93</v>
      </c>
      <c r="K66" t="s">
        <v>133</v>
      </c>
      <c r="L66" t="s">
        <v>133</v>
      </c>
      <c r="M66" t="s">
        <v>2795</v>
      </c>
      <c r="N66" t="s">
        <v>2871</v>
      </c>
      <c r="O66">
        <v>2611</v>
      </c>
      <c r="P66">
        <v>3640</v>
      </c>
    </row>
    <row r="67" spans="1:16" x14ac:dyDescent="0.3">
      <c r="A67" t="s">
        <v>749</v>
      </c>
      <c r="B67" s="45">
        <v>45580</v>
      </c>
      <c r="C67" t="s">
        <v>539</v>
      </c>
      <c r="D67" t="s">
        <v>85</v>
      </c>
      <c r="E67" t="s">
        <v>325</v>
      </c>
      <c r="F67">
        <v>6</v>
      </c>
      <c r="G67">
        <v>3620</v>
      </c>
      <c r="H67">
        <v>21.3</v>
      </c>
      <c r="I67">
        <v>17093.64</v>
      </c>
      <c r="J67" t="s">
        <v>93</v>
      </c>
      <c r="K67" t="s">
        <v>133</v>
      </c>
      <c r="L67" t="s">
        <v>133</v>
      </c>
      <c r="M67" t="s">
        <v>2795</v>
      </c>
      <c r="N67" t="s">
        <v>2862</v>
      </c>
      <c r="O67">
        <v>2509</v>
      </c>
      <c r="P67">
        <v>3620</v>
      </c>
    </row>
    <row r="68" spans="1:16" x14ac:dyDescent="0.3">
      <c r="A68" t="s">
        <v>758</v>
      </c>
      <c r="B68" s="45">
        <v>45308</v>
      </c>
      <c r="C68" t="s">
        <v>759</v>
      </c>
      <c r="D68" t="s">
        <v>452</v>
      </c>
      <c r="E68" t="s">
        <v>346</v>
      </c>
      <c r="F68">
        <v>10</v>
      </c>
      <c r="G68">
        <v>3450</v>
      </c>
      <c r="H68">
        <v>12.6</v>
      </c>
      <c r="I68">
        <v>30153</v>
      </c>
      <c r="J68" t="s">
        <v>87</v>
      </c>
      <c r="K68" t="s">
        <v>117</v>
      </c>
      <c r="L68" t="s">
        <v>117</v>
      </c>
      <c r="M68" t="s">
        <v>2795</v>
      </c>
      <c r="N68" t="s">
        <v>2862</v>
      </c>
      <c r="O68">
        <v>1748</v>
      </c>
      <c r="P68">
        <v>3450</v>
      </c>
    </row>
    <row r="69" spans="1:16" x14ac:dyDescent="0.3">
      <c r="A69" t="s">
        <v>767</v>
      </c>
      <c r="B69" s="45">
        <v>45441</v>
      </c>
      <c r="C69" t="s">
        <v>768</v>
      </c>
      <c r="D69" t="s">
        <v>167</v>
      </c>
      <c r="E69" t="s">
        <v>98</v>
      </c>
      <c r="F69">
        <v>9</v>
      </c>
      <c r="G69">
        <v>2480</v>
      </c>
      <c r="H69">
        <v>28.3</v>
      </c>
      <c r="I69">
        <v>16003.44</v>
      </c>
      <c r="J69" t="s">
        <v>87</v>
      </c>
      <c r="K69" t="s">
        <v>88</v>
      </c>
      <c r="L69" t="s">
        <v>88</v>
      </c>
      <c r="M69" t="s">
        <v>2795</v>
      </c>
      <c r="N69" t="s">
        <v>2862</v>
      </c>
      <c r="O69">
        <v>1173</v>
      </c>
      <c r="P69">
        <v>2480</v>
      </c>
    </row>
    <row r="70" spans="1:16" x14ac:dyDescent="0.3">
      <c r="A70" t="s">
        <v>773</v>
      </c>
      <c r="B70" s="45">
        <v>45331</v>
      </c>
      <c r="C70" t="s">
        <v>493</v>
      </c>
      <c r="D70" t="s">
        <v>355</v>
      </c>
      <c r="E70" t="s">
        <v>346</v>
      </c>
      <c r="F70">
        <v>4</v>
      </c>
      <c r="G70">
        <v>2510</v>
      </c>
      <c r="H70">
        <v>23.6</v>
      </c>
      <c r="I70">
        <v>7670.56</v>
      </c>
      <c r="J70" t="s">
        <v>87</v>
      </c>
      <c r="K70" t="s">
        <v>88</v>
      </c>
      <c r="L70" t="s">
        <v>88</v>
      </c>
      <c r="M70" t="s">
        <v>2795</v>
      </c>
      <c r="N70" t="s">
        <v>2862</v>
      </c>
      <c r="O70">
        <v>1075</v>
      </c>
      <c r="P70">
        <v>2510</v>
      </c>
    </row>
    <row r="71" spans="1:16" x14ac:dyDescent="0.3">
      <c r="A71" t="s">
        <v>787</v>
      </c>
      <c r="B71" s="45">
        <v>45503</v>
      </c>
      <c r="C71" t="s">
        <v>316</v>
      </c>
      <c r="D71" t="s">
        <v>167</v>
      </c>
      <c r="E71" t="s">
        <v>128</v>
      </c>
      <c r="F71">
        <v>6</v>
      </c>
      <c r="G71">
        <v>2480</v>
      </c>
      <c r="H71">
        <v>25.9</v>
      </c>
      <c r="I71">
        <v>11026.08</v>
      </c>
      <c r="J71" t="s">
        <v>87</v>
      </c>
      <c r="K71" t="s">
        <v>88</v>
      </c>
      <c r="L71" t="s">
        <v>88</v>
      </c>
      <c r="M71" t="s">
        <v>2795</v>
      </c>
      <c r="N71" t="s">
        <v>2879</v>
      </c>
      <c r="O71">
        <v>1173</v>
      </c>
      <c r="P71">
        <v>2480</v>
      </c>
    </row>
    <row r="72" spans="1:16" x14ac:dyDescent="0.3">
      <c r="A72" t="s">
        <v>788</v>
      </c>
      <c r="B72" s="45">
        <v>45608</v>
      </c>
      <c r="C72" t="s">
        <v>318</v>
      </c>
      <c r="D72" t="s">
        <v>659</v>
      </c>
      <c r="E72" t="s">
        <v>121</v>
      </c>
      <c r="F72">
        <v>3</v>
      </c>
      <c r="G72">
        <v>3560</v>
      </c>
      <c r="H72">
        <v>0.4</v>
      </c>
      <c r="I72">
        <v>10637.28</v>
      </c>
      <c r="J72" t="s">
        <v>144</v>
      </c>
      <c r="K72" t="s">
        <v>94</v>
      </c>
      <c r="L72" t="s">
        <v>94</v>
      </c>
      <c r="M72" t="s">
        <v>2795</v>
      </c>
      <c r="N72" t="s">
        <v>2871</v>
      </c>
      <c r="O72">
        <v>2629</v>
      </c>
      <c r="P72">
        <v>3560</v>
      </c>
    </row>
    <row r="73" spans="1:16" x14ac:dyDescent="0.3">
      <c r="A73" t="s">
        <v>792</v>
      </c>
      <c r="B73" s="45">
        <v>45440</v>
      </c>
      <c r="C73" t="s">
        <v>518</v>
      </c>
      <c r="D73" t="s">
        <v>452</v>
      </c>
      <c r="E73" t="s">
        <v>192</v>
      </c>
      <c r="F73">
        <v>10</v>
      </c>
      <c r="G73">
        <v>3450</v>
      </c>
      <c r="H73">
        <v>20.399999999999999</v>
      </c>
      <c r="I73">
        <v>27462</v>
      </c>
      <c r="J73" t="s">
        <v>87</v>
      </c>
      <c r="K73" t="s">
        <v>88</v>
      </c>
      <c r="L73" t="s">
        <v>88</v>
      </c>
      <c r="M73" t="s">
        <v>2795</v>
      </c>
      <c r="N73" t="s">
        <v>2871</v>
      </c>
      <c r="O73">
        <v>1748</v>
      </c>
      <c r="P73">
        <v>3450</v>
      </c>
    </row>
    <row r="74" spans="1:16" x14ac:dyDescent="0.3">
      <c r="A74" t="s">
        <v>798</v>
      </c>
      <c r="B74" s="45">
        <v>45655</v>
      </c>
      <c r="C74" t="s">
        <v>799</v>
      </c>
      <c r="D74" t="s">
        <v>85</v>
      </c>
      <c r="E74" t="s">
        <v>201</v>
      </c>
      <c r="F74">
        <v>10</v>
      </c>
      <c r="G74">
        <v>3620</v>
      </c>
      <c r="H74">
        <v>22</v>
      </c>
      <c r="I74">
        <v>28236</v>
      </c>
      <c r="J74" t="s">
        <v>87</v>
      </c>
      <c r="K74" t="s">
        <v>88</v>
      </c>
      <c r="L74" t="s">
        <v>88</v>
      </c>
      <c r="M74" t="s">
        <v>2795</v>
      </c>
      <c r="N74" t="s">
        <v>2879</v>
      </c>
      <c r="O74">
        <v>2509</v>
      </c>
      <c r="P74">
        <v>3620</v>
      </c>
    </row>
    <row r="75" spans="1:16" x14ac:dyDescent="0.3">
      <c r="A75" t="s">
        <v>805</v>
      </c>
      <c r="B75" s="45">
        <v>45573</v>
      </c>
      <c r="C75" t="s">
        <v>512</v>
      </c>
      <c r="D75" t="s">
        <v>106</v>
      </c>
      <c r="E75" t="s">
        <v>116</v>
      </c>
      <c r="F75">
        <v>9</v>
      </c>
      <c r="G75">
        <v>3160</v>
      </c>
      <c r="H75">
        <v>10.199999999999999</v>
      </c>
      <c r="I75">
        <v>25539.119999999999</v>
      </c>
      <c r="J75" t="s">
        <v>87</v>
      </c>
      <c r="K75" t="s">
        <v>133</v>
      </c>
      <c r="L75" t="s">
        <v>133</v>
      </c>
      <c r="M75" t="s">
        <v>2795</v>
      </c>
      <c r="N75" t="s">
        <v>2879</v>
      </c>
      <c r="O75">
        <v>1886</v>
      </c>
      <c r="P75">
        <v>3160</v>
      </c>
    </row>
    <row r="76" spans="1:16" x14ac:dyDescent="0.3">
      <c r="A76" t="s">
        <v>820</v>
      </c>
      <c r="B76" s="45">
        <v>45441</v>
      </c>
      <c r="C76" t="s">
        <v>345</v>
      </c>
      <c r="D76" t="s">
        <v>106</v>
      </c>
      <c r="E76" t="s">
        <v>98</v>
      </c>
      <c r="F76">
        <v>1</v>
      </c>
      <c r="G76">
        <v>3160</v>
      </c>
      <c r="H76">
        <v>5.6</v>
      </c>
      <c r="I76">
        <v>2983.04</v>
      </c>
      <c r="J76" t="s">
        <v>87</v>
      </c>
      <c r="K76" t="s">
        <v>94</v>
      </c>
      <c r="L76" t="s">
        <v>94</v>
      </c>
      <c r="M76" t="s">
        <v>2795</v>
      </c>
      <c r="N76" t="s">
        <v>2862</v>
      </c>
      <c r="O76">
        <v>1886</v>
      </c>
      <c r="P76">
        <v>3160</v>
      </c>
    </row>
    <row r="77" spans="1:16" x14ac:dyDescent="0.3">
      <c r="A77" t="s">
        <v>824</v>
      </c>
      <c r="B77" s="45">
        <v>45412</v>
      </c>
      <c r="C77" t="s">
        <v>559</v>
      </c>
      <c r="D77" t="s">
        <v>237</v>
      </c>
      <c r="E77" t="s">
        <v>303</v>
      </c>
      <c r="F77">
        <v>3</v>
      </c>
      <c r="G77">
        <v>3640</v>
      </c>
      <c r="H77">
        <v>9.6999999999999993</v>
      </c>
      <c r="I77">
        <v>9860.76</v>
      </c>
      <c r="J77" t="s">
        <v>140</v>
      </c>
      <c r="K77" t="s">
        <v>88</v>
      </c>
      <c r="L77" t="s">
        <v>88</v>
      </c>
      <c r="M77" t="s">
        <v>2795</v>
      </c>
      <c r="N77" t="s">
        <v>2871</v>
      </c>
      <c r="O77">
        <v>2611</v>
      </c>
      <c r="P77">
        <v>3640</v>
      </c>
    </row>
    <row r="78" spans="1:16" x14ac:dyDescent="0.3">
      <c r="A78" t="s">
        <v>825</v>
      </c>
      <c r="B78" s="45">
        <v>45448</v>
      </c>
      <c r="C78" t="s">
        <v>546</v>
      </c>
      <c r="D78" t="s">
        <v>173</v>
      </c>
      <c r="E78" t="s">
        <v>139</v>
      </c>
      <c r="F78">
        <v>6</v>
      </c>
      <c r="G78">
        <v>2720</v>
      </c>
      <c r="H78">
        <v>13</v>
      </c>
      <c r="I78">
        <v>14198.4</v>
      </c>
      <c r="J78" t="s">
        <v>93</v>
      </c>
      <c r="K78" t="s">
        <v>99</v>
      </c>
      <c r="L78" t="s">
        <v>99</v>
      </c>
      <c r="M78" t="s">
        <v>2795</v>
      </c>
      <c r="N78" t="s">
        <v>2855</v>
      </c>
      <c r="O78">
        <v>1962</v>
      </c>
      <c r="P78">
        <v>2720</v>
      </c>
    </row>
    <row r="79" spans="1:16" x14ac:dyDescent="0.3">
      <c r="A79" t="s">
        <v>830</v>
      </c>
      <c r="B79" s="45">
        <v>45366</v>
      </c>
      <c r="C79" t="s">
        <v>613</v>
      </c>
      <c r="D79" t="s">
        <v>355</v>
      </c>
      <c r="E79" t="s">
        <v>170</v>
      </c>
      <c r="F79">
        <v>5</v>
      </c>
      <c r="G79">
        <v>2510</v>
      </c>
      <c r="H79">
        <v>25</v>
      </c>
      <c r="I79">
        <v>9412.5</v>
      </c>
      <c r="J79" t="s">
        <v>87</v>
      </c>
      <c r="K79" t="s">
        <v>112</v>
      </c>
      <c r="L79" t="s">
        <v>112</v>
      </c>
      <c r="M79" t="s">
        <v>2795</v>
      </c>
      <c r="N79" t="s">
        <v>2879</v>
      </c>
      <c r="O79">
        <v>1075</v>
      </c>
      <c r="P79">
        <v>2510</v>
      </c>
    </row>
    <row r="80" spans="1:16" x14ac:dyDescent="0.3">
      <c r="A80" t="s">
        <v>849</v>
      </c>
      <c r="B80" s="45">
        <v>45497</v>
      </c>
      <c r="C80" t="s">
        <v>850</v>
      </c>
      <c r="D80" t="s">
        <v>355</v>
      </c>
      <c r="E80" t="s">
        <v>188</v>
      </c>
      <c r="F80">
        <v>8</v>
      </c>
      <c r="G80">
        <v>2510</v>
      </c>
      <c r="H80">
        <v>3.7</v>
      </c>
      <c r="I80">
        <v>19337.04</v>
      </c>
      <c r="J80" t="s">
        <v>87</v>
      </c>
      <c r="K80" t="s">
        <v>94</v>
      </c>
      <c r="L80" t="s">
        <v>94</v>
      </c>
      <c r="M80" t="s">
        <v>2795</v>
      </c>
      <c r="N80" t="s">
        <v>2862</v>
      </c>
      <c r="O80">
        <v>1075</v>
      </c>
      <c r="P80">
        <v>2510</v>
      </c>
    </row>
    <row r="81" spans="1:16" x14ac:dyDescent="0.3">
      <c r="A81" t="s">
        <v>854</v>
      </c>
      <c r="B81" s="45">
        <v>45511</v>
      </c>
      <c r="C81" t="s">
        <v>190</v>
      </c>
      <c r="D81" t="s">
        <v>292</v>
      </c>
      <c r="E81" t="s">
        <v>252</v>
      </c>
      <c r="F81">
        <v>4</v>
      </c>
      <c r="G81">
        <v>620</v>
      </c>
      <c r="H81">
        <v>18.8</v>
      </c>
      <c r="I81">
        <v>2013.76</v>
      </c>
      <c r="J81" t="s">
        <v>87</v>
      </c>
      <c r="K81" t="s">
        <v>133</v>
      </c>
      <c r="L81" t="s">
        <v>133</v>
      </c>
      <c r="M81" t="s">
        <v>2795</v>
      </c>
      <c r="N81" t="s">
        <v>2862</v>
      </c>
      <c r="O81">
        <v>396</v>
      </c>
      <c r="P81">
        <v>620</v>
      </c>
    </row>
    <row r="82" spans="1:16" x14ac:dyDescent="0.3">
      <c r="A82" t="s">
        <v>866</v>
      </c>
      <c r="B82" s="45">
        <v>45336</v>
      </c>
      <c r="C82" t="s">
        <v>101</v>
      </c>
      <c r="D82" t="s">
        <v>167</v>
      </c>
      <c r="E82" t="s">
        <v>158</v>
      </c>
      <c r="F82">
        <v>1</v>
      </c>
      <c r="G82">
        <v>2480</v>
      </c>
      <c r="H82">
        <v>13.5</v>
      </c>
      <c r="I82">
        <v>2145.1999999999998</v>
      </c>
      <c r="J82" t="s">
        <v>87</v>
      </c>
      <c r="K82" t="s">
        <v>99</v>
      </c>
      <c r="L82" t="s">
        <v>99</v>
      </c>
      <c r="M82" t="s">
        <v>2795</v>
      </c>
      <c r="N82" t="s">
        <v>2871</v>
      </c>
      <c r="O82">
        <v>1173</v>
      </c>
      <c r="P82">
        <v>2480</v>
      </c>
    </row>
    <row r="83" spans="1:16" x14ac:dyDescent="0.3">
      <c r="A83" t="s">
        <v>876</v>
      </c>
      <c r="B83" s="45">
        <v>45389</v>
      </c>
      <c r="C83" t="s">
        <v>289</v>
      </c>
      <c r="D83" t="s">
        <v>237</v>
      </c>
      <c r="E83" t="s">
        <v>148</v>
      </c>
      <c r="F83">
        <v>10</v>
      </c>
      <c r="G83">
        <v>3640</v>
      </c>
      <c r="H83">
        <v>21.4</v>
      </c>
      <c r="I83">
        <v>28610.400000000001</v>
      </c>
      <c r="J83" t="s">
        <v>140</v>
      </c>
      <c r="K83" t="s">
        <v>94</v>
      </c>
      <c r="L83" t="s">
        <v>94</v>
      </c>
      <c r="M83" t="s">
        <v>2795</v>
      </c>
      <c r="N83" t="s">
        <v>2855</v>
      </c>
      <c r="O83">
        <v>2611</v>
      </c>
      <c r="P83">
        <v>3640</v>
      </c>
    </row>
    <row r="84" spans="1:16" x14ac:dyDescent="0.3">
      <c r="A84" t="s">
        <v>887</v>
      </c>
      <c r="B84" s="45">
        <v>45485</v>
      </c>
      <c r="C84" t="s">
        <v>795</v>
      </c>
      <c r="D84" t="s">
        <v>452</v>
      </c>
      <c r="E84" t="s">
        <v>192</v>
      </c>
      <c r="F84">
        <v>3</v>
      </c>
      <c r="G84">
        <v>3450</v>
      </c>
      <c r="H84">
        <v>14.2</v>
      </c>
      <c r="I84">
        <v>8880.2999999999993</v>
      </c>
      <c r="J84" t="s">
        <v>87</v>
      </c>
      <c r="K84" t="s">
        <v>94</v>
      </c>
      <c r="L84" t="s">
        <v>94</v>
      </c>
      <c r="M84" t="s">
        <v>2795</v>
      </c>
      <c r="N84" t="s">
        <v>2871</v>
      </c>
      <c r="O84">
        <v>1748</v>
      </c>
      <c r="P84">
        <v>3450</v>
      </c>
    </row>
    <row r="85" spans="1:16" x14ac:dyDescent="0.3">
      <c r="A85" t="s">
        <v>888</v>
      </c>
      <c r="B85" s="45">
        <v>45523</v>
      </c>
      <c r="C85" t="s">
        <v>589</v>
      </c>
      <c r="D85" t="s">
        <v>173</v>
      </c>
      <c r="E85" t="s">
        <v>128</v>
      </c>
      <c r="F85">
        <v>2</v>
      </c>
      <c r="G85">
        <v>2720</v>
      </c>
      <c r="H85">
        <v>14.6</v>
      </c>
      <c r="I85">
        <v>4645.76</v>
      </c>
      <c r="J85" t="s">
        <v>140</v>
      </c>
      <c r="K85" t="s">
        <v>94</v>
      </c>
      <c r="L85" t="s">
        <v>94</v>
      </c>
      <c r="M85" t="s">
        <v>2795</v>
      </c>
      <c r="N85" t="s">
        <v>2879</v>
      </c>
      <c r="O85">
        <v>1962</v>
      </c>
      <c r="P85">
        <v>2720</v>
      </c>
    </row>
    <row r="86" spans="1:16" x14ac:dyDescent="0.3">
      <c r="A86" t="s">
        <v>898</v>
      </c>
      <c r="B86" s="45">
        <v>45535</v>
      </c>
      <c r="C86" t="s">
        <v>565</v>
      </c>
      <c r="D86" t="s">
        <v>106</v>
      </c>
      <c r="E86" t="s">
        <v>192</v>
      </c>
      <c r="F86">
        <v>7</v>
      </c>
      <c r="G86">
        <v>3160</v>
      </c>
      <c r="H86">
        <v>22.8</v>
      </c>
      <c r="I86">
        <v>17076.64</v>
      </c>
      <c r="J86" t="s">
        <v>87</v>
      </c>
      <c r="K86" t="s">
        <v>112</v>
      </c>
      <c r="L86" t="s">
        <v>112</v>
      </c>
      <c r="M86" t="s">
        <v>2795</v>
      </c>
      <c r="N86" t="s">
        <v>2871</v>
      </c>
      <c r="O86">
        <v>1886</v>
      </c>
      <c r="P86">
        <v>3160</v>
      </c>
    </row>
    <row r="87" spans="1:16" x14ac:dyDescent="0.3">
      <c r="A87" t="s">
        <v>922</v>
      </c>
      <c r="B87" s="45">
        <v>45562</v>
      </c>
      <c r="C87" t="s">
        <v>902</v>
      </c>
      <c r="D87" t="s">
        <v>452</v>
      </c>
      <c r="E87" t="s">
        <v>158</v>
      </c>
      <c r="F87">
        <v>1</v>
      </c>
      <c r="G87">
        <v>3450</v>
      </c>
      <c r="H87">
        <v>7.4</v>
      </c>
      <c r="I87">
        <v>3194.7</v>
      </c>
      <c r="J87" t="s">
        <v>87</v>
      </c>
      <c r="K87" t="s">
        <v>112</v>
      </c>
      <c r="L87" t="s">
        <v>112</v>
      </c>
      <c r="M87" t="s">
        <v>2795</v>
      </c>
      <c r="N87" t="s">
        <v>2871</v>
      </c>
      <c r="O87">
        <v>1748</v>
      </c>
      <c r="P87">
        <v>3450</v>
      </c>
    </row>
    <row r="88" spans="1:16" x14ac:dyDescent="0.3">
      <c r="A88" t="s">
        <v>923</v>
      </c>
      <c r="B88" s="45">
        <v>45308</v>
      </c>
      <c r="C88" t="s">
        <v>504</v>
      </c>
      <c r="D88" t="s">
        <v>659</v>
      </c>
      <c r="E88" t="s">
        <v>92</v>
      </c>
      <c r="F88">
        <v>3</v>
      </c>
      <c r="G88">
        <v>3560</v>
      </c>
      <c r="H88">
        <v>15.2</v>
      </c>
      <c r="I88">
        <v>9056.64</v>
      </c>
      <c r="J88" t="s">
        <v>87</v>
      </c>
      <c r="K88" t="s">
        <v>117</v>
      </c>
      <c r="L88" t="s">
        <v>117</v>
      </c>
      <c r="M88" t="s">
        <v>2795</v>
      </c>
      <c r="N88" t="s">
        <v>2855</v>
      </c>
      <c r="O88">
        <v>2629</v>
      </c>
      <c r="P88">
        <v>3560</v>
      </c>
    </row>
    <row r="89" spans="1:16" x14ac:dyDescent="0.3">
      <c r="A89" t="s">
        <v>934</v>
      </c>
      <c r="B89" s="45">
        <v>45463</v>
      </c>
      <c r="C89" t="s">
        <v>835</v>
      </c>
      <c r="D89" t="s">
        <v>355</v>
      </c>
      <c r="E89" t="s">
        <v>92</v>
      </c>
      <c r="F89">
        <v>10</v>
      </c>
      <c r="G89">
        <v>2510</v>
      </c>
      <c r="H89">
        <v>20.8</v>
      </c>
      <c r="I89">
        <v>19879.2</v>
      </c>
      <c r="J89" t="s">
        <v>87</v>
      </c>
      <c r="K89" t="s">
        <v>117</v>
      </c>
      <c r="L89" t="s">
        <v>117</v>
      </c>
      <c r="M89" t="s">
        <v>2795</v>
      </c>
      <c r="N89" t="s">
        <v>2855</v>
      </c>
      <c r="O89">
        <v>1075</v>
      </c>
      <c r="P89">
        <v>2510</v>
      </c>
    </row>
    <row r="90" spans="1:16" x14ac:dyDescent="0.3">
      <c r="A90" t="s">
        <v>940</v>
      </c>
      <c r="B90" s="45">
        <v>45443</v>
      </c>
      <c r="C90" t="s">
        <v>585</v>
      </c>
      <c r="D90" t="s">
        <v>167</v>
      </c>
      <c r="E90" t="s">
        <v>98</v>
      </c>
      <c r="F90">
        <v>6</v>
      </c>
      <c r="G90">
        <v>2480</v>
      </c>
      <c r="H90">
        <v>3.3</v>
      </c>
      <c r="I90">
        <v>14388.96</v>
      </c>
      <c r="J90" t="s">
        <v>87</v>
      </c>
      <c r="K90" t="s">
        <v>94</v>
      </c>
      <c r="L90" t="s">
        <v>94</v>
      </c>
      <c r="M90" t="s">
        <v>2795</v>
      </c>
      <c r="N90" t="s">
        <v>2862</v>
      </c>
      <c r="O90">
        <v>1173</v>
      </c>
      <c r="P90">
        <v>2480</v>
      </c>
    </row>
    <row r="91" spans="1:16" x14ac:dyDescent="0.3">
      <c r="A91" t="s">
        <v>944</v>
      </c>
      <c r="B91" s="45">
        <v>45406</v>
      </c>
      <c r="C91" t="s">
        <v>945</v>
      </c>
      <c r="D91" t="s">
        <v>167</v>
      </c>
      <c r="E91" t="s">
        <v>92</v>
      </c>
      <c r="F91">
        <v>10</v>
      </c>
      <c r="G91">
        <v>2480</v>
      </c>
      <c r="H91">
        <v>13</v>
      </c>
      <c r="I91">
        <v>21576</v>
      </c>
      <c r="J91" t="s">
        <v>93</v>
      </c>
      <c r="K91" t="s">
        <v>88</v>
      </c>
      <c r="L91" t="s">
        <v>88</v>
      </c>
      <c r="M91" t="s">
        <v>2795</v>
      </c>
      <c r="N91" t="s">
        <v>2855</v>
      </c>
      <c r="O91">
        <v>1173</v>
      </c>
      <c r="P91">
        <v>2480</v>
      </c>
    </row>
    <row r="92" spans="1:16" x14ac:dyDescent="0.3">
      <c r="A92" t="s">
        <v>949</v>
      </c>
      <c r="B92" s="45">
        <v>45613</v>
      </c>
      <c r="C92" t="s">
        <v>823</v>
      </c>
      <c r="D92" t="s">
        <v>173</v>
      </c>
      <c r="E92" t="s">
        <v>215</v>
      </c>
      <c r="F92">
        <v>5</v>
      </c>
      <c r="G92">
        <v>2720</v>
      </c>
      <c r="H92">
        <v>10.3</v>
      </c>
      <c r="I92">
        <v>12199.2</v>
      </c>
      <c r="J92" t="s">
        <v>140</v>
      </c>
      <c r="K92" t="s">
        <v>94</v>
      </c>
      <c r="L92" t="s">
        <v>94</v>
      </c>
      <c r="M92" t="s">
        <v>2795</v>
      </c>
      <c r="N92" t="s">
        <v>2855</v>
      </c>
      <c r="O92">
        <v>1962</v>
      </c>
      <c r="P92">
        <v>2720</v>
      </c>
    </row>
    <row r="93" spans="1:16" x14ac:dyDescent="0.3">
      <c r="A93" t="s">
        <v>951</v>
      </c>
      <c r="B93" s="45">
        <v>45656</v>
      </c>
      <c r="C93" t="s">
        <v>952</v>
      </c>
      <c r="D93" t="s">
        <v>85</v>
      </c>
      <c r="E93" t="s">
        <v>325</v>
      </c>
      <c r="F93">
        <v>5</v>
      </c>
      <c r="G93">
        <v>3620</v>
      </c>
      <c r="H93">
        <v>18.2</v>
      </c>
      <c r="I93">
        <v>14805.8</v>
      </c>
      <c r="J93" t="s">
        <v>87</v>
      </c>
      <c r="K93" t="s">
        <v>133</v>
      </c>
      <c r="L93" t="s">
        <v>133</v>
      </c>
      <c r="M93" t="s">
        <v>2795</v>
      </c>
      <c r="N93" t="s">
        <v>2862</v>
      </c>
      <c r="O93">
        <v>2509</v>
      </c>
      <c r="P93">
        <v>3620</v>
      </c>
    </row>
    <row r="94" spans="1:16" x14ac:dyDescent="0.3">
      <c r="A94" t="s">
        <v>965</v>
      </c>
      <c r="B94" s="45">
        <v>45311</v>
      </c>
      <c r="C94" t="s">
        <v>966</v>
      </c>
      <c r="D94" t="s">
        <v>85</v>
      </c>
      <c r="E94" t="s">
        <v>86</v>
      </c>
      <c r="F94">
        <v>10</v>
      </c>
      <c r="G94">
        <v>3620</v>
      </c>
      <c r="H94">
        <v>2.5</v>
      </c>
      <c r="I94">
        <v>35295</v>
      </c>
      <c r="J94" t="s">
        <v>87</v>
      </c>
      <c r="K94" t="s">
        <v>133</v>
      </c>
      <c r="L94" t="s">
        <v>133</v>
      </c>
      <c r="M94" t="s">
        <v>2795</v>
      </c>
      <c r="N94" t="s">
        <v>2855</v>
      </c>
      <c r="O94">
        <v>2509</v>
      </c>
      <c r="P94">
        <v>3620</v>
      </c>
    </row>
    <row r="95" spans="1:16" x14ac:dyDescent="0.3">
      <c r="A95" t="s">
        <v>974</v>
      </c>
      <c r="B95" s="45">
        <v>45320</v>
      </c>
      <c r="C95" t="s">
        <v>457</v>
      </c>
      <c r="D95" t="s">
        <v>85</v>
      </c>
      <c r="E95" t="s">
        <v>303</v>
      </c>
      <c r="F95">
        <v>8</v>
      </c>
      <c r="G95">
        <v>3620</v>
      </c>
      <c r="H95">
        <v>29</v>
      </c>
      <c r="I95">
        <v>20561.599999999999</v>
      </c>
      <c r="J95" t="s">
        <v>87</v>
      </c>
      <c r="K95" t="s">
        <v>88</v>
      </c>
      <c r="L95" t="s">
        <v>88</v>
      </c>
      <c r="M95" t="s">
        <v>2795</v>
      </c>
      <c r="N95" t="s">
        <v>2871</v>
      </c>
      <c r="O95">
        <v>2509</v>
      </c>
      <c r="P95">
        <v>3620</v>
      </c>
    </row>
    <row r="96" spans="1:16" x14ac:dyDescent="0.3">
      <c r="A96" t="s">
        <v>987</v>
      </c>
      <c r="B96" s="45">
        <v>45592</v>
      </c>
      <c r="C96" t="s">
        <v>878</v>
      </c>
      <c r="D96" t="s">
        <v>292</v>
      </c>
      <c r="E96" t="s">
        <v>121</v>
      </c>
      <c r="F96">
        <v>2</v>
      </c>
      <c r="G96">
        <v>620</v>
      </c>
      <c r="H96">
        <v>8</v>
      </c>
      <c r="I96">
        <v>1140.8</v>
      </c>
      <c r="J96" t="s">
        <v>87</v>
      </c>
      <c r="K96" t="s">
        <v>112</v>
      </c>
      <c r="L96" t="s">
        <v>112</v>
      </c>
      <c r="M96" t="s">
        <v>2795</v>
      </c>
      <c r="N96" t="s">
        <v>2871</v>
      </c>
      <c r="O96">
        <v>396</v>
      </c>
      <c r="P96">
        <v>620</v>
      </c>
    </row>
    <row r="97" spans="1:16" x14ac:dyDescent="0.3">
      <c r="A97" t="s">
        <v>989</v>
      </c>
      <c r="B97" s="45">
        <v>45332</v>
      </c>
      <c r="C97" t="s">
        <v>990</v>
      </c>
      <c r="D97" t="s">
        <v>85</v>
      </c>
      <c r="E97" t="s">
        <v>121</v>
      </c>
      <c r="F97">
        <v>2</v>
      </c>
      <c r="G97">
        <v>3620</v>
      </c>
      <c r="H97">
        <v>15.5</v>
      </c>
      <c r="I97">
        <v>6117.8</v>
      </c>
      <c r="J97" t="s">
        <v>87</v>
      </c>
      <c r="K97" t="s">
        <v>117</v>
      </c>
      <c r="L97" t="s">
        <v>117</v>
      </c>
      <c r="M97" t="s">
        <v>2795</v>
      </c>
      <c r="N97" t="s">
        <v>2871</v>
      </c>
      <c r="O97">
        <v>2509</v>
      </c>
      <c r="P97">
        <v>3620</v>
      </c>
    </row>
    <row r="98" spans="1:16" x14ac:dyDescent="0.3">
      <c r="A98" t="s">
        <v>1035</v>
      </c>
      <c r="B98" s="45">
        <v>45322</v>
      </c>
      <c r="C98" t="s">
        <v>1036</v>
      </c>
      <c r="D98" t="s">
        <v>452</v>
      </c>
      <c r="E98" t="s">
        <v>343</v>
      </c>
      <c r="F98">
        <v>1</v>
      </c>
      <c r="G98">
        <v>3450</v>
      </c>
      <c r="H98">
        <v>23.3</v>
      </c>
      <c r="I98">
        <v>2646.15</v>
      </c>
      <c r="J98" t="s">
        <v>87</v>
      </c>
      <c r="K98" t="s">
        <v>112</v>
      </c>
      <c r="L98" t="s">
        <v>112</v>
      </c>
      <c r="M98" t="s">
        <v>2795</v>
      </c>
      <c r="N98" t="s">
        <v>2879</v>
      </c>
      <c r="O98">
        <v>1748</v>
      </c>
      <c r="P98">
        <v>3450</v>
      </c>
    </row>
    <row r="99" spans="1:16" x14ac:dyDescent="0.3">
      <c r="A99" t="s">
        <v>1068</v>
      </c>
      <c r="B99" s="45">
        <v>45336</v>
      </c>
      <c r="C99" t="s">
        <v>394</v>
      </c>
      <c r="D99" t="s">
        <v>292</v>
      </c>
      <c r="E99" t="s">
        <v>111</v>
      </c>
      <c r="F99">
        <v>5</v>
      </c>
      <c r="G99">
        <v>620</v>
      </c>
      <c r="H99">
        <v>10.199999999999999</v>
      </c>
      <c r="I99">
        <v>2783.8</v>
      </c>
      <c r="J99" t="s">
        <v>87</v>
      </c>
      <c r="K99" t="s">
        <v>117</v>
      </c>
      <c r="L99" t="s">
        <v>117</v>
      </c>
      <c r="M99" t="s">
        <v>2795</v>
      </c>
      <c r="N99" t="s">
        <v>2879</v>
      </c>
      <c r="O99">
        <v>396</v>
      </c>
      <c r="P99">
        <v>620</v>
      </c>
    </row>
    <row r="100" spans="1:16" x14ac:dyDescent="0.3">
      <c r="A100" t="s">
        <v>1076</v>
      </c>
      <c r="B100" s="45">
        <v>45328</v>
      </c>
      <c r="C100" t="s">
        <v>194</v>
      </c>
      <c r="D100" t="s">
        <v>173</v>
      </c>
      <c r="E100" t="s">
        <v>116</v>
      </c>
      <c r="F100">
        <v>7</v>
      </c>
      <c r="G100">
        <v>2720</v>
      </c>
      <c r="H100">
        <v>11.2</v>
      </c>
      <c r="I100">
        <v>16907.52</v>
      </c>
      <c r="J100" t="s">
        <v>144</v>
      </c>
      <c r="K100" t="s">
        <v>88</v>
      </c>
      <c r="L100" t="s">
        <v>88</v>
      </c>
      <c r="M100" t="s">
        <v>2795</v>
      </c>
      <c r="N100" t="s">
        <v>2879</v>
      </c>
      <c r="O100">
        <v>1962</v>
      </c>
      <c r="P100">
        <v>2720</v>
      </c>
    </row>
    <row r="101" spans="1:16" x14ac:dyDescent="0.3">
      <c r="A101" t="s">
        <v>1086</v>
      </c>
      <c r="B101" s="45">
        <v>45451</v>
      </c>
      <c r="C101" t="s">
        <v>948</v>
      </c>
      <c r="D101" t="s">
        <v>106</v>
      </c>
      <c r="E101" t="s">
        <v>107</v>
      </c>
      <c r="F101">
        <v>2</v>
      </c>
      <c r="G101">
        <v>3160</v>
      </c>
      <c r="H101">
        <v>13.4</v>
      </c>
      <c r="I101">
        <v>5473.12</v>
      </c>
      <c r="J101" t="s">
        <v>144</v>
      </c>
      <c r="K101" t="s">
        <v>88</v>
      </c>
      <c r="L101" t="s">
        <v>88</v>
      </c>
      <c r="M101" t="s">
        <v>2795</v>
      </c>
      <c r="N101" t="s">
        <v>2855</v>
      </c>
      <c r="O101">
        <v>1886</v>
      </c>
      <c r="P101">
        <v>3160</v>
      </c>
    </row>
    <row r="102" spans="1:16" x14ac:dyDescent="0.3">
      <c r="A102" t="s">
        <v>1088</v>
      </c>
      <c r="B102" s="45">
        <v>45567</v>
      </c>
      <c r="C102" t="s">
        <v>399</v>
      </c>
      <c r="D102" t="s">
        <v>659</v>
      </c>
      <c r="E102" t="s">
        <v>201</v>
      </c>
      <c r="F102">
        <v>5</v>
      </c>
      <c r="G102">
        <v>3560</v>
      </c>
      <c r="H102">
        <v>15</v>
      </c>
      <c r="I102">
        <v>15130</v>
      </c>
      <c r="J102" t="s">
        <v>87</v>
      </c>
      <c r="K102" t="s">
        <v>99</v>
      </c>
      <c r="L102" t="s">
        <v>99</v>
      </c>
      <c r="M102" t="s">
        <v>2795</v>
      </c>
      <c r="N102" t="s">
        <v>2879</v>
      </c>
      <c r="O102">
        <v>2629</v>
      </c>
      <c r="P102">
        <v>3560</v>
      </c>
    </row>
    <row r="103" spans="1:16" x14ac:dyDescent="0.3">
      <c r="A103" t="s">
        <v>1089</v>
      </c>
      <c r="B103" s="45">
        <v>45633</v>
      </c>
      <c r="C103" t="s">
        <v>1000</v>
      </c>
      <c r="D103" t="s">
        <v>292</v>
      </c>
      <c r="E103" t="s">
        <v>132</v>
      </c>
      <c r="F103">
        <v>10</v>
      </c>
      <c r="G103">
        <v>620</v>
      </c>
      <c r="H103">
        <v>15.8</v>
      </c>
      <c r="I103">
        <v>5220.3999999999996</v>
      </c>
      <c r="J103" t="s">
        <v>144</v>
      </c>
      <c r="K103" t="s">
        <v>117</v>
      </c>
      <c r="L103" t="s">
        <v>117</v>
      </c>
      <c r="M103" t="s">
        <v>2795</v>
      </c>
      <c r="N103" t="s">
        <v>2862</v>
      </c>
      <c r="O103">
        <v>396</v>
      </c>
      <c r="P103">
        <v>620</v>
      </c>
    </row>
    <row r="104" spans="1:16" x14ac:dyDescent="0.3">
      <c r="A104" t="s">
        <v>1092</v>
      </c>
      <c r="B104" s="45">
        <v>45352</v>
      </c>
      <c r="C104" t="s">
        <v>206</v>
      </c>
      <c r="D104" t="s">
        <v>237</v>
      </c>
      <c r="E104" t="s">
        <v>297</v>
      </c>
      <c r="F104">
        <v>1</v>
      </c>
      <c r="G104">
        <v>3640</v>
      </c>
      <c r="H104">
        <v>9.6999999999999993</v>
      </c>
      <c r="I104">
        <v>3286.92</v>
      </c>
      <c r="J104" t="s">
        <v>87</v>
      </c>
      <c r="K104" t="s">
        <v>133</v>
      </c>
      <c r="L104" t="s">
        <v>133</v>
      </c>
      <c r="M104" t="s">
        <v>2795</v>
      </c>
      <c r="N104" t="s">
        <v>2855</v>
      </c>
      <c r="O104">
        <v>2611</v>
      </c>
      <c r="P104">
        <v>3640</v>
      </c>
    </row>
    <row r="105" spans="1:16" x14ac:dyDescent="0.3">
      <c r="A105" t="s">
        <v>1093</v>
      </c>
      <c r="B105" s="45">
        <v>45489</v>
      </c>
      <c r="C105" t="s">
        <v>186</v>
      </c>
      <c r="D105" t="s">
        <v>91</v>
      </c>
      <c r="E105" t="s">
        <v>132</v>
      </c>
      <c r="F105">
        <v>1</v>
      </c>
      <c r="G105">
        <v>820</v>
      </c>
      <c r="H105">
        <v>15</v>
      </c>
      <c r="I105">
        <v>697</v>
      </c>
      <c r="J105" t="s">
        <v>87</v>
      </c>
      <c r="K105" t="s">
        <v>94</v>
      </c>
      <c r="L105" t="s">
        <v>94</v>
      </c>
      <c r="M105" t="s">
        <v>2795</v>
      </c>
      <c r="N105" t="s">
        <v>2862</v>
      </c>
      <c r="O105">
        <v>391</v>
      </c>
      <c r="P105">
        <v>820</v>
      </c>
    </row>
    <row r="106" spans="1:16" x14ac:dyDescent="0.3">
      <c r="A106" t="s">
        <v>1094</v>
      </c>
      <c r="B106" s="45">
        <v>45342</v>
      </c>
      <c r="C106" t="s">
        <v>163</v>
      </c>
      <c r="D106" t="s">
        <v>237</v>
      </c>
      <c r="E106" t="s">
        <v>273</v>
      </c>
      <c r="F106">
        <v>4</v>
      </c>
      <c r="G106">
        <v>3640</v>
      </c>
      <c r="H106">
        <v>17</v>
      </c>
      <c r="I106">
        <v>12084.8</v>
      </c>
      <c r="J106" t="s">
        <v>87</v>
      </c>
      <c r="K106" t="s">
        <v>94</v>
      </c>
      <c r="L106" t="s">
        <v>94</v>
      </c>
      <c r="M106" t="s">
        <v>2795</v>
      </c>
      <c r="N106" t="s">
        <v>2862</v>
      </c>
      <c r="O106">
        <v>2611</v>
      </c>
      <c r="P106">
        <v>3640</v>
      </c>
    </row>
    <row r="107" spans="1:16" x14ac:dyDescent="0.3">
      <c r="A107" t="s">
        <v>1100</v>
      </c>
      <c r="B107" s="45">
        <v>45365</v>
      </c>
      <c r="C107" t="s">
        <v>206</v>
      </c>
      <c r="D107" t="s">
        <v>85</v>
      </c>
      <c r="E107" t="s">
        <v>303</v>
      </c>
      <c r="F107">
        <v>1</v>
      </c>
      <c r="G107">
        <v>3620</v>
      </c>
      <c r="H107">
        <v>1.4</v>
      </c>
      <c r="I107">
        <v>3569.32</v>
      </c>
      <c r="J107" t="s">
        <v>87</v>
      </c>
      <c r="K107" t="s">
        <v>133</v>
      </c>
      <c r="L107" t="s">
        <v>133</v>
      </c>
      <c r="M107" t="s">
        <v>2795</v>
      </c>
      <c r="N107" t="s">
        <v>2871</v>
      </c>
      <c r="O107">
        <v>2509</v>
      </c>
      <c r="P107">
        <v>3620</v>
      </c>
    </row>
    <row r="108" spans="1:16" x14ac:dyDescent="0.3">
      <c r="A108" t="s">
        <v>1119</v>
      </c>
      <c r="B108" s="45">
        <v>45414</v>
      </c>
      <c r="C108" t="s">
        <v>510</v>
      </c>
      <c r="D108" t="s">
        <v>167</v>
      </c>
      <c r="E108" t="s">
        <v>158</v>
      </c>
      <c r="F108">
        <v>4</v>
      </c>
      <c r="G108">
        <v>2480</v>
      </c>
      <c r="H108">
        <v>16.600000000000001</v>
      </c>
      <c r="I108">
        <v>8273.2800000000007</v>
      </c>
      <c r="J108" t="s">
        <v>87</v>
      </c>
      <c r="K108" t="s">
        <v>117</v>
      </c>
      <c r="L108" t="s">
        <v>117</v>
      </c>
      <c r="M108" t="s">
        <v>2795</v>
      </c>
      <c r="N108" t="s">
        <v>2871</v>
      </c>
      <c r="O108">
        <v>1173</v>
      </c>
      <c r="P108">
        <v>2480</v>
      </c>
    </row>
    <row r="109" spans="1:16" x14ac:dyDescent="0.3">
      <c r="A109" t="s">
        <v>1124</v>
      </c>
      <c r="B109" s="45">
        <v>45403</v>
      </c>
      <c r="C109" t="s">
        <v>219</v>
      </c>
      <c r="D109" t="s">
        <v>91</v>
      </c>
      <c r="E109" t="s">
        <v>154</v>
      </c>
      <c r="F109">
        <v>8</v>
      </c>
      <c r="G109">
        <v>820</v>
      </c>
      <c r="H109">
        <v>17.8</v>
      </c>
      <c r="I109">
        <v>5392.32</v>
      </c>
      <c r="J109" t="s">
        <v>93</v>
      </c>
      <c r="K109" t="s">
        <v>99</v>
      </c>
      <c r="L109" t="s">
        <v>99</v>
      </c>
      <c r="M109" t="s">
        <v>2795</v>
      </c>
      <c r="N109" t="s">
        <v>2871</v>
      </c>
      <c r="O109">
        <v>391</v>
      </c>
      <c r="P109">
        <v>820</v>
      </c>
    </row>
    <row r="110" spans="1:16" x14ac:dyDescent="0.3">
      <c r="A110" t="s">
        <v>1133</v>
      </c>
      <c r="B110" s="45">
        <v>45295</v>
      </c>
      <c r="C110" t="s">
        <v>835</v>
      </c>
      <c r="D110" t="s">
        <v>173</v>
      </c>
      <c r="E110" t="s">
        <v>107</v>
      </c>
      <c r="F110">
        <v>10</v>
      </c>
      <c r="G110">
        <v>2720</v>
      </c>
      <c r="H110">
        <v>12.8</v>
      </c>
      <c r="I110">
        <v>23718.400000000001</v>
      </c>
      <c r="J110" t="s">
        <v>87</v>
      </c>
      <c r="K110" t="s">
        <v>117</v>
      </c>
      <c r="L110" t="s">
        <v>117</v>
      </c>
      <c r="M110" t="s">
        <v>2795</v>
      </c>
      <c r="N110" t="s">
        <v>2855</v>
      </c>
      <c r="O110">
        <v>1962</v>
      </c>
      <c r="P110">
        <v>2720</v>
      </c>
    </row>
    <row r="111" spans="1:16" x14ac:dyDescent="0.3">
      <c r="A111" t="s">
        <v>1135</v>
      </c>
      <c r="B111" s="45">
        <v>45601</v>
      </c>
      <c r="C111" t="s">
        <v>142</v>
      </c>
      <c r="D111" t="s">
        <v>91</v>
      </c>
      <c r="E111" t="s">
        <v>273</v>
      </c>
      <c r="F111">
        <v>3</v>
      </c>
      <c r="G111">
        <v>820</v>
      </c>
      <c r="H111">
        <v>19.399999999999999</v>
      </c>
      <c r="I111">
        <v>1982.76</v>
      </c>
      <c r="J111" t="s">
        <v>87</v>
      </c>
      <c r="K111" t="s">
        <v>88</v>
      </c>
      <c r="L111" t="s">
        <v>88</v>
      </c>
      <c r="M111" t="s">
        <v>2795</v>
      </c>
      <c r="N111" t="s">
        <v>2862</v>
      </c>
      <c r="O111">
        <v>391</v>
      </c>
      <c r="P111">
        <v>820</v>
      </c>
    </row>
    <row r="112" spans="1:16" x14ac:dyDescent="0.3">
      <c r="A112" t="s">
        <v>1136</v>
      </c>
      <c r="B112" s="45">
        <v>45471</v>
      </c>
      <c r="C112" t="s">
        <v>555</v>
      </c>
      <c r="D112" t="s">
        <v>292</v>
      </c>
      <c r="E112" t="s">
        <v>132</v>
      </c>
      <c r="F112">
        <v>7</v>
      </c>
      <c r="G112">
        <v>620</v>
      </c>
      <c r="H112">
        <v>9.9</v>
      </c>
      <c r="I112">
        <v>3910.34</v>
      </c>
      <c r="J112" t="s">
        <v>87</v>
      </c>
      <c r="K112" t="s">
        <v>112</v>
      </c>
      <c r="L112" t="s">
        <v>112</v>
      </c>
      <c r="M112" t="s">
        <v>2795</v>
      </c>
      <c r="N112" t="s">
        <v>2862</v>
      </c>
      <c r="O112">
        <v>396</v>
      </c>
      <c r="P112">
        <v>620</v>
      </c>
    </row>
    <row r="113" spans="1:16" x14ac:dyDescent="0.3">
      <c r="A113" t="s">
        <v>1143</v>
      </c>
      <c r="B113" s="45">
        <v>45510</v>
      </c>
      <c r="C113" t="s">
        <v>595</v>
      </c>
      <c r="D113" t="s">
        <v>173</v>
      </c>
      <c r="E113" t="s">
        <v>86</v>
      </c>
      <c r="F113">
        <v>8</v>
      </c>
      <c r="G113">
        <v>2720</v>
      </c>
      <c r="H113">
        <v>25.7</v>
      </c>
      <c r="I113">
        <v>16167.68</v>
      </c>
      <c r="J113" t="s">
        <v>87</v>
      </c>
      <c r="K113" t="s">
        <v>99</v>
      </c>
      <c r="L113" t="s">
        <v>99</v>
      </c>
      <c r="M113" t="s">
        <v>2795</v>
      </c>
      <c r="N113" t="s">
        <v>2855</v>
      </c>
      <c r="O113">
        <v>1962</v>
      </c>
      <c r="P113">
        <v>2720</v>
      </c>
    </row>
    <row r="114" spans="1:16" x14ac:dyDescent="0.3">
      <c r="A114" t="s">
        <v>1145</v>
      </c>
      <c r="B114" s="45">
        <v>45472</v>
      </c>
      <c r="C114" t="s">
        <v>768</v>
      </c>
      <c r="D114" t="s">
        <v>85</v>
      </c>
      <c r="E114" t="s">
        <v>86</v>
      </c>
      <c r="F114">
        <v>3</v>
      </c>
      <c r="G114">
        <v>3620</v>
      </c>
      <c r="H114">
        <v>29.7</v>
      </c>
      <c r="I114">
        <v>7634.58</v>
      </c>
      <c r="J114" t="s">
        <v>87</v>
      </c>
      <c r="K114" t="s">
        <v>88</v>
      </c>
      <c r="L114" t="s">
        <v>88</v>
      </c>
      <c r="M114" t="s">
        <v>2795</v>
      </c>
      <c r="N114" t="s">
        <v>2855</v>
      </c>
      <c r="O114">
        <v>2509</v>
      </c>
      <c r="P114">
        <v>3620</v>
      </c>
    </row>
    <row r="115" spans="1:16" x14ac:dyDescent="0.3">
      <c r="A115" t="s">
        <v>1153</v>
      </c>
      <c r="B115" s="45">
        <v>45443</v>
      </c>
      <c r="C115" t="s">
        <v>392</v>
      </c>
      <c r="D115" t="s">
        <v>106</v>
      </c>
      <c r="E115" t="s">
        <v>158</v>
      </c>
      <c r="F115">
        <v>10</v>
      </c>
      <c r="G115">
        <v>3160</v>
      </c>
      <c r="H115">
        <v>13.4</v>
      </c>
      <c r="I115">
        <v>27365.599999999999</v>
      </c>
      <c r="J115" t="s">
        <v>87</v>
      </c>
      <c r="K115" t="s">
        <v>112</v>
      </c>
      <c r="L115" t="s">
        <v>112</v>
      </c>
      <c r="M115" t="s">
        <v>2795</v>
      </c>
      <c r="N115" t="s">
        <v>2871</v>
      </c>
      <c r="O115">
        <v>1886</v>
      </c>
      <c r="P115">
        <v>3160</v>
      </c>
    </row>
    <row r="116" spans="1:16" x14ac:dyDescent="0.3">
      <c r="A116" t="s">
        <v>1155</v>
      </c>
      <c r="B116" s="45">
        <v>45640</v>
      </c>
      <c r="C116" t="s">
        <v>231</v>
      </c>
      <c r="D116" t="s">
        <v>106</v>
      </c>
      <c r="E116" t="s">
        <v>103</v>
      </c>
      <c r="F116">
        <v>5</v>
      </c>
      <c r="G116">
        <v>3160</v>
      </c>
      <c r="H116">
        <v>3.6</v>
      </c>
      <c r="I116">
        <v>15231.2</v>
      </c>
      <c r="J116" t="s">
        <v>93</v>
      </c>
      <c r="K116" t="s">
        <v>117</v>
      </c>
      <c r="L116" t="s">
        <v>117</v>
      </c>
      <c r="M116" t="s">
        <v>2795</v>
      </c>
      <c r="N116" t="s">
        <v>2855</v>
      </c>
      <c r="O116">
        <v>1886</v>
      </c>
      <c r="P116">
        <v>3160</v>
      </c>
    </row>
    <row r="117" spans="1:16" x14ac:dyDescent="0.3">
      <c r="A117" t="s">
        <v>1157</v>
      </c>
      <c r="B117" s="45">
        <v>45366</v>
      </c>
      <c r="C117" t="s">
        <v>738</v>
      </c>
      <c r="D117" t="s">
        <v>452</v>
      </c>
      <c r="E117" t="s">
        <v>188</v>
      </c>
      <c r="F117">
        <v>5</v>
      </c>
      <c r="G117">
        <v>3450</v>
      </c>
      <c r="H117">
        <v>18.100000000000001</v>
      </c>
      <c r="I117">
        <v>14127.75</v>
      </c>
      <c r="J117" t="s">
        <v>140</v>
      </c>
      <c r="K117" t="s">
        <v>88</v>
      </c>
      <c r="L117" t="s">
        <v>88</v>
      </c>
      <c r="M117" t="s">
        <v>2795</v>
      </c>
      <c r="N117" t="s">
        <v>2862</v>
      </c>
      <c r="O117">
        <v>1748</v>
      </c>
      <c r="P117">
        <v>3450</v>
      </c>
    </row>
    <row r="118" spans="1:16" x14ac:dyDescent="0.3">
      <c r="A118" t="s">
        <v>1158</v>
      </c>
      <c r="B118" s="45">
        <v>45439</v>
      </c>
      <c r="C118" t="s">
        <v>217</v>
      </c>
      <c r="D118" t="s">
        <v>659</v>
      </c>
      <c r="E118" t="s">
        <v>215</v>
      </c>
      <c r="F118">
        <v>1</v>
      </c>
      <c r="G118">
        <v>3560</v>
      </c>
      <c r="H118">
        <v>18.7</v>
      </c>
      <c r="I118">
        <v>2894.28</v>
      </c>
      <c r="J118" t="s">
        <v>87</v>
      </c>
      <c r="K118" t="s">
        <v>94</v>
      </c>
      <c r="L118" t="s">
        <v>94</v>
      </c>
      <c r="M118" t="s">
        <v>2795</v>
      </c>
      <c r="N118" t="s">
        <v>2855</v>
      </c>
      <c r="O118">
        <v>2629</v>
      </c>
      <c r="P118">
        <v>3560</v>
      </c>
    </row>
    <row r="119" spans="1:16" x14ac:dyDescent="0.3">
      <c r="A119" t="s">
        <v>1164</v>
      </c>
      <c r="B119" s="45">
        <v>45521</v>
      </c>
      <c r="C119" t="s">
        <v>1062</v>
      </c>
      <c r="D119" t="s">
        <v>167</v>
      </c>
      <c r="E119" t="s">
        <v>285</v>
      </c>
      <c r="F119">
        <v>8</v>
      </c>
      <c r="G119">
        <v>2480</v>
      </c>
      <c r="H119">
        <v>15.7</v>
      </c>
      <c r="I119">
        <v>16725.12</v>
      </c>
      <c r="J119" t="s">
        <v>93</v>
      </c>
      <c r="K119" t="s">
        <v>112</v>
      </c>
      <c r="L119" t="s">
        <v>112</v>
      </c>
      <c r="M119" t="s">
        <v>2795</v>
      </c>
      <c r="N119" t="s">
        <v>2871</v>
      </c>
      <c r="O119">
        <v>1173</v>
      </c>
      <c r="P119">
        <v>2480</v>
      </c>
    </row>
    <row r="120" spans="1:16" x14ac:dyDescent="0.3">
      <c r="A120" t="s">
        <v>1182</v>
      </c>
      <c r="B120" s="45">
        <v>45454</v>
      </c>
      <c r="C120" t="s">
        <v>146</v>
      </c>
      <c r="D120" t="s">
        <v>452</v>
      </c>
      <c r="E120" t="s">
        <v>139</v>
      </c>
      <c r="F120">
        <v>2</v>
      </c>
      <c r="G120">
        <v>3450</v>
      </c>
      <c r="H120">
        <v>22.9</v>
      </c>
      <c r="I120">
        <v>5319.9</v>
      </c>
      <c r="J120" t="s">
        <v>93</v>
      </c>
      <c r="K120" t="s">
        <v>88</v>
      </c>
      <c r="L120" t="s">
        <v>88</v>
      </c>
      <c r="M120" t="s">
        <v>2795</v>
      </c>
      <c r="N120" t="s">
        <v>2855</v>
      </c>
      <c r="O120">
        <v>1748</v>
      </c>
      <c r="P120">
        <v>3450</v>
      </c>
    </row>
    <row r="121" spans="1:16" x14ac:dyDescent="0.3">
      <c r="A121" t="s">
        <v>1185</v>
      </c>
      <c r="B121" s="45">
        <v>45611</v>
      </c>
      <c r="C121" t="s">
        <v>223</v>
      </c>
      <c r="D121" t="s">
        <v>173</v>
      </c>
      <c r="E121" t="s">
        <v>107</v>
      </c>
      <c r="F121">
        <v>5</v>
      </c>
      <c r="G121">
        <v>2720</v>
      </c>
      <c r="H121">
        <v>17.3</v>
      </c>
      <c r="I121">
        <v>11247.2</v>
      </c>
      <c r="J121" t="s">
        <v>140</v>
      </c>
      <c r="K121" t="s">
        <v>99</v>
      </c>
      <c r="L121" t="s">
        <v>99</v>
      </c>
      <c r="M121" t="s">
        <v>2795</v>
      </c>
      <c r="N121" t="s">
        <v>2855</v>
      </c>
      <c r="O121">
        <v>1962</v>
      </c>
      <c r="P121">
        <v>2720</v>
      </c>
    </row>
    <row r="122" spans="1:16" x14ac:dyDescent="0.3">
      <c r="A122" t="s">
        <v>1197</v>
      </c>
      <c r="B122" s="45">
        <v>45498</v>
      </c>
      <c r="C122" t="s">
        <v>703</v>
      </c>
      <c r="D122" t="s">
        <v>173</v>
      </c>
      <c r="E122" t="s">
        <v>215</v>
      </c>
      <c r="F122">
        <v>8</v>
      </c>
      <c r="G122">
        <v>2720</v>
      </c>
      <c r="H122">
        <v>17.5</v>
      </c>
      <c r="I122">
        <v>17952</v>
      </c>
      <c r="J122" t="s">
        <v>87</v>
      </c>
      <c r="K122" t="s">
        <v>88</v>
      </c>
      <c r="L122" t="s">
        <v>88</v>
      </c>
      <c r="M122" t="s">
        <v>2795</v>
      </c>
      <c r="N122" t="s">
        <v>2855</v>
      </c>
      <c r="O122">
        <v>1962</v>
      </c>
      <c r="P122">
        <v>2720</v>
      </c>
    </row>
    <row r="123" spans="1:16" x14ac:dyDescent="0.3">
      <c r="A123" t="s">
        <v>1198</v>
      </c>
      <c r="B123" s="45">
        <v>45520</v>
      </c>
      <c r="C123" t="s">
        <v>482</v>
      </c>
      <c r="D123" t="s">
        <v>237</v>
      </c>
      <c r="E123" t="s">
        <v>346</v>
      </c>
      <c r="F123">
        <v>9</v>
      </c>
      <c r="G123">
        <v>3640</v>
      </c>
      <c r="H123">
        <v>3.6</v>
      </c>
      <c r="I123">
        <v>31580.639999999999</v>
      </c>
      <c r="J123" t="s">
        <v>87</v>
      </c>
      <c r="K123" t="s">
        <v>133</v>
      </c>
      <c r="L123" t="s">
        <v>133</v>
      </c>
      <c r="M123" t="s">
        <v>2795</v>
      </c>
      <c r="N123" t="s">
        <v>2862</v>
      </c>
      <c r="O123">
        <v>2611</v>
      </c>
      <c r="P123">
        <v>3640</v>
      </c>
    </row>
    <row r="124" spans="1:16" x14ac:dyDescent="0.3">
      <c r="A124" t="s">
        <v>1205</v>
      </c>
      <c r="B124" s="45">
        <v>45299</v>
      </c>
      <c r="C124" t="s">
        <v>712</v>
      </c>
      <c r="D124" t="s">
        <v>237</v>
      </c>
      <c r="E124" t="s">
        <v>238</v>
      </c>
      <c r="F124">
        <v>7</v>
      </c>
      <c r="G124">
        <v>3640</v>
      </c>
      <c r="H124">
        <v>5.5</v>
      </c>
      <c r="I124">
        <v>24078.6</v>
      </c>
      <c r="J124" t="s">
        <v>87</v>
      </c>
      <c r="K124" t="s">
        <v>112</v>
      </c>
      <c r="L124" t="s">
        <v>112</v>
      </c>
      <c r="M124" t="s">
        <v>2795</v>
      </c>
      <c r="N124" t="s">
        <v>2871</v>
      </c>
      <c r="O124">
        <v>2611</v>
      </c>
      <c r="P124">
        <v>3640</v>
      </c>
    </row>
    <row r="125" spans="1:16" x14ac:dyDescent="0.3">
      <c r="A125" t="s">
        <v>1218</v>
      </c>
      <c r="B125" s="45">
        <v>45504</v>
      </c>
      <c r="C125" t="s">
        <v>350</v>
      </c>
      <c r="D125" t="s">
        <v>355</v>
      </c>
      <c r="E125" t="s">
        <v>86</v>
      </c>
      <c r="F125">
        <v>2</v>
      </c>
      <c r="G125">
        <v>2510</v>
      </c>
      <c r="H125">
        <v>29.1</v>
      </c>
      <c r="I125">
        <v>3559.18</v>
      </c>
      <c r="J125" t="s">
        <v>87</v>
      </c>
      <c r="K125" t="s">
        <v>112</v>
      </c>
      <c r="L125" t="s">
        <v>112</v>
      </c>
      <c r="M125" t="s">
        <v>2795</v>
      </c>
      <c r="N125" t="s">
        <v>2855</v>
      </c>
      <c r="O125">
        <v>1075</v>
      </c>
      <c r="P125">
        <v>2510</v>
      </c>
    </row>
    <row r="126" spans="1:16" x14ac:dyDescent="0.3">
      <c r="A126" t="s">
        <v>1221</v>
      </c>
      <c r="B126" s="45">
        <v>45479</v>
      </c>
      <c r="C126" t="s">
        <v>977</v>
      </c>
      <c r="D126" t="s">
        <v>91</v>
      </c>
      <c r="E126" t="s">
        <v>103</v>
      </c>
      <c r="F126">
        <v>10</v>
      </c>
      <c r="G126">
        <v>820</v>
      </c>
      <c r="H126">
        <v>3.5</v>
      </c>
      <c r="I126">
        <v>7913</v>
      </c>
      <c r="J126" t="s">
        <v>87</v>
      </c>
      <c r="K126" t="s">
        <v>88</v>
      </c>
      <c r="L126" t="s">
        <v>88</v>
      </c>
      <c r="M126" t="s">
        <v>2795</v>
      </c>
      <c r="N126" t="s">
        <v>2855</v>
      </c>
      <c r="O126">
        <v>391</v>
      </c>
      <c r="P126">
        <v>820</v>
      </c>
    </row>
    <row r="127" spans="1:16" x14ac:dyDescent="0.3">
      <c r="A127" t="s">
        <v>1225</v>
      </c>
      <c r="B127" s="45">
        <v>45492</v>
      </c>
      <c r="C127" t="s">
        <v>336</v>
      </c>
      <c r="D127" t="s">
        <v>237</v>
      </c>
      <c r="E127" t="s">
        <v>343</v>
      </c>
      <c r="F127">
        <v>3</v>
      </c>
      <c r="G127">
        <v>3640</v>
      </c>
      <c r="H127">
        <v>23.3</v>
      </c>
      <c r="I127">
        <v>8375.64</v>
      </c>
      <c r="J127" t="s">
        <v>87</v>
      </c>
      <c r="K127" t="s">
        <v>112</v>
      </c>
      <c r="L127" t="s">
        <v>112</v>
      </c>
      <c r="M127" t="s">
        <v>2795</v>
      </c>
      <c r="N127" t="s">
        <v>2879</v>
      </c>
      <c r="O127">
        <v>2611</v>
      </c>
      <c r="P127">
        <v>3640</v>
      </c>
    </row>
    <row r="128" spans="1:16" x14ac:dyDescent="0.3">
      <c r="A128" t="s">
        <v>1229</v>
      </c>
      <c r="B128" s="45">
        <v>45611</v>
      </c>
      <c r="C128" t="s">
        <v>655</v>
      </c>
      <c r="D128" t="s">
        <v>237</v>
      </c>
      <c r="E128" t="s">
        <v>325</v>
      </c>
      <c r="F128">
        <v>4</v>
      </c>
      <c r="G128">
        <v>3640</v>
      </c>
      <c r="H128">
        <v>9.3000000000000007</v>
      </c>
      <c r="I128">
        <v>13205.92</v>
      </c>
      <c r="J128" t="s">
        <v>140</v>
      </c>
      <c r="K128" t="s">
        <v>133</v>
      </c>
      <c r="L128" t="s">
        <v>133</v>
      </c>
      <c r="M128" t="s">
        <v>2795</v>
      </c>
      <c r="N128" t="s">
        <v>2862</v>
      </c>
      <c r="O128">
        <v>2611</v>
      </c>
      <c r="P128">
        <v>3640</v>
      </c>
    </row>
    <row r="129" spans="1:16" x14ac:dyDescent="0.3">
      <c r="A129" t="s">
        <v>1230</v>
      </c>
      <c r="B129" s="45">
        <v>45579</v>
      </c>
      <c r="C129" t="s">
        <v>1231</v>
      </c>
      <c r="D129" t="s">
        <v>237</v>
      </c>
      <c r="E129" t="s">
        <v>128</v>
      </c>
      <c r="F129">
        <v>9</v>
      </c>
      <c r="G129">
        <v>3640</v>
      </c>
      <c r="H129">
        <v>13.1</v>
      </c>
      <c r="I129">
        <v>28468.44</v>
      </c>
      <c r="J129" t="s">
        <v>93</v>
      </c>
      <c r="K129" t="s">
        <v>88</v>
      </c>
      <c r="L129" t="s">
        <v>88</v>
      </c>
      <c r="M129" t="s">
        <v>2795</v>
      </c>
      <c r="N129" t="s">
        <v>2879</v>
      </c>
      <c r="O129">
        <v>2611</v>
      </c>
      <c r="P129">
        <v>3640</v>
      </c>
    </row>
    <row r="130" spans="1:16" x14ac:dyDescent="0.3">
      <c r="A130" t="s">
        <v>1233</v>
      </c>
      <c r="B130" s="45">
        <v>45471</v>
      </c>
      <c r="C130" t="s">
        <v>1234</v>
      </c>
      <c r="D130" t="s">
        <v>106</v>
      </c>
      <c r="E130" t="s">
        <v>297</v>
      </c>
      <c r="F130">
        <v>4</v>
      </c>
      <c r="G130">
        <v>3160</v>
      </c>
      <c r="H130">
        <v>7.5</v>
      </c>
      <c r="I130">
        <v>11692</v>
      </c>
      <c r="J130" t="s">
        <v>87</v>
      </c>
      <c r="K130" t="s">
        <v>112</v>
      </c>
      <c r="L130" t="s">
        <v>112</v>
      </c>
      <c r="M130" t="s">
        <v>2795</v>
      </c>
      <c r="N130" t="s">
        <v>2855</v>
      </c>
      <c r="O130">
        <v>1886</v>
      </c>
      <c r="P130">
        <v>3160</v>
      </c>
    </row>
    <row r="131" spans="1:16" x14ac:dyDescent="0.3">
      <c r="A131" t="s">
        <v>1242</v>
      </c>
      <c r="B131" s="45">
        <v>45347</v>
      </c>
      <c r="C131" t="s">
        <v>308</v>
      </c>
      <c r="D131" t="s">
        <v>355</v>
      </c>
      <c r="E131" t="s">
        <v>158</v>
      </c>
      <c r="F131">
        <v>7</v>
      </c>
      <c r="G131">
        <v>2510</v>
      </c>
      <c r="H131">
        <v>4.2</v>
      </c>
      <c r="I131">
        <v>16832.060000000001</v>
      </c>
      <c r="J131" t="s">
        <v>140</v>
      </c>
      <c r="K131" t="s">
        <v>88</v>
      </c>
      <c r="L131" t="s">
        <v>88</v>
      </c>
      <c r="M131" t="s">
        <v>2795</v>
      </c>
      <c r="N131" t="s">
        <v>2871</v>
      </c>
      <c r="O131">
        <v>1075</v>
      </c>
      <c r="P131">
        <v>2510</v>
      </c>
    </row>
    <row r="132" spans="1:16" x14ac:dyDescent="0.3">
      <c r="A132" t="s">
        <v>1253</v>
      </c>
      <c r="B132" s="45">
        <v>45625</v>
      </c>
      <c r="C132" t="s">
        <v>1051</v>
      </c>
      <c r="D132" t="s">
        <v>659</v>
      </c>
      <c r="E132" t="s">
        <v>303</v>
      </c>
      <c r="F132">
        <v>7</v>
      </c>
      <c r="G132">
        <v>3560</v>
      </c>
      <c r="H132">
        <v>28.7</v>
      </c>
      <c r="I132">
        <v>17767.96</v>
      </c>
      <c r="J132" t="s">
        <v>87</v>
      </c>
      <c r="K132" t="s">
        <v>112</v>
      </c>
      <c r="L132" t="s">
        <v>112</v>
      </c>
      <c r="M132" t="s">
        <v>2795</v>
      </c>
      <c r="N132" t="s">
        <v>2871</v>
      </c>
      <c r="O132">
        <v>2629</v>
      </c>
      <c r="P132">
        <v>3560</v>
      </c>
    </row>
    <row r="133" spans="1:16" x14ac:dyDescent="0.3">
      <c r="A133" t="s">
        <v>1257</v>
      </c>
      <c r="B133" s="45">
        <v>45364</v>
      </c>
      <c r="C133" t="s">
        <v>883</v>
      </c>
      <c r="D133" t="s">
        <v>452</v>
      </c>
      <c r="E133" t="s">
        <v>154</v>
      </c>
      <c r="F133">
        <v>7</v>
      </c>
      <c r="G133">
        <v>3450</v>
      </c>
      <c r="H133">
        <v>17.399999999999999</v>
      </c>
      <c r="I133">
        <v>19947.900000000001</v>
      </c>
      <c r="J133" t="s">
        <v>87</v>
      </c>
      <c r="K133" t="s">
        <v>133</v>
      </c>
      <c r="L133" t="s">
        <v>133</v>
      </c>
      <c r="M133" t="s">
        <v>2795</v>
      </c>
      <c r="N133" t="s">
        <v>2871</v>
      </c>
      <c r="O133">
        <v>1748</v>
      </c>
      <c r="P133">
        <v>3450</v>
      </c>
    </row>
    <row r="134" spans="1:16" x14ac:dyDescent="0.3">
      <c r="A134" t="s">
        <v>1259</v>
      </c>
      <c r="B134" s="45">
        <v>45599</v>
      </c>
      <c r="C134" t="s">
        <v>84</v>
      </c>
      <c r="D134" t="s">
        <v>106</v>
      </c>
      <c r="E134" t="s">
        <v>154</v>
      </c>
      <c r="F134">
        <v>3</v>
      </c>
      <c r="G134">
        <v>3160</v>
      </c>
      <c r="H134">
        <v>1.5</v>
      </c>
      <c r="I134">
        <v>9337.7999999999993</v>
      </c>
      <c r="J134" t="s">
        <v>93</v>
      </c>
      <c r="K134" t="s">
        <v>88</v>
      </c>
      <c r="L134" t="s">
        <v>88</v>
      </c>
      <c r="M134" t="s">
        <v>2795</v>
      </c>
      <c r="N134" t="s">
        <v>2871</v>
      </c>
      <c r="O134">
        <v>1886</v>
      </c>
      <c r="P134">
        <v>3160</v>
      </c>
    </row>
    <row r="135" spans="1:16" x14ac:dyDescent="0.3">
      <c r="A135" t="s">
        <v>1275</v>
      </c>
      <c r="B135" s="45">
        <v>45316</v>
      </c>
      <c r="C135" t="s">
        <v>362</v>
      </c>
      <c r="D135" t="s">
        <v>452</v>
      </c>
      <c r="E135" t="s">
        <v>343</v>
      </c>
      <c r="F135">
        <v>8</v>
      </c>
      <c r="G135">
        <v>3450</v>
      </c>
      <c r="H135">
        <v>5.4</v>
      </c>
      <c r="I135">
        <v>26109.599999999999</v>
      </c>
      <c r="J135" t="s">
        <v>87</v>
      </c>
      <c r="K135" t="s">
        <v>94</v>
      </c>
      <c r="L135" t="s">
        <v>94</v>
      </c>
      <c r="M135" t="s">
        <v>2795</v>
      </c>
      <c r="N135" t="s">
        <v>2879</v>
      </c>
      <c r="O135">
        <v>1748</v>
      </c>
      <c r="P135">
        <v>3450</v>
      </c>
    </row>
    <row r="136" spans="1:16" x14ac:dyDescent="0.3">
      <c r="A136" t="s">
        <v>1277</v>
      </c>
      <c r="B136" s="45">
        <v>45597</v>
      </c>
      <c r="C136" t="s">
        <v>219</v>
      </c>
      <c r="D136" t="s">
        <v>355</v>
      </c>
      <c r="E136" t="s">
        <v>273</v>
      </c>
      <c r="F136">
        <v>9</v>
      </c>
      <c r="G136">
        <v>2510</v>
      </c>
      <c r="H136">
        <v>27.4</v>
      </c>
      <c r="I136">
        <v>16400.34</v>
      </c>
      <c r="J136" t="s">
        <v>87</v>
      </c>
      <c r="K136" t="s">
        <v>99</v>
      </c>
      <c r="L136" t="s">
        <v>99</v>
      </c>
      <c r="M136" t="s">
        <v>2795</v>
      </c>
      <c r="N136" t="s">
        <v>2862</v>
      </c>
      <c r="O136">
        <v>1075</v>
      </c>
      <c r="P136">
        <v>2510</v>
      </c>
    </row>
    <row r="137" spans="1:16" x14ac:dyDescent="0.3">
      <c r="A137" t="s">
        <v>1279</v>
      </c>
      <c r="B137" s="45">
        <v>45401</v>
      </c>
      <c r="C137" t="s">
        <v>1051</v>
      </c>
      <c r="D137" t="s">
        <v>659</v>
      </c>
      <c r="E137" t="s">
        <v>154</v>
      </c>
      <c r="F137">
        <v>1</v>
      </c>
      <c r="G137">
        <v>3560</v>
      </c>
      <c r="H137">
        <v>26</v>
      </c>
      <c r="I137">
        <v>2634.4</v>
      </c>
      <c r="J137" t="s">
        <v>87</v>
      </c>
      <c r="K137" t="s">
        <v>112</v>
      </c>
      <c r="L137" t="s">
        <v>112</v>
      </c>
      <c r="M137" t="s">
        <v>2795</v>
      </c>
      <c r="N137" t="s">
        <v>2871</v>
      </c>
      <c r="O137">
        <v>2629</v>
      </c>
      <c r="P137">
        <v>3560</v>
      </c>
    </row>
    <row r="138" spans="1:16" x14ac:dyDescent="0.3">
      <c r="A138" t="s">
        <v>1284</v>
      </c>
      <c r="B138" s="45">
        <v>45633</v>
      </c>
      <c r="C138" t="s">
        <v>316</v>
      </c>
      <c r="D138" t="s">
        <v>173</v>
      </c>
      <c r="E138" t="s">
        <v>121</v>
      </c>
      <c r="F138">
        <v>10</v>
      </c>
      <c r="G138">
        <v>2720</v>
      </c>
      <c r="H138">
        <v>3</v>
      </c>
      <c r="I138">
        <v>26384</v>
      </c>
      <c r="J138" t="s">
        <v>93</v>
      </c>
      <c r="K138" t="s">
        <v>88</v>
      </c>
      <c r="L138" t="s">
        <v>88</v>
      </c>
      <c r="M138" t="s">
        <v>2795</v>
      </c>
      <c r="N138" t="s">
        <v>2871</v>
      </c>
      <c r="O138">
        <v>1962</v>
      </c>
      <c r="P138">
        <v>2720</v>
      </c>
    </row>
    <row r="139" spans="1:16" x14ac:dyDescent="0.3">
      <c r="A139" t="s">
        <v>1286</v>
      </c>
      <c r="B139" s="45">
        <v>45564</v>
      </c>
      <c r="C139" t="s">
        <v>442</v>
      </c>
      <c r="D139" t="s">
        <v>659</v>
      </c>
      <c r="E139" t="s">
        <v>325</v>
      </c>
      <c r="F139">
        <v>8</v>
      </c>
      <c r="G139">
        <v>3560</v>
      </c>
      <c r="H139">
        <v>21.7</v>
      </c>
      <c r="I139">
        <v>22299.84</v>
      </c>
      <c r="J139" t="s">
        <v>87</v>
      </c>
      <c r="K139" t="s">
        <v>88</v>
      </c>
      <c r="L139" t="s">
        <v>88</v>
      </c>
      <c r="M139" t="s">
        <v>2795</v>
      </c>
      <c r="N139" t="s">
        <v>2862</v>
      </c>
      <c r="O139">
        <v>2629</v>
      </c>
      <c r="P139">
        <v>3560</v>
      </c>
    </row>
    <row r="140" spans="1:16" x14ac:dyDescent="0.3">
      <c r="A140" t="s">
        <v>1293</v>
      </c>
      <c r="B140" s="45">
        <v>45490</v>
      </c>
      <c r="C140" t="s">
        <v>1294</v>
      </c>
      <c r="D140" t="s">
        <v>106</v>
      </c>
      <c r="E140" t="s">
        <v>201</v>
      </c>
      <c r="F140">
        <v>5</v>
      </c>
      <c r="G140">
        <v>3160</v>
      </c>
      <c r="H140">
        <v>25.6</v>
      </c>
      <c r="I140">
        <v>11755.2</v>
      </c>
      <c r="J140" t="s">
        <v>87</v>
      </c>
      <c r="K140" t="s">
        <v>94</v>
      </c>
      <c r="L140" t="s">
        <v>94</v>
      </c>
      <c r="M140" t="s">
        <v>2795</v>
      </c>
      <c r="N140" t="s">
        <v>2879</v>
      </c>
      <c r="O140">
        <v>1886</v>
      </c>
      <c r="P140">
        <v>3160</v>
      </c>
    </row>
    <row r="141" spans="1:16" x14ac:dyDescent="0.3">
      <c r="A141" t="s">
        <v>1305</v>
      </c>
      <c r="B141" s="45">
        <v>45522</v>
      </c>
      <c r="C141" t="s">
        <v>308</v>
      </c>
      <c r="D141" t="s">
        <v>292</v>
      </c>
      <c r="E141" t="s">
        <v>188</v>
      </c>
      <c r="F141">
        <v>9</v>
      </c>
      <c r="G141">
        <v>620</v>
      </c>
      <c r="H141">
        <v>20.399999999999999</v>
      </c>
      <c r="I141">
        <v>4441.68</v>
      </c>
      <c r="J141" t="s">
        <v>93</v>
      </c>
      <c r="K141" t="s">
        <v>88</v>
      </c>
      <c r="L141" t="s">
        <v>88</v>
      </c>
      <c r="M141" t="s">
        <v>2795</v>
      </c>
      <c r="N141" t="s">
        <v>2862</v>
      </c>
      <c r="O141">
        <v>396</v>
      </c>
      <c r="P141">
        <v>620</v>
      </c>
    </row>
    <row r="142" spans="1:16" x14ac:dyDescent="0.3">
      <c r="A142" t="s">
        <v>1328</v>
      </c>
      <c r="B142" s="45">
        <v>45324</v>
      </c>
      <c r="C142" t="s">
        <v>369</v>
      </c>
      <c r="D142" t="s">
        <v>659</v>
      </c>
      <c r="E142" t="s">
        <v>188</v>
      </c>
      <c r="F142">
        <v>5</v>
      </c>
      <c r="G142">
        <v>3560</v>
      </c>
      <c r="H142">
        <v>11.5</v>
      </c>
      <c r="I142">
        <v>15753</v>
      </c>
      <c r="J142" t="s">
        <v>87</v>
      </c>
      <c r="K142" t="s">
        <v>94</v>
      </c>
      <c r="L142" t="s">
        <v>94</v>
      </c>
      <c r="M142" t="s">
        <v>2795</v>
      </c>
      <c r="N142" t="s">
        <v>2862</v>
      </c>
      <c r="O142">
        <v>2629</v>
      </c>
      <c r="P142">
        <v>3560</v>
      </c>
    </row>
    <row r="143" spans="1:16" x14ac:dyDescent="0.3">
      <c r="A143" t="s">
        <v>1330</v>
      </c>
      <c r="B143" s="45">
        <v>45656</v>
      </c>
      <c r="C143" t="s">
        <v>921</v>
      </c>
      <c r="D143" t="s">
        <v>167</v>
      </c>
      <c r="E143" t="s">
        <v>103</v>
      </c>
      <c r="F143">
        <v>2</v>
      </c>
      <c r="G143">
        <v>2480</v>
      </c>
      <c r="H143">
        <v>27.2</v>
      </c>
      <c r="I143">
        <v>3610.88</v>
      </c>
      <c r="J143" t="s">
        <v>87</v>
      </c>
      <c r="K143" t="s">
        <v>117</v>
      </c>
      <c r="L143" t="s">
        <v>117</v>
      </c>
      <c r="M143" t="s">
        <v>2795</v>
      </c>
      <c r="N143" t="s">
        <v>2855</v>
      </c>
      <c r="O143">
        <v>1173</v>
      </c>
      <c r="P143">
        <v>2480</v>
      </c>
    </row>
    <row r="144" spans="1:16" x14ac:dyDescent="0.3">
      <c r="A144" t="s">
        <v>1331</v>
      </c>
      <c r="B144" s="45">
        <v>45350</v>
      </c>
      <c r="C144" t="s">
        <v>530</v>
      </c>
      <c r="D144" t="s">
        <v>91</v>
      </c>
      <c r="E144" t="s">
        <v>98</v>
      </c>
      <c r="F144">
        <v>6</v>
      </c>
      <c r="G144">
        <v>820</v>
      </c>
      <c r="H144">
        <v>6.6</v>
      </c>
      <c r="I144">
        <v>4595.28</v>
      </c>
      <c r="J144" t="s">
        <v>87</v>
      </c>
      <c r="K144" t="s">
        <v>99</v>
      </c>
      <c r="L144" t="s">
        <v>99</v>
      </c>
      <c r="M144" t="s">
        <v>2795</v>
      </c>
      <c r="N144" t="s">
        <v>2862</v>
      </c>
      <c r="O144">
        <v>391</v>
      </c>
      <c r="P144">
        <v>820</v>
      </c>
    </row>
    <row r="145" spans="1:16" x14ac:dyDescent="0.3">
      <c r="A145" t="s">
        <v>1335</v>
      </c>
      <c r="B145" s="45">
        <v>45623</v>
      </c>
      <c r="C145" t="s">
        <v>294</v>
      </c>
      <c r="D145" t="s">
        <v>452</v>
      </c>
      <c r="E145" t="s">
        <v>148</v>
      </c>
      <c r="F145">
        <v>5</v>
      </c>
      <c r="G145">
        <v>3450</v>
      </c>
      <c r="H145">
        <v>22.9</v>
      </c>
      <c r="I145">
        <v>13299.75</v>
      </c>
      <c r="J145" t="s">
        <v>87</v>
      </c>
      <c r="K145" t="s">
        <v>133</v>
      </c>
      <c r="L145" t="s">
        <v>133</v>
      </c>
      <c r="M145" t="s">
        <v>2795</v>
      </c>
      <c r="N145" t="s">
        <v>2855</v>
      </c>
      <c r="O145">
        <v>1748</v>
      </c>
      <c r="P145">
        <v>3450</v>
      </c>
    </row>
    <row r="146" spans="1:16" x14ac:dyDescent="0.3">
      <c r="A146" t="s">
        <v>1352</v>
      </c>
      <c r="B146" s="45">
        <v>45409</v>
      </c>
      <c r="C146" t="s">
        <v>744</v>
      </c>
      <c r="D146" t="s">
        <v>106</v>
      </c>
      <c r="E146" t="s">
        <v>201</v>
      </c>
      <c r="F146">
        <v>3</v>
      </c>
      <c r="G146">
        <v>3160</v>
      </c>
      <c r="H146">
        <v>19.8</v>
      </c>
      <c r="I146">
        <v>7602.96</v>
      </c>
      <c r="J146" t="s">
        <v>87</v>
      </c>
      <c r="K146" t="s">
        <v>133</v>
      </c>
      <c r="L146" t="s">
        <v>133</v>
      </c>
      <c r="M146" t="s">
        <v>2795</v>
      </c>
      <c r="N146" t="s">
        <v>2879</v>
      </c>
      <c r="O146">
        <v>1886</v>
      </c>
      <c r="P146">
        <v>3160</v>
      </c>
    </row>
    <row r="147" spans="1:16" x14ac:dyDescent="0.3">
      <c r="A147" t="s">
        <v>1355</v>
      </c>
      <c r="B147" s="45">
        <v>45397</v>
      </c>
      <c r="C147" t="s">
        <v>289</v>
      </c>
      <c r="D147" t="s">
        <v>85</v>
      </c>
      <c r="E147" t="s">
        <v>343</v>
      </c>
      <c r="F147">
        <v>7</v>
      </c>
      <c r="G147">
        <v>3620</v>
      </c>
      <c r="H147">
        <v>19.2</v>
      </c>
      <c r="I147">
        <v>20474.72</v>
      </c>
      <c r="J147" t="s">
        <v>87</v>
      </c>
      <c r="K147" t="s">
        <v>94</v>
      </c>
      <c r="L147" t="s">
        <v>94</v>
      </c>
      <c r="M147" t="s">
        <v>2795</v>
      </c>
      <c r="N147" t="s">
        <v>2879</v>
      </c>
      <c r="O147">
        <v>2509</v>
      </c>
      <c r="P147">
        <v>3620</v>
      </c>
    </row>
    <row r="148" spans="1:16" x14ac:dyDescent="0.3">
      <c r="A148" t="s">
        <v>1357</v>
      </c>
      <c r="B148" s="45">
        <v>45386</v>
      </c>
      <c r="C148" t="s">
        <v>1358</v>
      </c>
      <c r="D148" t="s">
        <v>173</v>
      </c>
      <c r="E148" t="s">
        <v>116</v>
      </c>
      <c r="F148">
        <v>5</v>
      </c>
      <c r="G148">
        <v>2720</v>
      </c>
      <c r="H148">
        <v>29.3</v>
      </c>
      <c r="I148">
        <v>9615.2000000000007</v>
      </c>
      <c r="J148" t="s">
        <v>87</v>
      </c>
      <c r="K148" t="s">
        <v>112</v>
      </c>
      <c r="L148" t="s">
        <v>112</v>
      </c>
      <c r="M148" t="s">
        <v>2795</v>
      </c>
      <c r="N148" t="s">
        <v>2879</v>
      </c>
      <c r="O148">
        <v>1962</v>
      </c>
      <c r="P148">
        <v>2720</v>
      </c>
    </row>
    <row r="149" spans="1:16" x14ac:dyDescent="0.3">
      <c r="A149" t="s">
        <v>1382</v>
      </c>
      <c r="B149" s="45">
        <v>45445</v>
      </c>
      <c r="C149" t="s">
        <v>331</v>
      </c>
      <c r="D149" t="s">
        <v>173</v>
      </c>
      <c r="E149" t="s">
        <v>252</v>
      </c>
      <c r="F149">
        <v>9</v>
      </c>
      <c r="G149">
        <v>2720</v>
      </c>
      <c r="H149">
        <v>21.4</v>
      </c>
      <c r="I149">
        <v>19241.28</v>
      </c>
      <c r="J149" t="s">
        <v>87</v>
      </c>
      <c r="K149" t="s">
        <v>117</v>
      </c>
      <c r="L149" t="s">
        <v>117</v>
      </c>
      <c r="M149" t="s">
        <v>2795</v>
      </c>
      <c r="N149" t="s">
        <v>2862</v>
      </c>
      <c r="O149">
        <v>1962</v>
      </c>
      <c r="P149">
        <v>2720</v>
      </c>
    </row>
    <row r="150" spans="1:16" x14ac:dyDescent="0.3">
      <c r="A150" t="s">
        <v>1386</v>
      </c>
      <c r="B150" s="45">
        <v>45615</v>
      </c>
      <c r="C150" t="s">
        <v>1308</v>
      </c>
      <c r="D150" t="s">
        <v>659</v>
      </c>
      <c r="E150" t="s">
        <v>343</v>
      </c>
      <c r="F150">
        <v>7</v>
      </c>
      <c r="G150">
        <v>3560</v>
      </c>
      <c r="H150">
        <v>11.1</v>
      </c>
      <c r="I150">
        <v>22153.88</v>
      </c>
      <c r="J150" t="s">
        <v>87</v>
      </c>
      <c r="K150" t="s">
        <v>94</v>
      </c>
      <c r="L150" t="s">
        <v>94</v>
      </c>
      <c r="M150" t="s">
        <v>2795</v>
      </c>
      <c r="N150" t="s">
        <v>2879</v>
      </c>
      <c r="O150">
        <v>2629</v>
      </c>
      <c r="P150">
        <v>3560</v>
      </c>
    </row>
    <row r="151" spans="1:16" x14ac:dyDescent="0.3">
      <c r="A151" t="s">
        <v>1391</v>
      </c>
      <c r="B151" s="45">
        <v>45633</v>
      </c>
      <c r="C151" t="s">
        <v>256</v>
      </c>
      <c r="D151" t="s">
        <v>85</v>
      </c>
      <c r="E151" t="s">
        <v>139</v>
      </c>
      <c r="F151">
        <v>4</v>
      </c>
      <c r="G151">
        <v>3620</v>
      </c>
      <c r="H151">
        <v>11.7</v>
      </c>
      <c r="I151">
        <v>12785.84</v>
      </c>
      <c r="J151" t="s">
        <v>87</v>
      </c>
      <c r="K151" t="s">
        <v>133</v>
      </c>
      <c r="L151" t="s">
        <v>133</v>
      </c>
      <c r="M151" t="s">
        <v>2795</v>
      </c>
      <c r="N151" t="s">
        <v>2855</v>
      </c>
      <c r="O151">
        <v>2509</v>
      </c>
      <c r="P151">
        <v>3620</v>
      </c>
    </row>
    <row r="152" spans="1:16" x14ac:dyDescent="0.3">
      <c r="A152" t="s">
        <v>1399</v>
      </c>
      <c r="B152" s="45">
        <v>45486</v>
      </c>
      <c r="C152" t="s">
        <v>781</v>
      </c>
      <c r="D152" t="s">
        <v>167</v>
      </c>
      <c r="E152" t="s">
        <v>192</v>
      </c>
      <c r="F152">
        <v>1</v>
      </c>
      <c r="G152">
        <v>2480</v>
      </c>
      <c r="H152">
        <v>5.8</v>
      </c>
      <c r="I152">
        <v>2336.16</v>
      </c>
      <c r="J152" t="s">
        <v>87</v>
      </c>
      <c r="K152" t="s">
        <v>99</v>
      </c>
      <c r="L152" t="s">
        <v>99</v>
      </c>
      <c r="M152" t="s">
        <v>2795</v>
      </c>
      <c r="N152" t="s">
        <v>2871</v>
      </c>
      <c r="O152">
        <v>1173</v>
      </c>
      <c r="P152">
        <v>2480</v>
      </c>
    </row>
    <row r="153" spans="1:16" x14ac:dyDescent="0.3">
      <c r="A153" t="s">
        <v>1405</v>
      </c>
      <c r="B153" s="45">
        <v>45579</v>
      </c>
      <c r="C153" t="s">
        <v>606</v>
      </c>
      <c r="D153" t="s">
        <v>452</v>
      </c>
      <c r="E153" t="s">
        <v>303</v>
      </c>
      <c r="F153">
        <v>4</v>
      </c>
      <c r="G153">
        <v>3450</v>
      </c>
      <c r="H153">
        <v>11.7</v>
      </c>
      <c r="I153">
        <v>12185.4</v>
      </c>
      <c r="J153" t="s">
        <v>140</v>
      </c>
      <c r="K153" t="s">
        <v>112</v>
      </c>
      <c r="L153" t="s">
        <v>112</v>
      </c>
      <c r="M153" t="s">
        <v>2795</v>
      </c>
      <c r="N153" t="s">
        <v>2871</v>
      </c>
      <c r="O153">
        <v>1748</v>
      </c>
      <c r="P153">
        <v>3450</v>
      </c>
    </row>
    <row r="154" spans="1:16" x14ac:dyDescent="0.3">
      <c r="A154" t="s">
        <v>1408</v>
      </c>
      <c r="B154" s="45">
        <v>45362</v>
      </c>
      <c r="C154" t="s">
        <v>289</v>
      </c>
      <c r="D154" t="s">
        <v>452</v>
      </c>
      <c r="E154" t="s">
        <v>98</v>
      </c>
      <c r="F154">
        <v>4</v>
      </c>
      <c r="G154">
        <v>3450</v>
      </c>
      <c r="H154">
        <v>3.9</v>
      </c>
      <c r="I154">
        <v>13261.8</v>
      </c>
      <c r="J154" t="s">
        <v>87</v>
      </c>
      <c r="K154" t="s">
        <v>94</v>
      </c>
      <c r="L154" t="s">
        <v>94</v>
      </c>
      <c r="M154" t="s">
        <v>2795</v>
      </c>
      <c r="N154" t="s">
        <v>2862</v>
      </c>
      <c r="O154">
        <v>1748</v>
      </c>
      <c r="P154">
        <v>3450</v>
      </c>
    </row>
    <row r="155" spans="1:16" x14ac:dyDescent="0.3">
      <c r="A155" t="s">
        <v>1422</v>
      </c>
      <c r="B155" s="45">
        <v>45541</v>
      </c>
      <c r="C155" t="s">
        <v>1038</v>
      </c>
      <c r="D155" t="s">
        <v>106</v>
      </c>
      <c r="E155" t="s">
        <v>103</v>
      </c>
      <c r="F155">
        <v>7</v>
      </c>
      <c r="G155">
        <v>3160</v>
      </c>
      <c r="H155">
        <v>2.4</v>
      </c>
      <c r="I155">
        <v>21589.119999999999</v>
      </c>
      <c r="J155" t="s">
        <v>144</v>
      </c>
      <c r="K155" t="s">
        <v>117</v>
      </c>
      <c r="L155" t="s">
        <v>117</v>
      </c>
      <c r="M155" t="s">
        <v>2795</v>
      </c>
      <c r="N155" t="s">
        <v>2855</v>
      </c>
      <c r="O155">
        <v>1886</v>
      </c>
      <c r="P155">
        <v>3160</v>
      </c>
    </row>
    <row r="156" spans="1:16" x14ac:dyDescent="0.3">
      <c r="A156" t="s">
        <v>1423</v>
      </c>
      <c r="B156" s="45">
        <v>45497</v>
      </c>
      <c r="C156" t="s">
        <v>757</v>
      </c>
      <c r="D156" t="s">
        <v>91</v>
      </c>
      <c r="E156" t="s">
        <v>116</v>
      </c>
      <c r="F156">
        <v>2</v>
      </c>
      <c r="G156">
        <v>820</v>
      </c>
      <c r="H156">
        <v>8.1</v>
      </c>
      <c r="I156">
        <v>1507.16</v>
      </c>
      <c r="J156" t="s">
        <v>87</v>
      </c>
      <c r="K156" t="s">
        <v>117</v>
      </c>
      <c r="L156" t="s">
        <v>117</v>
      </c>
      <c r="M156" t="s">
        <v>2795</v>
      </c>
      <c r="N156" t="s">
        <v>2879</v>
      </c>
      <c r="O156">
        <v>391</v>
      </c>
      <c r="P156">
        <v>820</v>
      </c>
    </row>
    <row r="157" spans="1:16" x14ac:dyDescent="0.3">
      <c r="A157" t="s">
        <v>1429</v>
      </c>
      <c r="B157" s="45">
        <v>45427</v>
      </c>
      <c r="C157" t="s">
        <v>454</v>
      </c>
      <c r="D157" t="s">
        <v>106</v>
      </c>
      <c r="E157" t="s">
        <v>252</v>
      </c>
      <c r="F157">
        <v>6</v>
      </c>
      <c r="G157">
        <v>3160</v>
      </c>
      <c r="H157">
        <v>25.8</v>
      </c>
      <c r="I157">
        <v>14068.32</v>
      </c>
      <c r="J157" t="s">
        <v>87</v>
      </c>
      <c r="K157" t="s">
        <v>133</v>
      </c>
      <c r="L157" t="s">
        <v>133</v>
      </c>
      <c r="M157" t="s">
        <v>2795</v>
      </c>
      <c r="N157" t="s">
        <v>2862</v>
      </c>
      <c r="O157">
        <v>1886</v>
      </c>
      <c r="P157">
        <v>3160</v>
      </c>
    </row>
    <row r="158" spans="1:16" x14ac:dyDescent="0.3">
      <c r="A158" t="s">
        <v>1437</v>
      </c>
      <c r="B158" s="45">
        <v>45495</v>
      </c>
      <c r="C158" t="s">
        <v>376</v>
      </c>
      <c r="D158" t="s">
        <v>85</v>
      </c>
      <c r="E158" t="s">
        <v>188</v>
      </c>
      <c r="F158">
        <v>5</v>
      </c>
      <c r="G158">
        <v>3620</v>
      </c>
      <c r="H158">
        <v>16.100000000000001</v>
      </c>
      <c r="I158">
        <v>15185.9</v>
      </c>
      <c r="J158" t="s">
        <v>87</v>
      </c>
      <c r="K158" t="s">
        <v>117</v>
      </c>
      <c r="L158" t="s">
        <v>117</v>
      </c>
      <c r="M158" t="s">
        <v>2795</v>
      </c>
      <c r="N158" t="s">
        <v>2862</v>
      </c>
      <c r="O158">
        <v>2509</v>
      </c>
      <c r="P158">
        <v>3620</v>
      </c>
    </row>
    <row r="159" spans="1:16" x14ac:dyDescent="0.3">
      <c r="A159" t="s">
        <v>1438</v>
      </c>
      <c r="B159" s="45">
        <v>45483</v>
      </c>
      <c r="C159" t="s">
        <v>109</v>
      </c>
      <c r="D159" t="s">
        <v>659</v>
      </c>
      <c r="E159" t="s">
        <v>273</v>
      </c>
      <c r="F159">
        <v>7</v>
      </c>
      <c r="G159">
        <v>3560</v>
      </c>
      <c r="H159">
        <v>8.5</v>
      </c>
      <c r="I159">
        <v>22801.8</v>
      </c>
      <c r="J159" t="s">
        <v>87</v>
      </c>
      <c r="K159" t="s">
        <v>112</v>
      </c>
      <c r="L159" t="s">
        <v>112</v>
      </c>
      <c r="M159" t="s">
        <v>2795</v>
      </c>
      <c r="N159" t="s">
        <v>2862</v>
      </c>
      <c r="O159">
        <v>2629</v>
      </c>
      <c r="P159">
        <v>3560</v>
      </c>
    </row>
    <row r="160" spans="1:16" x14ac:dyDescent="0.3">
      <c r="A160" t="s">
        <v>1449</v>
      </c>
      <c r="B160" s="45">
        <v>45612</v>
      </c>
      <c r="C160" t="s">
        <v>959</v>
      </c>
      <c r="D160" t="s">
        <v>167</v>
      </c>
      <c r="E160" t="s">
        <v>107</v>
      </c>
      <c r="F160">
        <v>9</v>
      </c>
      <c r="G160">
        <v>2480</v>
      </c>
      <c r="H160">
        <v>15.6</v>
      </c>
      <c r="I160">
        <v>18838.080000000002</v>
      </c>
      <c r="J160" t="s">
        <v>87</v>
      </c>
      <c r="K160" t="s">
        <v>112</v>
      </c>
      <c r="L160" t="s">
        <v>112</v>
      </c>
      <c r="M160" t="s">
        <v>2795</v>
      </c>
      <c r="N160" t="s">
        <v>2855</v>
      </c>
      <c r="O160">
        <v>1173</v>
      </c>
      <c r="P160">
        <v>2480</v>
      </c>
    </row>
    <row r="161" spans="1:16" x14ac:dyDescent="0.3">
      <c r="A161" t="s">
        <v>1463</v>
      </c>
      <c r="B161" s="45">
        <v>45399</v>
      </c>
      <c r="C161" t="s">
        <v>563</v>
      </c>
      <c r="D161" t="s">
        <v>452</v>
      </c>
      <c r="E161" t="s">
        <v>204</v>
      </c>
      <c r="F161">
        <v>7</v>
      </c>
      <c r="G161">
        <v>3450</v>
      </c>
      <c r="H161">
        <v>28.2</v>
      </c>
      <c r="I161">
        <v>17339.7</v>
      </c>
      <c r="J161" t="s">
        <v>87</v>
      </c>
      <c r="K161" t="s">
        <v>88</v>
      </c>
      <c r="L161" t="s">
        <v>88</v>
      </c>
      <c r="M161" t="s">
        <v>2795</v>
      </c>
      <c r="N161" t="s">
        <v>2862</v>
      </c>
      <c r="O161">
        <v>1748</v>
      </c>
      <c r="P161">
        <v>3450</v>
      </c>
    </row>
    <row r="162" spans="1:16" x14ac:dyDescent="0.3">
      <c r="A162" t="s">
        <v>1468</v>
      </c>
      <c r="B162" s="45">
        <v>45457</v>
      </c>
      <c r="C162" t="s">
        <v>559</v>
      </c>
      <c r="D162" t="s">
        <v>106</v>
      </c>
      <c r="E162" t="s">
        <v>252</v>
      </c>
      <c r="F162">
        <v>1</v>
      </c>
      <c r="G162">
        <v>3160</v>
      </c>
      <c r="H162">
        <v>29.8</v>
      </c>
      <c r="I162">
        <v>2218.3200000000002</v>
      </c>
      <c r="J162" t="s">
        <v>87</v>
      </c>
      <c r="K162" t="s">
        <v>88</v>
      </c>
      <c r="L162" t="s">
        <v>88</v>
      </c>
      <c r="M162" t="s">
        <v>2795</v>
      </c>
      <c r="N162" t="s">
        <v>2862</v>
      </c>
      <c r="O162">
        <v>1886</v>
      </c>
      <c r="P162">
        <v>3160</v>
      </c>
    </row>
    <row r="163" spans="1:16" x14ac:dyDescent="0.3">
      <c r="A163" t="s">
        <v>1475</v>
      </c>
      <c r="B163" s="45">
        <v>45356</v>
      </c>
      <c r="C163" t="s">
        <v>460</v>
      </c>
      <c r="D163" t="s">
        <v>355</v>
      </c>
      <c r="E163" t="s">
        <v>148</v>
      </c>
      <c r="F163">
        <v>1</v>
      </c>
      <c r="G163">
        <v>2510</v>
      </c>
      <c r="H163">
        <v>16.899999999999999</v>
      </c>
      <c r="I163">
        <v>2085.81</v>
      </c>
      <c r="J163" t="s">
        <v>87</v>
      </c>
      <c r="K163" t="s">
        <v>88</v>
      </c>
      <c r="L163" t="s">
        <v>88</v>
      </c>
      <c r="M163" t="s">
        <v>2795</v>
      </c>
      <c r="N163" t="s">
        <v>2855</v>
      </c>
      <c r="O163">
        <v>1075</v>
      </c>
      <c r="P163">
        <v>2510</v>
      </c>
    </row>
    <row r="164" spans="1:16" x14ac:dyDescent="0.3">
      <c r="A164" t="s">
        <v>1482</v>
      </c>
      <c r="B164" s="45">
        <v>45521</v>
      </c>
      <c r="C164" t="s">
        <v>539</v>
      </c>
      <c r="D164" t="s">
        <v>452</v>
      </c>
      <c r="E164" t="s">
        <v>116</v>
      </c>
      <c r="F164">
        <v>10</v>
      </c>
      <c r="G164">
        <v>3450</v>
      </c>
      <c r="H164">
        <v>18.5</v>
      </c>
      <c r="I164">
        <v>28117.5</v>
      </c>
      <c r="J164" t="s">
        <v>87</v>
      </c>
      <c r="K164" t="s">
        <v>133</v>
      </c>
      <c r="L164" t="s">
        <v>133</v>
      </c>
      <c r="M164" t="s">
        <v>2795</v>
      </c>
      <c r="N164" t="s">
        <v>2879</v>
      </c>
      <c r="O164">
        <v>1748</v>
      </c>
      <c r="P164">
        <v>3450</v>
      </c>
    </row>
    <row r="165" spans="1:16" x14ac:dyDescent="0.3">
      <c r="A165" t="s">
        <v>1483</v>
      </c>
      <c r="B165" s="45">
        <v>45500</v>
      </c>
      <c r="C165" t="s">
        <v>278</v>
      </c>
      <c r="D165" t="s">
        <v>106</v>
      </c>
      <c r="E165" t="s">
        <v>297</v>
      </c>
      <c r="F165">
        <v>10</v>
      </c>
      <c r="G165">
        <v>3160</v>
      </c>
      <c r="H165">
        <v>26.3</v>
      </c>
      <c r="I165">
        <v>23289.200000000001</v>
      </c>
      <c r="J165" t="s">
        <v>87</v>
      </c>
      <c r="K165" t="s">
        <v>133</v>
      </c>
      <c r="L165" t="s">
        <v>133</v>
      </c>
      <c r="M165" t="s">
        <v>2795</v>
      </c>
      <c r="N165" t="s">
        <v>2855</v>
      </c>
      <c r="O165">
        <v>1886</v>
      </c>
      <c r="P165">
        <v>3160</v>
      </c>
    </row>
    <row r="166" spans="1:16" x14ac:dyDescent="0.3">
      <c r="A166" t="s">
        <v>1489</v>
      </c>
      <c r="B166" s="45">
        <v>45630</v>
      </c>
      <c r="C166" t="s">
        <v>1361</v>
      </c>
      <c r="D166" t="s">
        <v>237</v>
      </c>
      <c r="E166" t="s">
        <v>215</v>
      </c>
      <c r="F166">
        <v>3</v>
      </c>
      <c r="G166">
        <v>3640</v>
      </c>
      <c r="H166">
        <v>18.2</v>
      </c>
      <c r="I166">
        <v>8932.56</v>
      </c>
      <c r="J166" t="s">
        <v>87</v>
      </c>
      <c r="K166" t="s">
        <v>94</v>
      </c>
      <c r="L166" t="s">
        <v>94</v>
      </c>
      <c r="M166" t="s">
        <v>2795</v>
      </c>
      <c r="N166" t="s">
        <v>2855</v>
      </c>
      <c r="O166">
        <v>2611</v>
      </c>
      <c r="P166">
        <v>3640</v>
      </c>
    </row>
    <row r="167" spans="1:16" x14ac:dyDescent="0.3">
      <c r="A167" t="s">
        <v>1490</v>
      </c>
      <c r="B167" s="45">
        <v>45405</v>
      </c>
      <c r="C167" t="s">
        <v>206</v>
      </c>
      <c r="D167" t="s">
        <v>173</v>
      </c>
      <c r="E167" t="s">
        <v>303</v>
      </c>
      <c r="F167">
        <v>3</v>
      </c>
      <c r="G167">
        <v>2720</v>
      </c>
      <c r="H167">
        <v>3.6</v>
      </c>
      <c r="I167">
        <v>7866.24</v>
      </c>
      <c r="J167" t="s">
        <v>87</v>
      </c>
      <c r="K167" t="s">
        <v>133</v>
      </c>
      <c r="L167" t="s">
        <v>133</v>
      </c>
      <c r="M167" t="s">
        <v>2795</v>
      </c>
      <c r="N167" t="s">
        <v>2871</v>
      </c>
      <c r="O167">
        <v>1962</v>
      </c>
      <c r="P167">
        <v>2720</v>
      </c>
    </row>
    <row r="168" spans="1:16" x14ac:dyDescent="0.3">
      <c r="A168" t="s">
        <v>1515</v>
      </c>
      <c r="B168" s="45">
        <v>45542</v>
      </c>
      <c r="C168" t="s">
        <v>1191</v>
      </c>
      <c r="D168" t="s">
        <v>292</v>
      </c>
      <c r="E168" t="s">
        <v>303</v>
      </c>
      <c r="F168">
        <v>7</v>
      </c>
      <c r="G168">
        <v>620</v>
      </c>
      <c r="H168">
        <v>29</v>
      </c>
      <c r="I168">
        <v>3081.4</v>
      </c>
      <c r="J168" t="s">
        <v>87</v>
      </c>
      <c r="K168" t="s">
        <v>117</v>
      </c>
      <c r="L168" t="s">
        <v>117</v>
      </c>
      <c r="M168" t="s">
        <v>2795</v>
      </c>
      <c r="N168" t="s">
        <v>2871</v>
      </c>
      <c r="O168">
        <v>396</v>
      </c>
      <c r="P168">
        <v>620</v>
      </c>
    </row>
    <row r="169" spans="1:16" x14ac:dyDescent="0.3">
      <c r="A169" t="s">
        <v>1517</v>
      </c>
      <c r="B169" s="45">
        <v>45351</v>
      </c>
      <c r="C169" t="s">
        <v>1000</v>
      </c>
      <c r="D169" t="s">
        <v>106</v>
      </c>
      <c r="E169" t="s">
        <v>86</v>
      </c>
      <c r="F169">
        <v>8</v>
      </c>
      <c r="G169">
        <v>3160</v>
      </c>
      <c r="H169">
        <v>23.8</v>
      </c>
      <c r="I169">
        <v>19263.36</v>
      </c>
      <c r="J169" t="s">
        <v>87</v>
      </c>
      <c r="K169" t="s">
        <v>117</v>
      </c>
      <c r="L169" t="s">
        <v>117</v>
      </c>
      <c r="M169" t="s">
        <v>2795</v>
      </c>
      <c r="N169" t="s">
        <v>2855</v>
      </c>
      <c r="O169">
        <v>1886</v>
      </c>
      <c r="P169">
        <v>3160</v>
      </c>
    </row>
    <row r="170" spans="1:16" x14ac:dyDescent="0.3">
      <c r="A170" t="s">
        <v>1526</v>
      </c>
      <c r="B170" s="45">
        <v>45404</v>
      </c>
      <c r="C170" t="s">
        <v>420</v>
      </c>
      <c r="D170" t="s">
        <v>173</v>
      </c>
      <c r="E170" t="s">
        <v>201</v>
      </c>
      <c r="F170">
        <v>6</v>
      </c>
      <c r="G170">
        <v>2720</v>
      </c>
      <c r="H170">
        <v>29.8</v>
      </c>
      <c r="I170">
        <v>11456.64</v>
      </c>
      <c r="J170" t="s">
        <v>93</v>
      </c>
      <c r="K170" t="s">
        <v>99</v>
      </c>
      <c r="L170" t="s">
        <v>99</v>
      </c>
      <c r="M170" t="s">
        <v>2795</v>
      </c>
      <c r="N170" t="s">
        <v>2879</v>
      </c>
      <c r="O170">
        <v>1962</v>
      </c>
      <c r="P170">
        <v>2720</v>
      </c>
    </row>
    <row r="171" spans="1:16" x14ac:dyDescent="0.3">
      <c r="A171" t="s">
        <v>1533</v>
      </c>
      <c r="B171" s="45">
        <v>45488</v>
      </c>
      <c r="C171" t="s">
        <v>1534</v>
      </c>
      <c r="D171" t="s">
        <v>85</v>
      </c>
      <c r="E171" t="s">
        <v>346</v>
      </c>
      <c r="F171">
        <v>6</v>
      </c>
      <c r="G171">
        <v>3620</v>
      </c>
      <c r="H171">
        <v>21.3</v>
      </c>
      <c r="I171">
        <v>17093.64</v>
      </c>
      <c r="J171" t="s">
        <v>140</v>
      </c>
      <c r="K171" t="s">
        <v>133</v>
      </c>
      <c r="L171" t="s">
        <v>133</v>
      </c>
      <c r="M171" t="s">
        <v>2795</v>
      </c>
      <c r="N171" t="s">
        <v>2862</v>
      </c>
      <c r="O171">
        <v>2509</v>
      </c>
      <c r="P171">
        <v>3620</v>
      </c>
    </row>
    <row r="172" spans="1:16" x14ac:dyDescent="0.3">
      <c r="A172" t="s">
        <v>1547</v>
      </c>
      <c r="B172" s="45">
        <v>45617</v>
      </c>
      <c r="C172" t="s">
        <v>429</v>
      </c>
      <c r="D172" t="s">
        <v>237</v>
      </c>
      <c r="E172" t="s">
        <v>98</v>
      </c>
      <c r="F172">
        <v>1</v>
      </c>
      <c r="G172">
        <v>3640</v>
      </c>
      <c r="H172">
        <v>8.8000000000000007</v>
      </c>
      <c r="I172">
        <v>3319.68</v>
      </c>
      <c r="J172" t="s">
        <v>87</v>
      </c>
      <c r="K172" t="s">
        <v>117</v>
      </c>
      <c r="L172" t="s">
        <v>117</v>
      </c>
      <c r="M172" t="s">
        <v>2795</v>
      </c>
      <c r="N172" t="s">
        <v>2862</v>
      </c>
      <c r="O172">
        <v>2611</v>
      </c>
      <c r="P172">
        <v>3640</v>
      </c>
    </row>
    <row r="173" spans="1:16" x14ac:dyDescent="0.3">
      <c r="A173" t="s">
        <v>1554</v>
      </c>
      <c r="B173" s="45">
        <v>45515</v>
      </c>
      <c r="C173" t="s">
        <v>223</v>
      </c>
      <c r="D173" t="s">
        <v>85</v>
      </c>
      <c r="E173" t="s">
        <v>132</v>
      </c>
      <c r="F173">
        <v>3</v>
      </c>
      <c r="G173">
        <v>3620</v>
      </c>
      <c r="H173">
        <v>3.1</v>
      </c>
      <c r="I173">
        <v>10523.34</v>
      </c>
      <c r="J173" t="s">
        <v>87</v>
      </c>
      <c r="K173" t="s">
        <v>99</v>
      </c>
      <c r="L173" t="s">
        <v>99</v>
      </c>
      <c r="M173" t="s">
        <v>2795</v>
      </c>
      <c r="N173" t="s">
        <v>2862</v>
      </c>
      <c r="O173">
        <v>2509</v>
      </c>
      <c r="P173">
        <v>3620</v>
      </c>
    </row>
    <row r="174" spans="1:16" x14ac:dyDescent="0.3">
      <c r="A174" t="s">
        <v>1572</v>
      </c>
      <c r="B174" s="45">
        <v>45328</v>
      </c>
      <c r="C174" t="s">
        <v>635</v>
      </c>
      <c r="D174" t="s">
        <v>173</v>
      </c>
      <c r="E174" t="s">
        <v>116</v>
      </c>
      <c r="F174">
        <v>1</v>
      </c>
      <c r="G174">
        <v>2720</v>
      </c>
      <c r="H174">
        <v>15.2</v>
      </c>
      <c r="I174">
        <v>2306.56</v>
      </c>
      <c r="J174" t="s">
        <v>87</v>
      </c>
      <c r="K174" t="s">
        <v>99</v>
      </c>
      <c r="L174" t="s">
        <v>99</v>
      </c>
      <c r="M174" t="s">
        <v>2795</v>
      </c>
      <c r="N174" t="s">
        <v>2879</v>
      </c>
      <c r="O174">
        <v>1962</v>
      </c>
      <c r="P174">
        <v>2720</v>
      </c>
    </row>
    <row r="175" spans="1:16" x14ac:dyDescent="0.3">
      <c r="A175" t="s">
        <v>1574</v>
      </c>
      <c r="B175" s="45">
        <v>45332</v>
      </c>
      <c r="C175" t="s">
        <v>1575</v>
      </c>
      <c r="D175" t="s">
        <v>452</v>
      </c>
      <c r="E175" t="s">
        <v>121</v>
      </c>
      <c r="F175">
        <v>8</v>
      </c>
      <c r="G175">
        <v>3450</v>
      </c>
      <c r="H175">
        <v>20.6</v>
      </c>
      <c r="I175">
        <v>21914.400000000001</v>
      </c>
      <c r="J175" t="s">
        <v>87</v>
      </c>
      <c r="K175" t="s">
        <v>133</v>
      </c>
      <c r="L175" t="s">
        <v>133</v>
      </c>
      <c r="M175" t="s">
        <v>2795</v>
      </c>
      <c r="N175" t="s">
        <v>2871</v>
      </c>
      <c r="O175">
        <v>1748</v>
      </c>
      <c r="P175">
        <v>3450</v>
      </c>
    </row>
    <row r="176" spans="1:16" x14ac:dyDescent="0.3">
      <c r="A176" t="s">
        <v>1593</v>
      </c>
      <c r="B176" s="45">
        <v>45541</v>
      </c>
      <c r="C176" t="s">
        <v>615</v>
      </c>
      <c r="D176" t="s">
        <v>355</v>
      </c>
      <c r="E176" t="s">
        <v>154</v>
      </c>
      <c r="F176">
        <v>2</v>
      </c>
      <c r="G176">
        <v>2510</v>
      </c>
      <c r="H176">
        <v>10.6</v>
      </c>
      <c r="I176">
        <v>4487.88</v>
      </c>
      <c r="J176" t="s">
        <v>87</v>
      </c>
      <c r="K176" t="s">
        <v>112</v>
      </c>
      <c r="L176" t="s">
        <v>112</v>
      </c>
      <c r="M176" t="s">
        <v>2795</v>
      </c>
      <c r="N176" t="s">
        <v>2871</v>
      </c>
      <c r="O176">
        <v>1075</v>
      </c>
      <c r="P176">
        <v>2510</v>
      </c>
    </row>
    <row r="177" spans="1:16" x14ac:dyDescent="0.3">
      <c r="A177" t="s">
        <v>1596</v>
      </c>
      <c r="B177" s="45">
        <v>45379</v>
      </c>
      <c r="C177" t="s">
        <v>676</v>
      </c>
      <c r="D177" t="s">
        <v>355</v>
      </c>
      <c r="E177" t="s">
        <v>86</v>
      </c>
      <c r="F177">
        <v>3</v>
      </c>
      <c r="G177">
        <v>2510</v>
      </c>
      <c r="H177">
        <v>24.9</v>
      </c>
      <c r="I177">
        <v>5655.03</v>
      </c>
      <c r="J177" t="s">
        <v>140</v>
      </c>
      <c r="K177" t="s">
        <v>88</v>
      </c>
      <c r="L177" t="s">
        <v>88</v>
      </c>
      <c r="M177" t="s">
        <v>2795</v>
      </c>
      <c r="N177" t="s">
        <v>2855</v>
      </c>
      <c r="O177">
        <v>1075</v>
      </c>
      <c r="P177">
        <v>2510</v>
      </c>
    </row>
    <row r="178" spans="1:16" x14ac:dyDescent="0.3">
      <c r="A178" t="s">
        <v>1600</v>
      </c>
      <c r="B178" s="45">
        <v>45546</v>
      </c>
      <c r="C178" t="s">
        <v>420</v>
      </c>
      <c r="D178" t="s">
        <v>237</v>
      </c>
      <c r="E178" t="s">
        <v>92</v>
      </c>
      <c r="F178">
        <v>4</v>
      </c>
      <c r="G178">
        <v>3640</v>
      </c>
      <c r="H178">
        <v>0.6</v>
      </c>
      <c r="I178">
        <v>14472.64</v>
      </c>
      <c r="J178" t="s">
        <v>87</v>
      </c>
      <c r="K178" t="s">
        <v>99</v>
      </c>
      <c r="L178" t="s">
        <v>99</v>
      </c>
      <c r="M178" t="s">
        <v>2795</v>
      </c>
      <c r="N178" t="s">
        <v>2855</v>
      </c>
      <c r="O178">
        <v>2611</v>
      </c>
      <c r="P178">
        <v>3640</v>
      </c>
    </row>
    <row r="179" spans="1:16" x14ac:dyDescent="0.3">
      <c r="A179" t="s">
        <v>1604</v>
      </c>
      <c r="B179" s="45">
        <v>45545</v>
      </c>
      <c r="C179" t="s">
        <v>186</v>
      </c>
      <c r="D179" t="s">
        <v>173</v>
      </c>
      <c r="E179" t="s">
        <v>303</v>
      </c>
      <c r="F179">
        <v>5</v>
      </c>
      <c r="G179">
        <v>2720</v>
      </c>
      <c r="H179">
        <v>21.4</v>
      </c>
      <c r="I179">
        <v>10689.6</v>
      </c>
      <c r="J179" t="s">
        <v>87</v>
      </c>
      <c r="K179" t="s">
        <v>94</v>
      </c>
      <c r="L179" t="s">
        <v>94</v>
      </c>
      <c r="M179" t="s">
        <v>2795</v>
      </c>
      <c r="N179" t="s">
        <v>2871</v>
      </c>
      <c r="O179">
        <v>1962</v>
      </c>
      <c r="P179">
        <v>2720</v>
      </c>
    </row>
    <row r="180" spans="1:16" x14ac:dyDescent="0.3">
      <c r="A180" t="s">
        <v>1605</v>
      </c>
      <c r="B180" s="45">
        <v>45445</v>
      </c>
      <c r="C180" t="s">
        <v>269</v>
      </c>
      <c r="D180" t="s">
        <v>91</v>
      </c>
      <c r="E180" t="s">
        <v>103</v>
      </c>
      <c r="F180">
        <v>5</v>
      </c>
      <c r="G180">
        <v>820</v>
      </c>
      <c r="H180">
        <v>28.6</v>
      </c>
      <c r="I180">
        <v>2927.4</v>
      </c>
      <c r="J180" t="s">
        <v>87</v>
      </c>
      <c r="K180" t="s">
        <v>112</v>
      </c>
      <c r="L180" t="s">
        <v>112</v>
      </c>
      <c r="M180" t="s">
        <v>2795</v>
      </c>
      <c r="N180" t="s">
        <v>2855</v>
      </c>
      <c r="O180">
        <v>391</v>
      </c>
      <c r="P180">
        <v>820</v>
      </c>
    </row>
    <row r="181" spans="1:16" x14ac:dyDescent="0.3">
      <c r="A181" t="s">
        <v>1631</v>
      </c>
      <c r="B181" s="45">
        <v>45440</v>
      </c>
      <c r="C181" t="s">
        <v>1121</v>
      </c>
      <c r="D181" t="s">
        <v>173</v>
      </c>
      <c r="E181" t="s">
        <v>252</v>
      </c>
      <c r="F181">
        <v>4</v>
      </c>
      <c r="G181">
        <v>2720</v>
      </c>
      <c r="H181">
        <v>12.7</v>
      </c>
      <c r="I181">
        <v>9498.24</v>
      </c>
      <c r="J181" t="s">
        <v>87</v>
      </c>
      <c r="K181" t="s">
        <v>112</v>
      </c>
      <c r="L181" t="s">
        <v>112</v>
      </c>
      <c r="M181" t="s">
        <v>2795</v>
      </c>
      <c r="N181" t="s">
        <v>2862</v>
      </c>
      <c r="O181">
        <v>1962</v>
      </c>
      <c r="P181">
        <v>2720</v>
      </c>
    </row>
    <row r="182" spans="1:16" x14ac:dyDescent="0.3">
      <c r="A182" t="s">
        <v>1632</v>
      </c>
      <c r="B182" s="45">
        <v>45412</v>
      </c>
      <c r="C182" t="s">
        <v>275</v>
      </c>
      <c r="D182" t="s">
        <v>292</v>
      </c>
      <c r="E182" t="s">
        <v>158</v>
      </c>
      <c r="F182">
        <v>3</v>
      </c>
      <c r="G182">
        <v>620</v>
      </c>
      <c r="H182">
        <v>5.5</v>
      </c>
      <c r="I182">
        <v>1757.7</v>
      </c>
      <c r="J182" t="s">
        <v>87</v>
      </c>
      <c r="K182" t="s">
        <v>88</v>
      </c>
      <c r="L182" t="s">
        <v>88</v>
      </c>
      <c r="M182" t="s">
        <v>2795</v>
      </c>
      <c r="N182" t="s">
        <v>2871</v>
      </c>
      <c r="O182">
        <v>396</v>
      </c>
      <c r="P182">
        <v>620</v>
      </c>
    </row>
    <row r="183" spans="1:16" x14ac:dyDescent="0.3">
      <c r="A183" t="s">
        <v>1635</v>
      </c>
      <c r="B183" s="45">
        <v>45313</v>
      </c>
      <c r="C183" t="s">
        <v>725</v>
      </c>
      <c r="D183" t="s">
        <v>173</v>
      </c>
      <c r="E183" t="s">
        <v>303</v>
      </c>
      <c r="F183">
        <v>8</v>
      </c>
      <c r="G183">
        <v>2720</v>
      </c>
      <c r="H183">
        <v>1.7</v>
      </c>
      <c r="I183">
        <v>21390.080000000002</v>
      </c>
      <c r="J183" t="s">
        <v>87</v>
      </c>
      <c r="K183" t="s">
        <v>99</v>
      </c>
      <c r="L183" t="s">
        <v>99</v>
      </c>
      <c r="M183" t="s">
        <v>2795</v>
      </c>
      <c r="N183" t="s">
        <v>2871</v>
      </c>
      <c r="O183">
        <v>1962</v>
      </c>
      <c r="P183">
        <v>2720</v>
      </c>
    </row>
    <row r="184" spans="1:16" x14ac:dyDescent="0.3">
      <c r="A184" t="s">
        <v>1653</v>
      </c>
      <c r="B184" s="45">
        <v>45375</v>
      </c>
      <c r="C184" t="s">
        <v>797</v>
      </c>
      <c r="D184" t="s">
        <v>173</v>
      </c>
      <c r="E184" t="s">
        <v>107</v>
      </c>
      <c r="F184">
        <v>5</v>
      </c>
      <c r="G184">
        <v>2720</v>
      </c>
      <c r="H184">
        <v>1.8</v>
      </c>
      <c r="I184">
        <v>13355.2</v>
      </c>
      <c r="J184" t="s">
        <v>140</v>
      </c>
      <c r="K184" t="s">
        <v>99</v>
      </c>
      <c r="L184" t="s">
        <v>99</v>
      </c>
      <c r="M184" t="s">
        <v>2795</v>
      </c>
      <c r="N184" t="s">
        <v>2855</v>
      </c>
      <c r="O184">
        <v>1962</v>
      </c>
      <c r="P184">
        <v>2720</v>
      </c>
    </row>
    <row r="185" spans="1:16" x14ac:dyDescent="0.3">
      <c r="A185" t="s">
        <v>1665</v>
      </c>
      <c r="B185" s="45">
        <v>45656</v>
      </c>
      <c r="C185" t="s">
        <v>580</v>
      </c>
      <c r="D185" t="s">
        <v>85</v>
      </c>
      <c r="E185" t="s">
        <v>103</v>
      </c>
      <c r="F185">
        <v>6</v>
      </c>
      <c r="G185">
        <v>3620</v>
      </c>
      <c r="H185">
        <v>20.2</v>
      </c>
      <c r="I185">
        <v>17332.560000000001</v>
      </c>
      <c r="J185" t="s">
        <v>87</v>
      </c>
      <c r="K185" t="s">
        <v>88</v>
      </c>
      <c r="L185" t="s">
        <v>88</v>
      </c>
      <c r="M185" t="s">
        <v>2795</v>
      </c>
      <c r="N185" t="s">
        <v>2862</v>
      </c>
      <c r="O185">
        <v>2509</v>
      </c>
      <c r="P185">
        <v>3620</v>
      </c>
    </row>
    <row r="186" spans="1:16" x14ac:dyDescent="0.3">
      <c r="A186" t="s">
        <v>1673</v>
      </c>
      <c r="B186" s="45">
        <v>45518</v>
      </c>
      <c r="C186" t="s">
        <v>684</v>
      </c>
      <c r="D186" t="s">
        <v>292</v>
      </c>
      <c r="E186" t="s">
        <v>148</v>
      </c>
      <c r="F186">
        <v>1</v>
      </c>
      <c r="G186">
        <v>620</v>
      </c>
      <c r="H186">
        <v>1.1000000000000001</v>
      </c>
      <c r="I186">
        <v>613.17999999999995</v>
      </c>
      <c r="J186" t="s">
        <v>140</v>
      </c>
      <c r="K186" t="s">
        <v>99</v>
      </c>
      <c r="L186" t="s">
        <v>99</v>
      </c>
      <c r="M186" t="s">
        <v>2795</v>
      </c>
      <c r="N186" t="s">
        <v>2879</v>
      </c>
      <c r="O186">
        <v>396</v>
      </c>
      <c r="P186">
        <v>620</v>
      </c>
    </row>
    <row r="187" spans="1:16" x14ac:dyDescent="0.3">
      <c r="A187" t="s">
        <v>1682</v>
      </c>
      <c r="B187" s="45">
        <v>45394</v>
      </c>
      <c r="C187" t="s">
        <v>371</v>
      </c>
      <c r="D187" t="s">
        <v>452</v>
      </c>
      <c r="E187" t="s">
        <v>121</v>
      </c>
      <c r="F187">
        <v>9</v>
      </c>
      <c r="G187">
        <v>3450</v>
      </c>
      <c r="H187">
        <v>23.7</v>
      </c>
      <c r="I187">
        <v>23691.15</v>
      </c>
      <c r="J187" t="s">
        <v>87</v>
      </c>
      <c r="K187" t="s">
        <v>112</v>
      </c>
      <c r="L187" t="s">
        <v>112</v>
      </c>
      <c r="M187" t="s">
        <v>2795</v>
      </c>
      <c r="N187" t="s">
        <v>2879</v>
      </c>
      <c r="O187">
        <v>1748</v>
      </c>
      <c r="P187">
        <v>3450</v>
      </c>
    </row>
    <row r="188" spans="1:16" x14ac:dyDescent="0.3">
      <c r="A188" t="s">
        <v>1683</v>
      </c>
      <c r="B188" s="45">
        <v>45335</v>
      </c>
      <c r="C188" t="s">
        <v>759</v>
      </c>
      <c r="D188" t="s">
        <v>167</v>
      </c>
      <c r="E188" t="s">
        <v>273</v>
      </c>
      <c r="F188">
        <v>5</v>
      </c>
      <c r="G188">
        <v>2480</v>
      </c>
      <c r="H188">
        <v>20.399999999999999</v>
      </c>
      <c r="I188">
        <v>9870.4</v>
      </c>
      <c r="J188" t="s">
        <v>87</v>
      </c>
      <c r="K188" t="s">
        <v>117</v>
      </c>
      <c r="L188" t="s">
        <v>117</v>
      </c>
      <c r="M188" t="s">
        <v>2795</v>
      </c>
      <c r="N188" t="s">
        <v>2879</v>
      </c>
      <c r="O188">
        <v>1173</v>
      </c>
      <c r="P188">
        <v>2480</v>
      </c>
    </row>
    <row r="189" spans="1:16" x14ac:dyDescent="0.3">
      <c r="A189" t="s">
        <v>1686</v>
      </c>
      <c r="B189" s="45">
        <v>45400</v>
      </c>
      <c r="C189" t="s">
        <v>510</v>
      </c>
      <c r="D189" t="s">
        <v>355</v>
      </c>
      <c r="E189" t="s">
        <v>128</v>
      </c>
      <c r="F189">
        <v>7</v>
      </c>
      <c r="G189">
        <v>2510</v>
      </c>
      <c r="H189">
        <v>25.5</v>
      </c>
      <c r="I189">
        <v>13089.65</v>
      </c>
      <c r="J189" t="s">
        <v>87</v>
      </c>
      <c r="K189" t="s">
        <v>117</v>
      </c>
      <c r="L189" t="s">
        <v>117</v>
      </c>
      <c r="M189" t="s">
        <v>2795</v>
      </c>
      <c r="N189" t="s">
        <v>2871</v>
      </c>
      <c r="O189">
        <v>1075</v>
      </c>
      <c r="P189">
        <v>2510</v>
      </c>
    </row>
    <row r="190" spans="1:16" x14ac:dyDescent="0.3">
      <c r="A190" t="s">
        <v>1697</v>
      </c>
      <c r="B190" s="45">
        <v>45296</v>
      </c>
      <c r="C190" t="s">
        <v>956</v>
      </c>
      <c r="D190" t="s">
        <v>659</v>
      </c>
      <c r="E190" t="s">
        <v>325</v>
      </c>
      <c r="F190">
        <v>9</v>
      </c>
      <c r="G190">
        <v>3560</v>
      </c>
      <c r="H190">
        <v>15.9</v>
      </c>
      <c r="I190">
        <v>26945.64</v>
      </c>
      <c r="J190" t="s">
        <v>87</v>
      </c>
      <c r="K190" t="s">
        <v>112</v>
      </c>
      <c r="L190" t="s">
        <v>112</v>
      </c>
      <c r="M190" t="s">
        <v>2795</v>
      </c>
      <c r="N190" t="s">
        <v>2862</v>
      </c>
      <c r="O190">
        <v>2629</v>
      </c>
      <c r="P190">
        <v>3560</v>
      </c>
    </row>
    <row r="191" spans="1:16" x14ac:dyDescent="0.3">
      <c r="A191" t="s">
        <v>1700</v>
      </c>
      <c r="B191" s="45">
        <v>45498</v>
      </c>
      <c r="C191" t="s">
        <v>318</v>
      </c>
      <c r="D191" t="s">
        <v>167</v>
      </c>
      <c r="E191" t="s">
        <v>111</v>
      </c>
      <c r="F191">
        <v>9</v>
      </c>
      <c r="G191">
        <v>2480</v>
      </c>
      <c r="H191">
        <v>1.2</v>
      </c>
      <c r="I191">
        <v>22052.16</v>
      </c>
      <c r="J191" t="s">
        <v>87</v>
      </c>
      <c r="K191" t="s">
        <v>94</v>
      </c>
      <c r="L191" t="s">
        <v>94</v>
      </c>
      <c r="M191" t="s">
        <v>2795</v>
      </c>
      <c r="N191" t="s">
        <v>2871</v>
      </c>
      <c r="O191">
        <v>1173</v>
      </c>
      <c r="P191">
        <v>2480</v>
      </c>
    </row>
    <row r="192" spans="1:16" x14ac:dyDescent="0.3">
      <c r="A192" t="s">
        <v>1702</v>
      </c>
      <c r="B192" s="45">
        <v>45382</v>
      </c>
      <c r="C192" t="s">
        <v>528</v>
      </c>
      <c r="D192" t="s">
        <v>452</v>
      </c>
      <c r="E192" t="s">
        <v>273</v>
      </c>
      <c r="F192">
        <v>3</v>
      </c>
      <c r="G192">
        <v>3450</v>
      </c>
      <c r="H192">
        <v>29.5</v>
      </c>
      <c r="I192">
        <v>7296.75</v>
      </c>
      <c r="J192" t="s">
        <v>87</v>
      </c>
      <c r="K192" t="s">
        <v>112</v>
      </c>
      <c r="L192" t="s">
        <v>112</v>
      </c>
      <c r="M192" t="s">
        <v>2795</v>
      </c>
      <c r="N192" t="s">
        <v>2862</v>
      </c>
      <c r="O192">
        <v>1748</v>
      </c>
      <c r="P192">
        <v>3450</v>
      </c>
    </row>
    <row r="193" spans="1:16" x14ac:dyDescent="0.3">
      <c r="A193" t="s">
        <v>1707</v>
      </c>
      <c r="B193" s="45">
        <v>45532</v>
      </c>
      <c r="C193" t="s">
        <v>130</v>
      </c>
      <c r="D193" t="s">
        <v>167</v>
      </c>
      <c r="E193" t="s">
        <v>116</v>
      </c>
      <c r="F193">
        <v>3</v>
      </c>
      <c r="G193">
        <v>2480</v>
      </c>
      <c r="H193">
        <v>3.7</v>
      </c>
      <c r="I193">
        <v>7164.72</v>
      </c>
      <c r="J193" t="s">
        <v>87</v>
      </c>
      <c r="K193" t="s">
        <v>133</v>
      </c>
      <c r="L193" t="s">
        <v>133</v>
      </c>
      <c r="M193" t="s">
        <v>2795</v>
      </c>
      <c r="N193" t="s">
        <v>2871</v>
      </c>
      <c r="O193">
        <v>1173</v>
      </c>
      <c r="P193">
        <v>2480</v>
      </c>
    </row>
    <row r="194" spans="1:16" x14ac:dyDescent="0.3">
      <c r="A194" t="s">
        <v>1715</v>
      </c>
      <c r="B194" s="45">
        <v>45422</v>
      </c>
      <c r="C194" t="s">
        <v>90</v>
      </c>
      <c r="D194" t="s">
        <v>106</v>
      </c>
      <c r="E194" t="s">
        <v>229</v>
      </c>
      <c r="F194">
        <v>5</v>
      </c>
      <c r="G194">
        <v>3160</v>
      </c>
      <c r="H194">
        <v>13.4</v>
      </c>
      <c r="I194">
        <v>13682.8</v>
      </c>
      <c r="J194" t="s">
        <v>93</v>
      </c>
      <c r="K194" t="s">
        <v>94</v>
      </c>
      <c r="L194" t="s">
        <v>94</v>
      </c>
      <c r="M194" t="s">
        <v>2795</v>
      </c>
      <c r="N194" t="s">
        <v>2855</v>
      </c>
      <c r="O194">
        <v>1886</v>
      </c>
      <c r="P194">
        <v>3160</v>
      </c>
    </row>
    <row r="195" spans="1:16" x14ac:dyDescent="0.3">
      <c r="A195" t="s">
        <v>1728</v>
      </c>
      <c r="B195" s="45">
        <v>45481</v>
      </c>
      <c r="C195" t="s">
        <v>305</v>
      </c>
      <c r="D195" t="s">
        <v>85</v>
      </c>
      <c r="E195" t="s">
        <v>285</v>
      </c>
      <c r="F195">
        <v>7</v>
      </c>
      <c r="G195">
        <v>3620</v>
      </c>
      <c r="H195">
        <v>5.4</v>
      </c>
      <c r="I195">
        <v>23971.64</v>
      </c>
      <c r="J195" t="s">
        <v>87</v>
      </c>
      <c r="K195" t="s">
        <v>133</v>
      </c>
      <c r="L195" t="s">
        <v>133</v>
      </c>
      <c r="M195" t="s">
        <v>2795</v>
      </c>
      <c r="N195" t="s">
        <v>2871</v>
      </c>
      <c r="O195">
        <v>2509</v>
      </c>
      <c r="P195">
        <v>3620</v>
      </c>
    </row>
    <row r="196" spans="1:16" x14ac:dyDescent="0.3">
      <c r="A196" t="s">
        <v>1731</v>
      </c>
      <c r="B196" s="45">
        <v>45472</v>
      </c>
      <c r="C196" t="s">
        <v>959</v>
      </c>
      <c r="D196" t="s">
        <v>167</v>
      </c>
      <c r="E196" t="s">
        <v>285</v>
      </c>
      <c r="F196">
        <v>9</v>
      </c>
      <c r="G196">
        <v>2480</v>
      </c>
      <c r="H196">
        <v>14.7</v>
      </c>
      <c r="I196">
        <v>19038.96</v>
      </c>
      <c r="J196" t="s">
        <v>87</v>
      </c>
      <c r="K196" t="s">
        <v>112</v>
      </c>
      <c r="L196" t="s">
        <v>112</v>
      </c>
      <c r="M196" t="s">
        <v>2795</v>
      </c>
      <c r="N196" t="s">
        <v>2855</v>
      </c>
      <c r="O196">
        <v>1173</v>
      </c>
      <c r="P196">
        <v>2480</v>
      </c>
    </row>
    <row r="197" spans="1:16" x14ac:dyDescent="0.3">
      <c r="A197" t="s">
        <v>1738</v>
      </c>
      <c r="B197" s="45">
        <v>45476</v>
      </c>
      <c r="C197" t="s">
        <v>392</v>
      </c>
      <c r="D197" t="s">
        <v>292</v>
      </c>
      <c r="E197" t="s">
        <v>111</v>
      </c>
      <c r="F197">
        <v>2</v>
      </c>
      <c r="G197">
        <v>620</v>
      </c>
      <c r="H197">
        <v>3.3</v>
      </c>
      <c r="I197">
        <v>1199.08</v>
      </c>
      <c r="J197" t="s">
        <v>87</v>
      </c>
      <c r="K197" t="s">
        <v>112</v>
      </c>
      <c r="L197" t="s">
        <v>112</v>
      </c>
      <c r="M197" t="s">
        <v>2795</v>
      </c>
      <c r="N197" t="s">
        <v>2871</v>
      </c>
      <c r="O197">
        <v>396</v>
      </c>
      <c r="P197">
        <v>620</v>
      </c>
    </row>
    <row r="198" spans="1:16" x14ac:dyDescent="0.3">
      <c r="A198" t="s">
        <v>1771</v>
      </c>
      <c r="B198" s="45">
        <v>45421</v>
      </c>
      <c r="C198" t="s">
        <v>945</v>
      </c>
      <c r="D198" t="s">
        <v>91</v>
      </c>
      <c r="E198" t="s">
        <v>252</v>
      </c>
      <c r="F198">
        <v>5</v>
      </c>
      <c r="G198">
        <v>820</v>
      </c>
      <c r="H198">
        <v>0.5</v>
      </c>
      <c r="I198">
        <v>4079.5</v>
      </c>
      <c r="J198" t="s">
        <v>87</v>
      </c>
      <c r="K198" t="s">
        <v>88</v>
      </c>
      <c r="L198" t="s">
        <v>88</v>
      </c>
      <c r="M198" t="s">
        <v>2795</v>
      </c>
      <c r="N198" t="s">
        <v>2879</v>
      </c>
      <c r="O198">
        <v>391</v>
      </c>
      <c r="P198">
        <v>820</v>
      </c>
    </row>
    <row r="199" spans="1:16" x14ac:dyDescent="0.3">
      <c r="A199" t="s">
        <v>1789</v>
      </c>
      <c r="B199" s="45">
        <v>45588</v>
      </c>
      <c r="C199" t="s">
        <v>197</v>
      </c>
      <c r="D199" t="s">
        <v>85</v>
      </c>
      <c r="E199" t="s">
        <v>188</v>
      </c>
      <c r="F199">
        <v>8</v>
      </c>
      <c r="G199">
        <v>3620</v>
      </c>
      <c r="H199">
        <v>1.4</v>
      </c>
      <c r="I199">
        <v>28554.560000000001</v>
      </c>
      <c r="J199" t="s">
        <v>87</v>
      </c>
      <c r="K199" t="s">
        <v>88</v>
      </c>
      <c r="L199" t="s">
        <v>88</v>
      </c>
      <c r="M199" t="s">
        <v>2795</v>
      </c>
      <c r="N199" t="s">
        <v>2855</v>
      </c>
      <c r="O199">
        <v>2509</v>
      </c>
      <c r="P199">
        <v>3620</v>
      </c>
    </row>
    <row r="200" spans="1:16" x14ac:dyDescent="0.3">
      <c r="A200" t="s">
        <v>1795</v>
      </c>
      <c r="B200" s="45">
        <v>45587</v>
      </c>
      <c r="C200" t="s">
        <v>163</v>
      </c>
      <c r="D200" t="s">
        <v>452</v>
      </c>
      <c r="E200" t="s">
        <v>121</v>
      </c>
      <c r="F200">
        <v>7</v>
      </c>
      <c r="G200">
        <v>3450</v>
      </c>
      <c r="H200">
        <v>29.3</v>
      </c>
      <c r="I200">
        <v>17074.05</v>
      </c>
      <c r="J200" t="s">
        <v>87</v>
      </c>
      <c r="K200" t="s">
        <v>94</v>
      </c>
      <c r="L200" t="s">
        <v>94</v>
      </c>
      <c r="M200" t="s">
        <v>2795</v>
      </c>
      <c r="N200" t="s">
        <v>2871</v>
      </c>
      <c r="O200">
        <v>1748</v>
      </c>
      <c r="P200">
        <v>3450</v>
      </c>
    </row>
    <row r="201" spans="1:16" x14ac:dyDescent="0.3">
      <c r="A201" t="s">
        <v>1796</v>
      </c>
      <c r="B201" s="45">
        <v>45538</v>
      </c>
      <c r="C201" t="s">
        <v>617</v>
      </c>
      <c r="D201" t="s">
        <v>659</v>
      </c>
      <c r="E201" t="s">
        <v>252</v>
      </c>
      <c r="F201">
        <v>6</v>
      </c>
      <c r="G201">
        <v>3560</v>
      </c>
      <c r="H201">
        <v>9.4</v>
      </c>
      <c r="I201">
        <v>19352.16</v>
      </c>
      <c r="J201" t="s">
        <v>93</v>
      </c>
      <c r="K201" t="s">
        <v>112</v>
      </c>
      <c r="L201" t="s">
        <v>112</v>
      </c>
      <c r="M201" t="s">
        <v>2795</v>
      </c>
      <c r="N201" t="s">
        <v>2862</v>
      </c>
      <c r="O201">
        <v>2629</v>
      </c>
      <c r="P201">
        <v>3560</v>
      </c>
    </row>
    <row r="202" spans="1:16" x14ac:dyDescent="0.3">
      <c r="A202" t="s">
        <v>1799</v>
      </c>
      <c r="B202" s="45">
        <v>45466</v>
      </c>
      <c r="C202" t="s">
        <v>802</v>
      </c>
      <c r="D202" t="s">
        <v>237</v>
      </c>
      <c r="E202" t="s">
        <v>103</v>
      </c>
      <c r="F202">
        <v>3</v>
      </c>
      <c r="G202">
        <v>3640</v>
      </c>
      <c r="H202">
        <v>12.3</v>
      </c>
      <c r="I202">
        <v>9576.84</v>
      </c>
      <c r="J202" t="s">
        <v>93</v>
      </c>
      <c r="K202" t="s">
        <v>94</v>
      </c>
      <c r="L202" t="s">
        <v>94</v>
      </c>
      <c r="M202" t="s">
        <v>2795</v>
      </c>
      <c r="N202" t="s">
        <v>2871</v>
      </c>
      <c r="O202">
        <v>2611</v>
      </c>
      <c r="P202">
        <v>3640</v>
      </c>
    </row>
    <row r="203" spans="1:16" x14ac:dyDescent="0.3">
      <c r="A203" t="s">
        <v>1804</v>
      </c>
      <c r="B203" s="45">
        <v>45454</v>
      </c>
      <c r="C203" t="s">
        <v>178</v>
      </c>
      <c r="D203" t="s">
        <v>237</v>
      </c>
      <c r="E203" t="s">
        <v>116</v>
      </c>
      <c r="F203">
        <v>9</v>
      </c>
      <c r="G203">
        <v>3640</v>
      </c>
      <c r="H203">
        <v>20.100000000000001</v>
      </c>
      <c r="I203">
        <v>26175.24</v>
      </c>
      <c r="J203" t="s">
        <v>87</v>
      </c>
      <c r="K203" t="s">
        <v>94</v>
      </c>
      <c r="L203" t="s">
        <v>94</v>
      </c>
      <c r="M203" t="s">
        <v>2795</v>
      </c>
      <c r="N203" t="s">
        <v>2862</v>
      </c>
      <c r="O203">
        <v>2611</v>
      </c>
      <c r="P203">
        <v>3640</v>
      </c>
    </row>
    <row r="204" spans="1:16" x14ac:dyDescent="0.3">
      <c r="A204" t="s">
        <v>1805</v>
      </c>
      <c r="B204" s="45">
        <v>45565</v>
      </c>
      <c r="C204" t="s">
        <v>606</v>
      </c>
      <c r="D204" t="s">
        <v>91</v>
      </c>
      <c r="E204" t="s">
        <v>285</v>
      </c>
      <c r="F204">
        <v>4</v>
      </c>
      <c r="G204">
        <v>820</v>
      </c>
      <c r="H204">
        <v>7.6</v>
      </c>
      <c r="I204">
        <v>3030.72</v>
      </c>
      <c r="J204" t="s">
        <v>87</v>
      </c>
      <c r="K204" t="s">
        <v>112</v>
      </c>
      <c r="L204" t="s">
        <v>112</v>
      </c>
      <c r="M204" t="s">
        <v>2795</v>
      </c>
      <c r="N204" t="s">
        <v>2855</v>
      </c>
      <c r="O204">
        <v>391</v>
      </c>
      <c r="P204">
        <v>820</v>
      </c>
    </row>
    <row r="205" spans="1:16" x14ac:dyDescent="0.3">
      <c r="A205" t="s">
        <v>1807</v>
      </c>
      <c r="B205" s="45">
        <v>45318</v>
      </c>
      <c r="C205" t="s">
        <v>130</v>
      </c>
      <c r="D205" t="s">
        <v>659</v>
      </c>
      <c r="E205" t="s">
        <v>121</v>
      </c>
      <c r="F205">
        <v>5</v>
      </c>
      <c r="G205">
        <v>3560</v>
      </c>
      <c r="H205">
        <v>10.5</v>
      </c>
      <c r="I205">
        <v>15931</v>
      </c>
      <c r="J205" t="s">
        <v>87</v>
      </c>
      <c r="K205" t="s">
        <v>133</v>
      </c>
      <c r="L205" t="s">
        <v>133</v>
      </c>
      <c r="M205" t="s">
        <v>2795</v>
      </c>
      <c r="N205" t="s">
        <v>2871</v>
      </c>
      <c r="O205">
        <v>2629</v>
      </c>
      <c r="P205">
        <v>3560</v>
      </c>
    </row>
    <row r="206" spans="1:16" x14ac:dyDescent="0.3">
      <c r="A206" t="s">
        <v>1815</v>
      </c>
      <c r="B206" s="45">
        <v>45536</v>
      </c>
      <c r="C206" t="s">
        <v>1816</v>
      </c>
      <c r="D206" t="s">
        <v>292</v>
      </c>
      <c r="E206" t="s">
        <v>86</v>
      </c>
      <c r="F206">
        <v>1</v>
      </c>
      <c r="G206">
        <v>620</v>
      </c>
      <c r="H206">
        <v>22.3</v>
      </c>
      <c r="I206">
        <v>481.74</v>
      </c>
      <c r="J206" t="s">
        <v>93</v>
      </c>
      <c r="K206" t="s">
        <v>99</v>
      </c>
      <c r="L206" t="s">
        <v>99</v>
      </c>
      <c r="M206" t="s">
        <v>2795</v>
      </c>
      <c r="N206" t="s">
        <v>2855</v>
      </c>
      <c r="O206">
        <v>396</v>
      </c>
      <c r="P206">
        <v>620</v>
      </c>
    </row>
    <row r="207" spans="1:16" x14ac:dyDescent="0.3">
      <c r="A207" t="s">
        <v>1820</v>
      </c>
      <c r="B207" s="45">
        <v>45416</v>
      </c>
      <c r="C207" t="s">
        <v>175</v>
      </c>
      <c r="D207" t="s">
        <v>106</v>
      </c>
      <c r="E207" t="s">
        <v>343</v>
      </c>
      <c r="F207">
        <v>2</v>
      </c>
      <c r="G207">
        <v>3160</v>
      </c>
      <c r="H207">
        <v>21.4</v>
      </c>
      <c r="I207">
        <v>4967.5200000000004</v>
      </c>
      <c r="J207" t="s">
        <v>87</v>
      </c>
      <c r="K207" t="s">
        <v>133</v>
      </c>
      <c r="L207" t="s">
        <v>133</v>
      </c>
      <c r="M207" t="s">
        <v>2795</v>
      </c>
      <c r="N207" t="s">
        <v>2871</v>
      </c>
      <c r="O207">
        <v>1886</v>
      </c>
      <c r="P207">
        <v>3160</v>
      </c>
    </row>
    <row r="208" spans="1:16" x14ac:dyDescent="0.3">
      <c r="A208" t="s">
        <v>1829</v>
      </c>
      <c r="B208" s="45">
        <v>45566</v>
      </c>
      <c r="C208" t="s">
        <v>717</v>
      </c>
      <c r="D208" t="s">
        <v>237</v>
      </c>
      <c r="E208" t="s">
        <v>303</v>
      </c>
      <c r="F208">
        <v>7</v>
      </c>
      <c r="G208">
        <v>3640</v>
      </c>
      <c r="H208">
        <v>25.5</v>
      </c>
      <c r="I208">
        <v>18982.599999999999</v>
      </c>
      <c r="J208" t="s">
        <v>87</v>
      </c>
      <c r="K208" t="s">
        <v>94</v>
      </c>
      <c r="L208" t="s">
        <v>94</v>
      </c>
      <c r="M208" t="s">
        <v>2795</v>
      </c>
      <c r="N208" t="s">
        <v>2862</v>
      </c>
      <c r="O208">
        <v>2611</v>
      </c>
      <c r="P208">
        <v>3640</v>
      </c>
    </row>
    <row r="209" spans="1:16" x14ac:dyDescent="0.3">
      <c r="A209" t="s">
        <v>1834</v>
      </c>
      <c r="B209" s="45">
        <v>45437</v>
      </c>
      <c r="C209" t="s">
        <v>114</v>
      </c>
      <c r="D209" t="s">
        <v>106</v>
      </c>
      <c r="E209" t="s">
        <v>346</v>
      </c>
      <c r="F209">
        <v>5</v>
      </c>
      <c r="G209">
        <v>3160</v>
      </c>
      <c r="H209">
        <v>24.1</v>
      </c>
      <c r="I209">
        <v>11992.2</v>
      </c>
      <c r="J209" t="s">
        <v>87</v>
      </c>
      <c r="K209" t="s">
        <v>117</v>
      </c>
      <c r="L209" t="s">
        <v>117</v>
      </c>
      <c r="M209" t="s">
        <v>2795</v>
      </c>
      <c r="N209" t="s">
        <v>2855</v>
      </c>
      <c r="O209">
        <v>1886</v>
      </c>
      <c r="P209">
        <v>3160</v>
      </c>
    </row>
    <row r="210" spans="1:16" x14ac:dyDescent="0.3">
      <c r="A210" t="s">
        <v>1838</v>
      </c>
      <c r="B210" s="45">
        <v>45327</v>
      </c>
      <c r="C210" t="s">
        <v>1361</v>
      </c>
      <c r="D210" t="s">
        <v>659</v>
      </c>
      <c r="E210" t="s">
        <v>303</v>
      </c>
      <c r="F210">
        <v>4</v>
      </c>
      <c r="G210">
        <v>3560</v>
      </c>
      <c r="H210">
        <v>25.7</v>
      </c>
      <c r="I210">
        <v>10580.32</v>
      </c>
      <c r="J210" t="s">
        <v>87</v>
      </c>
      <c r="K210" t="s">
        <v>94</v>
      </c>
      <c r="L210" t="s">
        <v>94</v>
      </c>
      <c r="M210" t="s">
        <v>2795</v>
      </c>
      <c r="N210" t="s">
        <v>2871</v>
      </c>
      <c r="O210">
        <v>2629</v>
      </c>
      <c r="P210">
        <v>3560</v>
      </c>
    </row>
    <row r="211" spans="1:16" x14ac:dyDescent="0.3">
      <c r="A211" t="s">
        <v>1841</v>
      </c>
      <c r="B211" s="45">
        <v>45399</v>
      </c>
      <c r="C211" t="s">
        <v>837</v>
      </c>
      <c r="D211" t="s">
        <v>173</v>
      </c>
      <c r="E211" t="s">
        <v>229</v>
      </c>
      <c r="F211">
        <v>4</v>
      </c>
      <c r="G211">
        <v>2720</v>
      </c>
      <c r="H211">
        <v>3.1</v>
      </c>
      <c r="I211">
        <v>10542.72</v>
      </c>
      <c r="J211" t="s">
        <v>87</v>
      </c>
      <c r="K211" t="s">
        <v>117</v>
      </c>
      <c r="L211" t="s">
        <v>117</v>
      </c>
      <c r="M211" t="s">
        <v>2795</v>
      </c>
      <c r="N211" t="s">
        <v>2879</v>
      </c>
      <c r="O211">
        <v>1962</v>
      </c>
      <c r="P211">
        <v>2720</v>
      </c>
    </row>
    <row r="212" spans="1:16" x14ac:dyDescent="0.3">
      <c r="A212" t="s">
        <v>1846</v>
      </c>
      <c r="B212" s="45">
        <v>45500</v>
      </c>
      <c r="C212" t="s">
        <v>378</v>
      </c>
      <c r="D212" t="s">
        <v>355</v>
      </c>
      <c r="E212" t="s">
        <v>107</v>
      </c>
      <c r="F212">
        <v>3</v>
      </c>
      <c r="G212">
        <v>2510</v>
      </c>
      <c r="H212">
        <v>16.399999999999999</v>
      </c>
      <c r="I212">
        <v>6295.08</v>
      </c>
      <c r="J212" t="s">
        <v>87</v>
      </c>
      <c r="K212" t="s">
        <v>94</v>
      </c>
      <c r="L212" t="s">
        <v>94</v>
      </c>
      <c r="M212" t="s">
        <v>2795</v>
      </c>
      <c r="N212" t="s">
        <v>2879</v>
      </c>
      <c r="O212">
        <v>1075</v>
      </c>
      <c r="P212">
        <v>2510</v>
      </c>
    </row>
    <row r="213" spans="1:16" x14ac:dyDescent="0.3">
      <c r="A213" t="s">
        <v>1849</v>
      </c>
      <c r="B213" s="45">
        <v>45546</v>
      </c>
      <c r="C213" t="s">
        <v>952</v>
      </c>
      <c r="D213" t="s">
        <v>452</v>
      </c>
      <c r="E213" t="s">
        <v>201</v>
      </c>
      <c r="F213">
        <v>1</v>
      </c>
      <c r="G213">
        <v>3450</v>
      </c>
      <c r="H213">
        <v>17.8</v>
      </c>
      <c r="I213">
        <v>2835.9</v>
      </c>
      <c r="J213" t="s">
        <v>87</v>
      </c>
      <c r="K213" t="s">
        <v>133</v>
      </c>
      <c r="L213" t="s">
        <v>133</v>
      </c>
      <c r="M213" t="s">
        <v>2795</v>
      </c>
      <c r="N213" t="s">
        <v>2855</v>
      </c>
      <c r="O213">
        <v>1748</v>
      </c>
      <c r="P213">
        <v>3450</v>
      </c>
    </row>
    <row r="214" spans="1:16" x14ac:dyDescent="0.3">
      <c r="A214" t="s">
        <v>1852</v>
      </c>
      <c r="B214" s="45">
        <v>45532</v>
      </c>
      <c r="C214" t="s">
        <v>413</v>
      </c>
      <c r="D214" t="s">
        <v>659</v>
      </c>
      <c r="E214" t="s">
        <v>154</v>
      </c>
      <c r="F214">
        <v>1</v>
      </c>
      <c r="G214">
        <v>3560</v>
      </c>
      <c r="H214">
        <v>12.9</v>
      </c>
      <c r="I214">
        <v>3100.76</v>
      </c>
      <c r="J214" t="s">
        <v>87</v>
      </c>
      <c r="K214" t="s">
        <v>88</v>
      </c>
      <c r="L214" t="s">
        <v>88</v>
      </c>
      <c r="M214" t="s">
        <v>2795</v>
      </c>
      <c r="N214" t="s">
        <v>2871</v>
      </c>
      <c r="O214">
        <v>2629</v>
      </c>
      <c r="P214">
        <v>3560</v>
      </c>
    </row>
    <row r="215" spans="1:16" x14ac:dyDescent="0.3">
      <c r="A215" t="s">
        <v>1854</v>
      </c>
      <c r="B215" s="45">
        <v>45545</v>
      </c>
      <c r="C215" t="s">
        <v>101</v>
      </c>
      <c r="D215" t="s">
        <v>173</v>
      </c>
      <c r="E215" t="s">
        <v>192</v>
      </c>
      <c r="F215">
        <v>10</v>
      </c>
      <c r="G215">
        <v>2720</v>
      </c>
      <c r="H215">
        <v>23.2</v>
      </c>
      <c r="I215">
        <v>20889.599999999999</v>
      </c>
      <c r="J215" t="s">
        <v>87</v>
      </c>
      <c r="K215" t="s">
        <v>99</v>
      </c>
      <c r="L215" t="s">
        <v>99</v>
      </c>
      <c r="M215" t="s">
        <v>2795</v>
      </c>
      <c r="N215" t="s">
        <v>2871</v>
      </c>
      <c r="O215">
        <v>1962</v>
      </c>
      <c r="P215">
        <v>2720</v>
      </c>
    </row>
    <row r="216" spans="1:16" x14ac:dyDescent="0.3">
      <c r="A216" t="s">
        <v>1858</v>
      </c>
      <c r="B216" s="45">
        <v>45560</v>
      </c>
      <c r="C216" t="s">
        <v>101</v>
      </c>
      <c r="D216" t="s">
        <v>659</v>
      </c>
      <c r="E216" t="s">
        <v>325</v>
      </c>
      <c r="F216">
        <v>9</v>
      </c>
      <c r="G216">
        <v>3560</v>
      </c>
      <c r="H216">
        <v>6.6</v>
      </c>
      <c r="I216">
        <v>29925.360000000001</v>
      </c>
      <c r="J216" t="s">
        <v>144</v>
      </c>
      <c r="K216" t="s">
        <v>99</v>
      </c>
      <c r="L216" t="s">
        <v>99</v>
      </c>
      <c r="M216" t="s">
        <v>2795</v>
      </c>
      <c r="N216" t="s">
        <v>2862</v>
      </c>
      <c r="O216">
        <v>2629</v>
      </c>
      <c r="P216">
        <v>3560</v>
      </c>
    </row>
    <row r="217" spans="1:16" x14ac:dyDescent="0.3">
      <c r="A217" t="s">
        <v>1866</v>
      </c>
      <c r="B217" s="45">
        <v>45303</v>
      </c>
      <c r="C217" t="s">
        <v>905</v>
      </c>
      <c r="D217" t="s">
        <v>355</v>
      </c>
      <c r="E217" t="s">
        <v>238</v>
      </c>
      <c r="F217">
        <v>3</v>
      </c>
      <c r="G217">
        <v>2510</v>
      </c>
      <c r="H217">
        <v>28.7</v>
      </c>
      <c r="I217">
        <v>5368.89</v>
      </c>
      <c r="J217" t="s">
        <v>87</v>
      </c>
      <c r="K217" t="s">
        <v>112</v>
      </c>
      <c r="L217" t="s">
        <v>112</v>
      </c>
      <c r="M217" t="s">
        <v>2795</v>
      </c>
      <c r="N217" t="s">
        <v>2862</v>
      </c>
      <c r="O217">
        <v>1075</v>
      </c>
      <c r="P217">
        <v>2510</v>
      </c>
    </row>
    <row r="218" spans="1:16" x14ac:dyDescent="0.3">
      <c r="A218" t="s">
        <v>1877</v>
      </c>
      <c r="B218" s="45">
        <v>45324</v>
      </c>
      <c r="C218" t="s">
        <v>983</v>
      </c>
      <c r="D218" t="s">
        <v>85</v>
      </c>
      <c r="E218" t="s">
        <v>343</v>
      </c>
      <c r="F218">
        <v>3</v>
      </c>
      <c r="G218">
        <v>3620</v>
      </c>
      <c r="H218">
        <v>4.2</v>
      </c>
      <c r="I218">
        <v>10403.879999999999</v>
      </c>
      <c r="J218" t="s">
        <v>87</v>
      </c>
      <c r="K218" t="s">
        <v>117</v>
      </c>
      <c r="L218" t="s">
        <v>117</v>
      </c>
      <c r="M218" t="s">
        <v>2795</v>
      </c>
      <c r="N218" t="s">
        <v>2855</v>
      </c>
      <c r="O218">
        <v>2509</v>
      </c>
      <c r="P218">
        <v>3620</v>
      </c>
    </row>
    <row r="219" spans="1:16" x14ac:dyDescent="0.3">
      <c r="A219" t="s">
        <v>1884</v>
      </c>
      <c r="B219" s="45">
        <v>45585</v>
      </c>
      <c r="C219" t="s">
        <v>301</v>
      </c>
      <c r="D219" t="s">
        <v>237</v>
      </c>
      <c r="E219" t="s">
        <v>303</v>
      </c>
      <c r="F219">
        <v>10</v>
      </c>
      <c r="G219">
        <v>3640</v>
      </c>
      <c r="H219">
        <v>20.100000000000001</v>
      </c>
      <c r="I219">
        <v>29083.599999999999</v>
      </c>
      <c r="J219" t="s">
        <v>87</v>
      </c>
      <c r="K219" t="s">
        <v>94</v>
      </c>
      <c r="L219" t="s">
        <v>94</v>
      </c>
      <c r="M219" t="s">
        <v>2795</v>
      </c>
      <c r="N219" t="s">
        <v>2871</v>
      </c>
      <c r="O219">
        <v>2611</v>
      </c>
      <c r="P219">
        <v>3640</v>
      </c>
    </row>
    <row r="220" spans="1:16" x14ac:dyDescent="0.3">
      <c r="A220" t="s">
        <v>1889</v>
      </c>
      <c r="B220" s="45">
        <v>45445</v>
      </c>
      <c r="C220" t="s">
        <v>1890</v>
      </c>
      <c r="D220" t="s">
        <v>452</v>
      </c>
      <c r="E220" t="s">
        <v>170</v>
      </c>
      <c r="F220">
        <v>9</v>
      </c>
      <c r="G220">
        <v>3450</v>
      </c>
      <c r="H220">
        <v>0.3</v>
      </c>
      <c r="I220">
        <v>30956.85</v>
      </c>
      <c r="J220" t="s">
        <v>144</v>
      </c>
      <c r="K220" t="s">
        <v>133</v>
      </c>
      <c r="L220" t="s">
        <v>133</v>
      </c>
      <c r="M220" t="s">
        <v>2795</v>
      </c>
      <c r="N220" t="s">
        <v>2855</v>
      </c>
      <c r="O220">
        <v>1748</v>
      </c>
      <c r="P220">
        <v>3450</v>
      </c>
    </row>
    <row r="221" spans="1:16" x14ac:dyDescent="0.3">
      <c r="A221" t="s">
        <v>1891</v>
      </c>
      <c r="B221" s="45">
        <v>45614</v>
      </c>
      <c r="C221" t="s">
        <v>457</v>
      </c>
      <c r="D221" t="s">
        <v>106</v>
      </c>
      <c r="E221" t="s">
        <v>111</v>
      </c>
      <c r="F221">
        <v>10</v>
      </c>
      <c r="G221">
        <v>3160</v>
      </c>
      <c r="H221">
        <v>13.6</v>
      </c>
      <c r="I221">
        <v>27302.400000000001</v>
      </c>
      <c r="J221" t="s">
        <v>87</v>
      </c>
      <c r="K221" t="s">
        <v>88</v>
      </c>
      <c r="L221" t="s">
        <v>88</v>
      </c>
      <c r="M221" t="s">
        <v>2795</v>
      </c>
      <c r="N221" t="s">
        <v>2871</v>
      </c>
      <c r="O221">
        <v>1886</v>
      </c>
      <c r="P221">
        <v>3160</v>
      </c>
    </row>
    <row r="222" spans="1:16" x14ac:dyDescent="0.3">
      <c r="A222" t="s">
        <v>1893</v>
      </c>
      <c r="B222" s="45">
        <v>45402</v>
      </c>
      <c r="C222" t="s">
        <v>390</v>
      </c>
      <c r="D222" t="s">
        <v>237</v>
      </c>
      <c r="E222" t="s">
        <v>285</v>
      </c>
      <c r="F222">
        <v>5</v>
      </c>
      <c r="G222">
        <v>3640</v>
      </c>
      <c r="H222">
        <v>17.5</v>
      </c>
      <c r="I222">
        <v>15015</v>
      </c>
      <c r="J222" t="s">
        <v>87</v>
      </c>
      <c r="K222" t="s">
        <v>88</v>
      </c>
      <c r="L222" t="s">
        <v>88</v>
      </c>
      <c r="M222" t="s">
        <v>2795</v>
      </c>
      <c r="N222" t="s">
        <v>2862</v>
      </c>
      <c r="O222">
        <v>2611</v>
      </c>
      <c r="P222">
        <v>3640</v>
      </c>
    </row>
    <row r="223" spans="1:16" x14ac:dyDescent="0.3">
      <c r="A223" t="s">
        <v>1895</v>
      </c>
      <c r="B223" s="45">
        <v>45526</v>
      </c>
      <c r="C223" t="s">
        <v>403</v>
      </c>
      <c r="D223" t="s">
        <v>173</v>
      </c>
      <c r="E223" t="s">
        <v>111</v>
      </c>
      <c r="F223">
        <v>9</v>
      </c>
      <c r="G223">
        <v>2720</v>
      </c>
      <c r="H223">
        <v>8.9</v>
      </c>
      <c r="I223">
        <v>22301.279999999999</v>
      </c>
      <c r="J223" t="s">
        <v>87</v>
      </c>
      <c r="K223" t="s">
        <v>117</v>
      </c>
      <c r="L223" t="s">
        <v>117</v>
      </c>
      <c r="M223" t="s">
        <v>2795</v>
      </c>
      <c r="N223" t="s">
        <v>2855</v>
      </c>
      <c r="O223">
        <v>1962</v>
      </c>
      <c r="P223">
        <v>2720</v>
      </c>
    </row>
    <row r="224" spans="1:16" x14ac:dyDescent="0.3">
      <c r="A224" t="s">
        <v>1896</v>
      </c>
      <c r="B224" s="45">
        <v>45648</v>
      </c>
      <c r="C224" t="s">
        <v>1065</v>
      </c>
      <c r="D224" t="s">
        <v>85</v>
      </c>
      <c r="E224" t="s">
        <v>139</v>
      </c>
      <c r="F224">
        <v>4</v>
      </c>
      <c r="G224">
        <v>3620</v>
      </c>
      <c r="H224">
        <v>8</v>
      </c>
      <c r="I224">
        <v>13321.6</v>
      </c>
      <c r="J224" t="s">
        <v>93</v>
      </c>
      <c r="K224" t="s">
        <v>94</v>
      </c>
      <c r="L224" t="s">
        <v>94</v>
      </c>
      <c r="M224" t="s">
        <v>2795</v>
      </c>
      <c r="N224" t="s">
        <v>2879</v>
      </c>
      <c r="O224">
        <v>2509</v>
      </c>
      <c r="P224">
        <v>3620</v>
      </c>
    </row>
    <row r="225" spans="1:16" x14ac:dyDescent="0.3">
      <c r="A225" t="s">
        <v>1897</v>
      </c>
      <c r="B225" s="45">
        <v>45325</v>
      </c>
      <c r="C225" t="s">
        <v>512</v>
      </c>
      <c r="D225" t="s">
        <v>452</v>
      </c>
      <c r="E225" t="s">
        <v>139</v>
      </c>
      <c r="F225">
        <v>1</v>
      </c>
      <c r="G225">
        <v>3450</v>
      </c>
      <c r="H225">
        <v>0.2</v>
      </c>
      <c r="I225">
        <v>3443.1</v>
      </c>
      <c r="J225" t="s">
        <v>87</v>
      </c>
      <c r="K225" t="s">
        <v>133</v>
      </c>
      <c r="L225" t="s">
        <v>133</v>
      </c>
      <c r="M225" t="s">
        <v>2795</v>
      </c>
      <c r="N225" t="s">
        <v>2879</v>
      </c>
      <c r="O225">
        <v>1748</v>
      </c>
      <c r="P225">
        <v>3450</v>
      </c>
    </row>
    <row r="226" spans="1:16" x14ac:dyDescent="0.3">
      <c r="A226" t="s">
        <v>1898</v>
      </c>
      <c r="B226" s="45">
        <v>45640</v>
      </c>
      <c r="C226" t="s">
        <v>546</v>
      </c>
      <c r="D226" t="s">
        <v>237</v>
      </c>
      <c r="E226" t="s">
        <v>98</v>
      </c>
      <c r="F226">
        <v>7</v>
      </c>
      <c r="G226">
        <v>3640</v>
      </c>
      <c r="H226">
        <v>4.5999999999999996</v>
      </c>
      <c r="I226">
        <v>24307.919999999998</v>
      </c>
      <c r="J226" t="s">
        <v>87</v>
      </c>
      <c r="K226" t="s">
        <v>99</v>
      </c>
      <c r="L226" t="s">
        <v>99</v>
      </c>
      <c r="M226" t="s">
        <v>2795</v>
      </c>
      <c r="N226" t="s">
        <v>2879</v>
      </c>
      <c r="O226">
        <v>2611</v>
      </c>
      <c r="P226">
        <v>3640</v>
      </c>
    </row>
    <row r="227" spans="1:16" x14ac:dyDescent="0.3">
      <c r="A227" t="s">
        <v>1899</v>
      </c>
      <c r="B227" s="45">
        <v>45423</v>
      </c>
      <c r="C227" t="s">
        <v>1036</v>
      </c>
      <c r="D227" t="s">
        <v>292</v>
      </c>
      <c r="E227" t="s">
        <v>154</v>
      </c>
      <c r="F227">
        <v>9</v>
      </c>
      <c r="G227">
        <v>620</v>
      </c>
      <c r="H227">
        <v>8.5</v>
      </c>
      <c r="I227">
        <v>5105.7</v>
      </c>
      <c r="J227" t="s">
        <v>87</v>
      </c>
      <c r="K227" t="s">
        <v>112</v>
      </c>
      <c r="L227" t="s">
        <v>112</v>
      </c>
      <c r="M227" t="s">
        <v>2795</v>
      </c>
      <c r="N227" t="s">
        <v>2862</v>
      </c>
      <c r="O227">
        <v>396</v>
      </c>
      <c r="P227">
        <v>620</v>
      </c>
    </row>
    <row r="228" spans="1:16" x14ac:dyDescent="0.3">
      <c r="A228" t="s">
        <v>1909</v>
      </c>
      <c r="B228" s="45">
        <v>45524</v>
      </c>
      <c r="C228" t="s">
        <v>707</v>
      </c>
      <c r="D228" t="s">
        <v>173</v>
      </c>
      <c r="E228" t="s">
        <v>111</v>
      </c>
      <c r="F228">
        <v>5</v>
      </c>
      <c r="G228">
        <v>2720</v>
      </c>
      <c r="H228">
        <v>9.1999999999999993</v>
      </c>
      <c r="I228">
        <v>12348.8</v>
      </c>
      <c r="J228" t="s">
        <v>87</v>
      </c>
      <c r="K228" t="s">
        <v>112</v>
      </c>
      <c r="L228" t="s">
        <v>112</v>
      </c>
      <c r="M228" t="s">
        <v>2795</v>
      </c>
      <c r="N228" t="s">
        <v>2862</v>
      </c>
      <c r="O228">
        <v>1962</v>
      </c>
      <c r="P228">
        <v>2720</v>
      </c>
    </row>
    <row r="229" spans="1:16" x14ac:dyDescent="0.3">
      <c r="A229" t="s">
        <v>1910</v>
      </c>
      <c r="B229" s="45">
        <v>45438</v>
      </c>
      <c r="C229" t="s">
        <v>411</v>
      </c>
      <c r="D229" t="s">
        <v>452</v>
      </c>
      <c r="E229" t="s">
        <v>154</v>
      </c>
      <c r="F229">
        <v>1</v>
      </c>
      <c r="G229">
        <v>3450</v>
      </c>
      <c r="H229">
        <v>15.6</v>
      </c>
      <c r="I229">
        <v>2911.8</v>
      </c>
      <c r="J229" t="s">
        <v>87</v>
      </c>
      <c r="K229" t="s">
        <v>112</v>
      </c>
      <c r="L229" t="s">
        <v>112</v>
      </c>
      <c r="M229" t="s">
        <v>2795</v>
      </c>
      <c r="N229" t="s">
        <v>2855</v>
      </c>
      <c r="O229">
        <v>1748</v>
      </c>
      <c r="P229">
        <v>3450</v>
      </c>
    </row>
    <row r="230" spans="1:16" x14ac:dyDescent="0.3">
      <c r="A230" t="s">
        <v>1913</v>
      </c>
      <c r="B230" s="45">
        <v>45437</v>
      </c>
      <c r="C230" t="s">
        <v>522</v>
      </c>
      <c r="D230" t="s">
        <v>167</v>
      </c>
      <c r="E230" t="s">
        <v>98</v>
      </c>
      <c r="F230">
        <v>9</v>
      </c>
      <c r="G230">
        <v>2480</v>
      </c>
      <c r="H230">
        <v>3.6</v>
      </c>
      <c r="I230">
        <v>21516.48</v>
      </c>
      <c r="J230" t="s">
        <v>93</v>
      </c>
      <c r="K230" t="s">
        <v>99</v>
      </c>
      <c r="L230" t="s">
        <v>99</v>
      </c>
      <c r="M230" t="s">
        <v>2795</v>
      </c>
      <c r="N230" t="s">
        <v>2862</v>
      </c>
      <c r="O230">
        <v>1173</v>
      </c>
      <c r="P230">
        <v>2480</v>
      </c>
    </row>
    <row r="231" spans="1:16" x14ac:dyDescent="0.3">
      <c r="A231" t="s">
        <v>1926</v>
      </c>
      <c r="B231" s="45">
        <v>45598</v>
      </c>
      <c r="C231" t="s">
        <v>841</v>
      </c>
      <c r="D231" t="s">
        <v>659</v>
      </c>
      <c r="E231" t="s">
        <v>297</v>
      </c>
      <c r="F231">
        <v>5</v>
      </c>
      <c r="G231">
        <v>3560</v>
      </c>
      <c r="H231">
        <v>19.399999999999999</v>
      </c>
      <c r="I231">
        <v>14346.8</v>
      </c>
      <c r="J231" t="s">
        <v>93</v>
      </c>
      <c r="K231" t="s">
        <v>117</v>
      </c>
      <c r="L231" t="s">
        <v>117</v>
      </c>
      <c r="M231" t="s">
        <v>2795</v>
      </c>
      <c r="N231" t="s">
        <v>2871</v>
      </c>
      <c r="O231">
        <v>2629</v>
      </c>
      <c r="P231">
        <v>3560</v>
      </c>
    </row>
    <row r="232" spans="1:16" x14ac:dyDescent="0.3">
      <c r="A232" t="s">
        <v>1936</v>
      </c>
      <c r="B232" s="45">
        <v>45639</v>
      </c>
      <c r="C232" t="s">
        <v>990</v>
      </c>
      <c r="D232" t="s">
        <v>91</v>
      </c>
      <c r="E232" t="s">
        <v>325</v>
      </c>
      <c r="F232">
        <v>2</v>
      </c>
      <c r="G232">
        <v>820</v>
      </c>
      <c r="H232">
        <v>13.2</v>
      </c>
      <c r="I232">
        <v>1423.52</v>
      </c>
      <c r="J232" t="s">
        <v>93</v>
      </c>
      <c r="K232" t="s">
        <v>117</v>
      </c>
      <c r="L232" t="s">
        <v>117</v>
      </c>
      <c r="M232" t="s">
        <v>2795</v>
      </c>
      <c r="N232" t="s">
        <v>2855</v>
      </c>
      <c r="O232">
        <v>391</v>
      </c>
      <c r="P232">
        <v>820</v>
      </c>
    </row>
    <row r="233" spans="1:16" x14ac:dyDescent="0.3">
      <c r="A233" t="s">
        <v>1944</v>
      </c>
      <c r="B233" s="45">
        <v>45341</v>
      </c>
      <c r="C233" t="s">
        <v>797</v>
      </c>
      <c r="D233" t="s">
        <v>659</v>
      </c>
      <c r="E233" t="s">
        <v>252</v>
      </c>
      <c r="F233">
        <v>10</v>
      </c>
      <c r="G233">
        <v>3560</v>
      </c>
      <c r="H233">
        <v>1.4</v>
      </c>
      <c r="I233">
        <v>35101.599999999999</v>
      </c>
      <c r="J233" t="s">
        <v>93</v>
      </c>
      <c r="K233" t="s">
        <v>99</v>
      </c>
      <c r="L233" t="s">
        <v>99</v>
      </c>
      <c r="M233" t="s">
        <v>2795</v>
      </c>
      <c r="N233" t="s">
        <v>2855</v>
      </c>
      <c r="O233">
        <v>2629</v>
      </c>
      <c r="P233">
        <v>3560</v>
      </c>
    </row>
    <row r="234" spans="1:16" x14ac:dyDescent="0.3">
      <c r="A234" t="s">
        <v>1945</v>
      </c>
      <c r="B234" s="45">
        <v>45354</v>
      </c>
      <c r="C234" t="s">
        <v>223</v>
      </c>
      <c r="D234" t="s">
        <v>173</v>
      </c>
      <c r="E234" t="s">
        <v>98</v>
      </c>
      <c r="F234">
        <v>4</v>
      </c>
      <c r="G234">
        <v>2720</v>
      </c>
      <c r="H234">
        <v>19.399999999999999</v>
      </c>
      <c r="I234">
        <v>8769.2800000000007</v>
      </c>
      <c r="J234" t="s">
        <v>144</v>
      </c>
      <c r="K234" t="s">
        <v>99</v>
      </c>
      <c r="L234" t="s">
        <v>99</v>
      </c>
      <c r="M234" t="s">
        <v>2795</v>
      </c>
      <c r="N234" t="s">
        <v>2879</v>
      </c>
      <c r="O234">
        <v>1962</v>
      </c>
      <c r="P234">
        <v>2720</v>
      </c>
    </row>
    <row r="235" spans="1:16" x14ac:dyDescent="0.3">
      <c r="A235" t="s">
        <v>1952</v>
      </c>
      <c r="B235" s="45">
        <v>45476</v>
      </c>
      <c r="C235" t="s">
        <v>1000</v>
      </c>
      <c r="D235" t="s">
        <v>659</v>
      </c>
      <c r="E235" t="s">
        <v>158</v>
      </c>
      <c r="F235">
        <v>5</v>
      </c>
      <c r="G235">
        <v>3560</v>
      </c>
      <c r="H235">
        <v>17.100000000000001</v>
      </c>
      <c r="I235">
        <v>14756.2</v>
      </c>
      <c r="J235" t="s">
        <v>87</v>
      </c>
      <c r="K235" t="s">
        <v>117</v>
      </c>
      <c r="L235" t="s">
        <v>117</v>
      </c>
      <c r="M235" t="s">
        <v>2795</v>
      </c>
      <c r="N235" t="s">
        <v>2855</v>
      </c>
      <c r="O235">
        <v>2629</v>
      </c>
      <c r="P235">
        <v>3560</v>
      </c>
    </row>
    <row r="236" spans="1:16" x14ac:dyDescent="0.3">
      <c r="A236" t="s">
        <v>1960</v>
      </c>
      <c r="B236" s="45">
        <v>45424</v>
      </c>
      <c r="C236" t="s">
        <v>905</v>
      </c>
      <c r="D236" t="s">
        <v>452</v>
      </c>
      <c r="E236" t="s">
        <v>98</v>
      </c>
      <c r="F236">
        <v>5</v>
      </c>
      <c r="G236">
        <v>3450</v>
      </c>
      <c r="H236">
        <v>5.3</v>
      </c>
      <c r="I236">
        <v>16335.75</v>
      </c>
      <c r="J236" t="s">
        <v>87</v>
      </c>
      <c r="K236" t="s">
        <v>112</v>
      </c>
      <c r="L236" t="s">
        <v>112</v>
      </c>
      <c r="M236" t="s">
        <v>2795</v>
      </c>
      <c r="N236" t="s">
        <v>2855</v>
      </c>
      <c r="O236">
        <v>1748</v>
      </c>
      <c r="P236">
        <v>3450</v>
      </c>
    </row>
    <row r="237" spans="1:16" x14ac:dyDescent="0.3">
      <c r="A237" t="s">
        <v>1964</v>
      </c>
      <c r="B237" s="45">
        <v>45511</v>
      </c>
      <c r="C237" t="s">
        <v>610</v>
      </c>
      <c r="D237" t="s">
        <v>355</v>
      </c>
      <c r="E237" t="s">
        <v>273</v>
      </c>
      <c r="F237">
        <v>1</v>
      </c>
      <c r="G237">
        <v>2510</v>
      </c>
      <c r="H237">
        <v>27.8</v>
      </c>
      <c r="I237">
        <v>1812.22</v>
      </c>
      <c r="J237" t="s">
        <v>140</v>
      </c>
      <c r="K237" t="s">
        <v>117</v>
      </c>
      <c r="L237" t="s">
        <v>117</v>
      </c>
      <c r="M237" t="s">
        <v>2795</v>
      </c>
      <c r="N237" t="s">
        <v>2879</v>
      </c>
      <c r="O237">
        <v>1075</v>
      </c>
      <c r="P237">
        <v>2510</v>
      </c>
    </row>
    <row r="238" spans="1:16" x14ac:dyDescent="0.3">
      <c r="A238" t="s">
        <v>1966</v>
      </c>
      <c r="B238" s="45">
        <v>45507</v>
      </c>
      <c r="C238" t="s">
        <v>1036</v>
      </c>
      <c r="D238" t="s">
        <v>237</v>
      </c>
      <c r="E238" t="s">
        <v>170</v>
      </c>
      <c r="F238">
        <v>7</v>
      </c>
      <c r="G238">
        <v>3640</v>
      </c>
      <c r="H238">
        <v>11.6</v>
      </c>
      <c r="I238">
        <v>22524.32</v>
      </c>
      <c r="J238" t="s">
        <v>87</v>
      </c>
      <c r="K238" t="s">
        <v>112</v>
      </c>
      <c r="L238" t="s">
        <v>112</v>
      </c>
      <c r="M238" t="s">
        <v>2795</v>
      </c>
      <c r="N238" t="s">
        <v>2862</v>
      </c>
      <c r="O238">
        <v>2611</v>
      </c>
      <c r="P238">
        <v>3640</v>
      </c>
    </row>
    <row r="239" spans="1:16" x14ac:dyDescent="0.3">
      <c r="A239" t="s">
        <v>1974</v>
      </c>
      <c r="B239" s="45">
        <v>45353</v>
      </c>
      <c r="C239" t="s">
        <v>474</v>
      </c>
      <c r="D239" t="s">
        <v>355</v>
      </c>
      <c r="E239" t="s">
        <v>92</v>
      </c>
      <c r="F239">
        <v>5</v>
      </c>
      <c r="G239">
        <v>2510</v>
      </c>
      <c r="H239">
        <v>2.9</v>
      </c>
      <c r="I239">
        <v>12186.05</v>
      </c>
      <c r="J239" t="s">
        <v>93</v>
      </c>
      <c r="K239" t="s">
        <v>99</v>
      </c>
      <c r="L239" t="s">
        <v>99</v>
      </c>
      <c r="M239" t="s">
        <v>2795</v>
      </c>
      <c r="N239" t="s">
        <v>2879</v>
      </c>
      <c r="O239">
        <v>1075</v>
      </c>
      <c r="P239">
        <v>2510</v>
      </c>
    </row>
    <row r="240" spans="1:16" x14ac:dyDescent="0.3">
      <c r="A240" t="s">
        <v>1997</v>
      </c>
      <c r="B240" s="45">
        <v>45446</v>
      </c>
      <c r="C240" t="s">
        <v>485</v>
      </c>
      <c r="D240" t="s">
        <v>659</v>
      </c>
      <c r="E240" t="s">
        <v>139</v>
      </c>
      <c r="F240">
        <v>4</v>
      </c>
      <c r="G240">
        <v>3560</v>
      </c>
      <c r="H240">
        <v>1.1000000000000001</v>
      </c>
      <c r="I240">
        <v>14083.36</v>
      </c>
      <c r="J240" t="s">
        <v>87</v>
      </c>
      <c r="K240" t="s">
        <v>88</v>
      </c>
      <c r="L240" t="s">
        <v>88</v>
      </c>
      <c r="M240" t="s">
        <v>2795</v>
      </c>
      <c r="N240" t="s">
        <v>2879</v>
      </c>
      <c r="O240">
        <v>2629</v>
      </c>
      <c r="P240">
        <v>3560</v>
      </c>
    </row>
    <row r="241" spans="1:16" x14ac:dyDescent="0.3">
      <c r="A241" t="s">
        <v>2003</v>
      </c>
      <c r="B241" s="45">
        <v>45556</v>
      </c>
      <c r="C241" t="s">
        <v>2004</v>
      </c>
      <c r="D241" t="s">
        <v>173</v>
      </c>
      <c r="E241" t="s">
        <v>252</v>
      </c>
      <c r="F241">
        <v>6</v>
      </c>
      <c r="G241">
        <v>2720</v>
      </c>
      <c r="H241">
        <v>28.1</v>
      </c>
      <c r="I241">
        <v>11734.08</v>
      </c>
      <c r="J241" t="s">
        <v>87</v>
      </c>
      <c r="K241" t="s">
        <v>112</v>
      </c>
      <c r="L241" t="s">
        <v>112</v>
      </c>
      <c r="M241" t="s">
        <v>2795</v>
      </c>
      <c r="N241" t="s">
        <v>2871</v>
      </c>
      <c r="O241">
        <v>1962</v>
      </c>
      <c r="P241">
        <v>2720</v>
      </c>
    </row>
    <row r="242" spans="1:16" x14ac:dyDescent="0.3">
      <c r="A242" t="s">
        <v>2006</v>
      </c>
      <c r="B242" s="45">
        <v>45329</v>
      </c>
      <c r="C242" t="s">
        <v>2007</v>
      </c>
      <c r="D242" t="s">
        <v>292</v>
      </c>
      <c r="E242" t="s">
        <v>107</v>
      </c>
      <c r="F242">
        <v>5</v>
      </c>
      <c r="G242">
        <v>620</v>
      </c>
      <c r="H242">
        <v>10.9</v>
      </c>
      <c r="I242">
        <v>2762.1</v>
      </c>
      <c r="J242" t="s">
        <v>93</v>
      </c>
      <c r="K242" t="s">
        <v>94</v>
      </c>
      <c r="L242" t="s">
        <v>94</v>
      </c>
      <c r="M242" t="s">
        <v>2795</v>
      </c>
      <c r="N242" t="s">
        <v>2855</v>
      </c>
      <c r="O242">
        <v>396</v>
      </c>
      <c r="P242">
        <v>620</v>
      </c>
    </row>
    <row r="243" spans="1:16" x14ac:dyDescent="0.3">
      <c r="A243" t="s">
        <v>2008</v>
      </c>
      <c r="B243" s="45">
        <v>45377</v>
      </c>
      <c r="C243" t="s">
        <v>308</v>
      </c>
      <c r="D243" t="s">
        <v>167</v>
      </c>
      <c r="E243" t="s">
        <v>148</v>
      </c>
      <c r="F243">
        <v>3</v>
      </c>
      <c r="G243">
        <v>2480</v>
      </c>
      <c r="H243">
        <v>5</v>
      </c>
      <c r="I243">
        <v>7068</v>
      </c>
      <c r="J243" t="s">
        <v>87</v>
      </c>
      <c r="K243" t="s">
        <v>88</v>
      </c>
      <c r="L243" t="s">
        <v>88</v>
      </c>
      <c r="M243" t="s">
        <v>2795</v>
      </c>
      <c r="N243" t="s">
        <v>2879</v>
      </c>
      <c r="O243">
        <v>1173</v>
      </c>
      <c r="P243">
        <v>2480</v>
      </c>
    </row>
    <row r="244" spans="1:16" x14ac:dyDescent="0.3">
      <c r="A244" t="s">
        <v>2017</v>
      </c>
      <c r="B244" s="45">
        <v>45625</v>
      </c>
      <c r="C244" t="s">
        <v>635</v>
      </c>
      <c r="D244" t="s">
        <v>91</v>
      </c>
      <c r="E244" t="s">
        <v>252</v>
      </c>
      <c r="F244">
        <v>4</v>
      </c>
      <c r="G244">
        <v>820</v>
      </c>
      <c r="H244">
        <v>18.8</v>
      </c>
      <c r="I244">
        <v>2663.36</v>
      </c>
      <c r="J244" t="s">
        <v>140</v>
      </c>
      <c r="K244" t="s">
        <v>99</v>
      </c>
      <c r="L244" t="s">
        <v>99</v>
      </c>
      <c r="M244" t="s">
        <v>2795</v>
      </c>
      <c r="N244" t="s">
        <v>2879</v>
      </c>
      <c r="O244">
        <v>391</v>
      </c>
      <c r="P244">
        <v>820</v>
      </c>
    </row>
    <row r="245" spans="1:16" x14ac:dyDescent="0.3">
      <c r="A245" t="s">
        <v>2025</v>
      </c>
      <c r="B245" s="45">
        <v>45481</v>
      </c>
      <c r="C245" t="s">
        <v>712</v>
      </c>
      <c r="D245" t="s">
        <v>91</v>
      </c>
      <c r="E245" t="s">
        <v>346</v>
      </c>
      <c r="F245">
        <v>1</v>
      </c>
      <c r="G245">
        <v>820</v>
      </c>
      <c r="H245">
        <v>5.4</v>
      </c>
      <c r="I245">
        <v>775.72</v>
      </c>
      <c r="J245" t="s">
        <v>87</v>
      </c>
      <c r="K245" t="s">
        <v>112</v>
      </c>
      <c r="L245" t="s">
        <v>112</v>
      </c>
      <c r="M245" t="s">
        <v>2795</v>
      </c>
      <c r="N245" t="s">
        <v>2862</v>
      </c>
      <c r="O245">
        <v>391</v>
      </c>
      <c r="P245">
        <v>820</v>
      </c>
    </row>
    <row r="246" spans="1:16" x14ac:dyDescent="0.3">
      <c r="A246" t="s">
        <v>2035</v>
      </c>
      <c r="B246" s="45">
        <v>45358</v>
      </c>
      <c r="C246" t="s">
        <v>1628</v>
      </c>
      <c r="D246" t="s">
        <v>237</v>
      </c>
      <c r="E246" t="s">
        <v>107</v>
      </c>
      <c r="F246">
        <v>7</v>
      </c>
      <c r="G246">
        <v>3640</v>
      </c>
      <c r="H246">
        <v>14.4</v>
      </c>
      <c r="I246">
        <v>21810.880000000001</v>
      </c>
      <c r="J246" t="s">
        <v>87</v>
      </c>
      <c r="K246" t="s">
        <v>94</v>
      </c>
      <c r="L246" t="s">
        <v>94</v>
      </c>
      <c r="M246" t="s">
        <v>2795</v>
      </c>
      <c r="N246" t="s">
        <v>2871</v>
      </c>
      <c r="O246">
        <v>2611</v>
      </c>
      <c r="P246">
        <v>3640</v>
      </c>
    </row>
    <row r="247" spans="1:16" x14ac:dyDescent="0.3">
      <c r="A247" t="s">
        <v>2055</v>
      </c>
      <c r="B247" s="45">
        <v>45384</v>
      </c>
      <c r="C247" t="s">
        <v>541</v>
      </c>
      <c r="D247" t="s">
        <v>452</v>
      </c>
      <c r="E247" t="s">
        <v>229</v>
      </c>
      <c r="F247">
        <v>8</v>
      </c>
      <c r="G247">
        <v>3450</v>
      </c>
      <c r="H247">
        <v>15.2</v>
      </c>
      <c r="I247">
        <v>23404.799999999999</v>
      </c>
      <c r="J247" t="s">
        <v>140</v>
      </c>
      <c r="K247" t="s">
        <v>94</v>
      </c>
      <c r="L247" t="s">
        <v>94</v>
      </c>
      <c r="M247" t="s">
        <v>2795</v>
      </c>
      <c r="N247" t="s">
        <v>2871</v>
      </c>
      <c r="O247">
        <v>1748</v>
      </c>
      <c r="P247">
        <v>3450</v>
      </c>
    </row>
    <row r="248" spans="1:16" x14ac:dyDescent="0.3">
      <c r="A248" t="s">
        <v>2083</v>
      </c>
      <c r="B248" s="45">
        <v>45579</v>
      </c>
      <c r="C248" t="s">
        <v>886</v>
      </c>
      <c r="D248" t="s">
        <v>452</v>
      </c>
      <c r="E248" t="s">
        <v>92</v>
      </c>
      <c r="F248">
        <v>3</v>
      </c>
      <c r="G248">
        <v>3450</v>
      </c>
      <c r="H248">
        <v>11.6</v>
      </c>
      <c r="I248">
        <v>9149.4</v>
      </c>
      <c r="J248" t="s">
        <v>87</v>
      </c>
      <c r="K248" t="s">
        <v>94</v>
      </c>
      <c r="L248" t="s">
        <v>94</v>
      </c>
      <c r="M248" t="s">
        <v>2795</v>
      </c>
      <c r="N248" t="s">
        <v>2871</v>
      </c>
      <c r="O248">
        <v>1748</v>
      </c>
      <c r="P248">
        <v>3450</v>
      </c>
    </row>
    <row r="249" spans="1:16" x14ac:dyDescent="0.3">
      <c r="A249" t="s">
        <v>2093</v>
      </c>
      <c r="B249" s="45">
        <v>45410</v>
      </c>
      <c r="C249" t="s">
        <v>1180</v>
      </c>
      <c r="D249" t="s">
        <v>85</v>
      </c>
      <c r="E249" t="s">
        <v>128</v>
      </c>
      <c r="F249">
        <v>3</v>
      </c>
      <c r="G249">
        <v>3620</v>
      </c>
      <c r="H249">
        <v>13.5</v>
      </c>
      <c r="I249">
        <v>9393.9</v>
      </c>
      <c r="J249" t="s">
        <v>87</v>
      </c>
      <c r="K249" t="s">
        <v>94</v>
      </c>
      <c r="L249" t="s">
        <v>94</v>
      </c>
      <c r="M249" t="s">
        <v>2795</v>
      </c>
      <c r="N249" t="s">
        <v>2871</v>
      </c>
      <c r="O249">
        <v>2509</v>
      </c>
      <c r="P249">
        <v>3620</v>
      </c>
    </row>
    <row r="250" spans="1:16" x14ac:dyDescent="0.3">
      <c r="A250" t="s">
        <v>2097</v>
      </c>
      <c r="B250" s="45">
        <v>45393</v>
      </c>
      <c r="C250" t="s">
        <v>555</v>
      </c>
      <c r="D250" t="s">
        <v>452</v>
      </c>
      <c r="E250" t="s">
        <v>132</v>
      </c>
      <c r="F250">
        <v>8</v>
      </c>
      <c r="G250">
        <v>3450</v>
      </c>
      <c r="H250">
        <v>5.0999999999999996</v>
      </c>
      <c r="I250">
        <v>26192.400000000001</v>
      </c>
      <c r="J250" t="s">
        <v>144</v>
      </c>
      <c r="K250" t="s">
        <v>112</v>
      </c>
      <c r="L250" t="s">
        <v>112</v>
      </c>
      <c r="M250" t="s">
        <v>2795</v>
      </c>
      <c r="N250" t="s">
        <v>2879</v>
      </c>
      <c r="O250">
        <v>1748</v>
      </c>
      <c r="P250">
        <v>3450</v>
      </c>
    </row>
    <row r="251" spans="1:16" x14ac:dyDescent="0.3">
      <c r="A251" t="s">
        <v>2109</v>
      </c>
      <c r="B251" s="45">
        <v>45398</v>
      </c>
      <c r="C251" t="s">
        <v>669</v>
      </c>
      <c r="D251" t="s">
        <v>85</v>
      </c>
      <c r="E251" t="s">
        <v>154</v>
      </c>
      <c r="F251">
        <v>8</v>
      </c>
      <c r="G251">
        <v>3620</v>
      </c>
      <c r="H251">
        <v>7.1</v>
      </c>
      <c r="I251">
        <v>26903.84</v>
      </c>
      <c r="J251" t="s">
        <v>87</v>
      </c>
      <c r="K251" t="s">
        <v>133</v>
      </c>
      <c r="L251" t="s">
        <v>133</v>
      </c>
      <c r="M251" t="s">
        <v>2795</v>
      </c>
      <c r="N251" t="s">
        <v>2862</v>
      </c>
      <c r="O251">
        <v>2509</v>
      </c>
      <c r="P251">
        <v>3620</v>
      </c>
    </row>
    <row r="252" spans="1:16" x14ac:dyDescent="0.3">
      <c r="A252" t="s">
        <v>1070</v>
      </c>
      <c r="B252" s="45">
        <v>45405</v>
      </c>
      <c r="C252" t="s">
        <v>945</v>
      </c>
      <c r="D252" t="s">
        <v>292</v>
      </c>
      <c r="E252" t="s">
        <v>148</v>
      </c>
      <c r="F252">
        <v>1</v>
      </c>
      <c r="G252">
        <v>620</v>
      </c>
      <c r="H252">
        <v>10.4</v>
      </c>
      <c r="I252">
        <v>555.52</v>
      </c>
      <c r="J252" t="s">
        <v>140</v>
      </c>
      <c r="K252" t="s">
        <v>88</v>
      </c>
      <c r="L252" t="s">
        <v>88</v>
      </c>
      <c r="M252" t="s">
        <v>2795</v>
      </c>
      <c r="N252" t="s">
        <v>2862</v>
      </c>
      <c r="O252">
        <v>396</v>
      </c>
      <c r="P252">
        <v>620</v>
      </c>
    </row>
    <row r="253" spans="1:16" x14ac:dyDescent="0.3">
      <c r="A253" t="s">
        <v>2127</v>
      </c>
      <c r="B253" s="45">
        <v>45574</v>
      </c>
      <c r="C253" t="s">
        <v>700</v>
      </c>
      <c r="D253" t="s">
        <v>452</v>
      </c>
      <c r="E253" t="s">
        <v>116</v>
      </c>
      <c r="F253">
        <v>3</v>
      </c>
      <c r="G253">
        <v>3450</v>
      </c>
      <c r="H253">
        <v>23</v>
      </c>
      <c r="I253">
        <v>7969.5</v>
      </c>
      <c r="J253" t="s">
        <v>93</v>
      </c>
      <c r="K253" t="s">
        <v>94</v>
      </c>
      <c r="L253" t="s">
        <v>94</v>
      </c>
      <c r="M253" t="s">
        <v>2795</v>
      </c>
      <c r="N253" t="s">
        <v>2871</v>
      </c>
      <c r="O253">
        <v>1748</v>
      </c>
      <c r="P253">
        <v>3450</v>
      </c>
    </row>
    <row r="254" spans="1:16" x14ac:dyDescent="0.3">
      <c r="A254" t="s">
        <v>2137</v>
      </c>
      <c r="B254" s="45">
        <v>45411</v>
      </c>
      <c r="C254" t="s">
        <v>816</v>
      </c>
      <c r="D254" t="s">
        <v>452</v>
      </c>
      <c r="E254" t="s">
        <v>273</v>
      </c>
      <c r="F254">
        <v>1</v>
      </c>
      <c r="G254">
        <v>3450</v>
      </c>
      <c r="H254">
        <v>1.7</v>
      </c>
      <c r="I254">
        <v>3391.35</v>
      </c>
      <c r="J254" t="s">
        <v>87</v>
      </c>
      <c r="K254" t="s">
        <v>88</v>
      </c>
      <c r="L254" t="s">
        <v>88</v>
      </c>
      <c r="M254" t="s">
        <v>2795</v>
      </c>
      <c r="N254" t="s">
        <v>2862</v>
      </c>
      <c r="O254">
        <v>1748</v>
      </c>
      <c r="P254">
        <v>3450</v>
      </c>
    </row>
    <row r="255" spans="1:16" x14ac:dyDescent="0.3">
      <c r="A255" t="s">
        <v>2152</v>
      </c>
      <c r="B255" s="45">
        <v>45568</v>
      </c>
      <c r="C255" t="s">
        <v>539</v>
      </c>
      <c r="D255" t="s">
        <v>292</v>
      </c>
      <c r="E255" t="s">
        <v>346</v>
      </c>
      <c r="F255">
        <v>2</v>
      </c>
      <c r="G255">
        <v>620</v>
      </c>
      <c r="H255">
        <v>4.3</v>
      </c>
      <c r="I255">
        <v>1186.68</v>
      </c>
      <c r="J255" t="s">
        <v>87</v>
      </c>
      <c r="K255" t="s">
        <v>133</v>
      </c>
      <c r="L255" t="s">
        <v>133</v>
      </c>
      <c r="M255" t="s">
        <v>2795</v>
      </c>
      <c r="N255" t="s">
        <v>2862</v>
      </c>
      <c r="O255">
        <v>396</v>
      </c>
      <c r="P255">
        <v>620</v>
      </c>
    </row>
    <row r="256" spans="1:16" x14ac:dyDescent="0.3">
      <c r="A256" t="s">
        <v>2156</v>
      </c>
      <c r="B256" s="45">
        <v>45568</v>
      </c>
      <c r="C256" t="s">
        <v>510</v>
      </c>
      <c r="D256" t="s">
        <v>91</v>
      </c>
      <c r="E256" t="s">
        <v>238</v>
      </c>
      <c r="F256">
        <v>1</v>
      </c>
      <c r="G256">
        <v>820</v>
      </c>
      <c r="H256">
        <v>17.899999999999999</v>
      </c>
      <c r="I256">
        <v>673.22</v>
      </c>
      <c r="J256" t="s">
        <v>87</v>
      </c>
      <c r="K256" t="s">
        <v>117</v>
      </c>
      <c r="L256" t="s">
        <v>117</v>
      </c>
      <c r="M256" t="s">
        <v>2795</v>
      </c>
      <c r="N256" t="s">
        <v>2879</v>
      </c>
      <c r="O256">
        <v>391</v>
      </c>
      <c r="P256">
        <v>820</v>
      </c>
    </row>
    <row r="257" spans="1:16" x14ac:dyDescent="0.3">
      <c r="A257" t="s">
        <v>2158</v>
      </c>
      <c r="B257" s="45">
        <v>45411</v>
      </c>
      <c r="C257" t="s">
        <v>628</v>
      </c>
      <c r="D257" t="s">
        <v>659</v>
      </c>
      <c r="E257" t="s">
        <v>285</v>
      </c>
      <c r="F257">
        <v>10</v>
      </c>
      <c r="G257">
        <v>3560</v>
      </c>
      <c r="H257">
        <v>15.4</v>
      </c>
      <c r="I257">
        <v>30117.599999999999</v>
      </c>
      <c r="J257" t="s">
        <v>144</v>
      </c>
      <c r="K257" t="s">
        <v>133</v>
      </c>
      <c r="L257" t="s">
        <v>133</v>
      </c>
      <c r="M257" t="s">
        <v>2795</v>
      </c>
      <c r="N257" t="s">
        <v>2879</v>
      </c>
      <c r="O257">
        <v>2629</v>
      </c>
      <c r="P257">
        <v>3560</v>
      </c>
    </row>
    <row r="258" spans="1:16" x14ac:dyDescent="0.3">
      <c r="A258" t="s">
        <v>2168</v>
      </c>
      <c r="B258" s="45">
        <v>45566</v>
      </c>
      <c r="C258" t="s">
        <v>281</v>
      </c>
      <c r="D258" t="s">
        <v>106</v>
      </c>
      <c r="E258" t="s">
        <v>139</v>
      </c>
      <c r="F258">
        <v>3</v>
      </c>
      <c r="G258">
        <v>3160</v>
      </c>
      <c r="H258">
        <v>13.5</v>
      </c>
      <c r="I258">
        <v>8200.2000000000007</v>
      </c>
      <c r="J258" t="s">
        <v>87</v>
      </c>
      <c r="K258" t="s">
        <v>88</v>
      </c>
      <c r="L258" t="s">
        <v>88</v>
      </c>
      <c r="M258" t="s">
        <v>2795</v>
      </c>
      <c r="N258" t="s">
        <v>2862</v>
      </c>
      <c r="O258">
        <v>1886</v>
      </c>
      <c r="P258">
        <v>3160</v>
      </c>
    </row>
    <row r="259" spans="1:16" x14ac:dyDescent="0.3">
      <c r="A259" t="s">
        <v>2187</v>
      </c>
      <c r="B259" s="45">
        <v>45378</v>
      </c>
      <c r="C259" t="s">
        <v>1172</v>
      </c>
      <c r="D259" t="s">
        <v>106</v>
      </c>
      <c r="E259" t="s">
        <v>192</v>
      </c>
      <c r="F259">
        <v>5</v>
      </c>
      <c r="G259">
        <v>3160</v>
      </c>
      <c r="H259">
        <v>29.8</v>
      </c>
      <c r="I259">
        <v>11091.6</v>
      </c>
      <c r="J259" t="s">
        <v>87</v>
      </c>
      <c r="K259" t="s">
        <v>88</v>
      </c>
      <c r="L259" t="s">
        <v>88</v>
      </c>
      <c r="M259" t="s">
        <v>2795</v>
      </c>
      <c r="N259" t="s">
        <v>2855</v>
      </c>
      <c r="O259">
        <v>1886</v>
      </c>
      <c r="P259">
        <v>3160</v>
      </c>
    </row>
    <row r="260" spans="1:16" x14ac:dyDescent="0.3">
      <c r="A260" t="s">
        <v>2200</v>
      </c>
      <c r="B260" s="45">
        <v>45295</v>
      </c>
      <c r="C260" t="s">
        <v>416</v>
      </c>
      <c r="D260" t="s">
        <v>167</v>
      </c>
      <c r="E260" t="s">
        <v>343</v>
      </c>
      <c r="F260">
        <v>10</v>
      </c>
      <c r="G260">
        <v>2480</v>
      </c>
      <c r="H260">
        <v>17.5</v>
      </c>
      <c r="I260">
        <v>20460</v>
      </c>
      <c r="J260" t="s">
        <v>87</v>
      </c>
      <c r="K260" t="s">
        <v>117</v>
      </c>
      <c r="L260" t="s">
        <v>117</v>
      </c>
      <c r="M260" t="s">
        <v>2795</v>
      </c>
      <c r="N260" t="s">
        <v>2879</v>
      </c>
      <c r="O260">
        <v>1173</v>
      </c>
      <c r="P260">
        <v>2480</v>
      </c>
    </row>
    <row r="261" spans="1:16" x14ac:dyDescent="0.3">
      <c r="A261" t="s">
        <v>2208</v>
      </c>
      <c r="B261" s="45">
        <v>45631</v>
      </c>
      <c r="C261" t="s">
        <v>565</v>
      </c>
      <c r="D261" t="s">
        <v>355</v>
      </c>
      <c r="E261" t="s">
        <v>98</v>
      </c>
      <c r="F261">
        <v>4</v>
      </c>
      <c r="G261">
        <v>2510</v>
      </c>
      <c r="H261">
        <v>26.6</v>
      </c>
      <c r="I261">
        <v>7369.36</v>
      </c>
      <c r="J261" t="s">
        <v>87</v>
      </c>
      <c r="K261" t="s">
        <v>112</v>
      </c>
      <c r="L261" t="s">
        <v>112</v>
      </c>
      <c r="M261" t="s">
        <v>2795</v>
      </c>
      <c r="N261" t="s">
        <v>2871</v>
      </c>
      <c r="O261">
        <v>1075</v>
      </c>
      <c r="P261">
        <v>2510</v>
      </c>
    </row>
    <row r="262" spans="1:16" x14ac:dyDescent="0.3">
      <c r="A262" t="s">
        <v>2210</v>
      </c>
      <c r="B262" s="45">
        <v>45539</v>
      </c>
      <c r="C262" t="s">
        <v>970</v>
      </c>
      <c r="D262" t="s">
        <v>91</v>
      </c>
      <c r="E262" t="s">
        <v>229</v>
      </c>
      <c r="F262">
        <v>1</v>
      </c>
      <c r="G262">
        <v>820</v>
      </c>
      <c r="H262">
        <v>6.3</v>
      </c>
      <c r="I262">
        <v>768.34</v>
      </c>
      <c r="J262" t="s">
        <v>87</v>
      </c>
      <c r="K262" t="s">
        <v>112</v>
      </c>
      <c r="L262" t="s">
        <v>112</v>
      </c>
      <c r="M262" t="s">
        <v>2795</v>
      </c>
      <c r="N262" t="s">
        <v>2855</v>
      </c>
      <c r="O262">
        <v>391</v>
      </c>
      <c r="P262">
        <v>820</v>
      </c>
    </row>
    <row r="263" spans="1:16" x14ac:dyDescent="0.3">
      <c r="A263" t="s">
        <v>2211</v>
      </c>
      <c r="B263" s="45">
        <v>45488</v>
      </c>
      <c r="C263" t="s">
        <v>968</v>
      </c>
      <c r="D263" t="s">
        <v>106</v>
      </c>
      <c r="E263" t="s">
        <v>343</v>
      </c>
      <c r="F263">
        <v>4</v>
      </c>
      <c r="G263">
        <v>3160</v>
      </c>
      <c r="H263">
        <v>3.6</v>
      </c>
      <c r="I263">
        <v>12184.96</v>
      </c>
      <c r="J263" t="s">
        <v>93</v>
      </c>
      <c r="K263" t="s">
        <v>99</v>
      </c>
      <c r="L263" t="s">
        <v>99</v>
      </c>
      <c r="M263" t="s">
        <v>2795</v>
      </c>
      <c r="N263" t="s">
        <v>2862</v>
      </c>
      <c r="O263">
        <v>1886</v>
      </c>
      <c r="P263">
        <v>3160</v>
      </c>
    </row>
    <row r="264" spans="1:16" x14ac:dyDescent="0.3">
      <c r="A264" t="s">
        <v>2213</v>
      </c>
      <c r="B264" s="45">
        <v>45394</v>
      </c>
      <c r="C264" t="s">
        <v>96</v>
      </c>
      <c r="D264" t="s">
        <v>91</v>
      </c>
      <c r="E264" t="s">
        <v>201</v>
      </c>
      <c r="F264">
        <v>2</v>
      </c>
      <c r="G264">
        <v>820</v>
      </c>
      <c r="H264">
        <v>7</v>
      </c>
      <c r="I264">
        <v>1525.2</v>
      </c>
      <c r="J264" t="s">
        <v>87</v>
      </c>
      <c r="K264" t="s">
        <v>99</v>
      </c>
      <c r="L264" t="s">
        <v>99</v>
      </c>
      <c r="M264" t="s">
        <v>2795</v>
      </c>
      <c r="N264" t="s">
        <v>2879</v>
      </c>
      <c r="O264">
        <v>391</v>
      </c>
      <c r="P264">
        <v>820</v>
      </c>
    </row>
    <row r="265" spans="1:16" x14ac:dyDescent="0.3">
      <c r="A265" t="s">
        <v>2223</v>
      </c>
      <c r="B265" s="45">
        <v>45472</v>
      </c>
      <c r="C265" t="s">
        <v>905</v>
      </c>
      <c r="D265" t="s">
        <v>85</v>
      </c>
      <c r="E265" t="s">
        <v>107</v>
      </c>
      <c r="F265">
        <v>3</v>
      </c>
      <c r="G265">
        <v>3620</v>
      </c>
      <c r="H265">
        <v>22</v>
      </c>
      <c r="I265">
        <v>8470.7999999999993</v>
      </c>
      <c r="J265" t="s">
        <v>87</v>
      </c>
      <c r="K265" t="s">
        <v>112</v>
      </c>
      <c r="L265" t="s">
        <v>112</v>
      </c>
      <c r="M265" t="s">
        <v>2795</v>
      </c>
      <c r="N265" t="s">
        <v>2879</v>
      </c>
      <c r="O265">
        <v>2509</v>
      </c>
      <c r="P265">
        <v>3620</v>
      </c>
    </row>
    <row r="266" spans="1:16" x14ac:dyDescent="0.3">
      <c r="A266" t="s">
        <v>2232</v>
      </c>
      <c r="B266" s="45">
        <v>45306</v>
      </c>
      <c r="C266" t="s">
        <v>413</v>
      </c>
      <c r="D266" t="s">
        <v>292</v>
      </c>
      <c r="E266" t="s">
        <v>92</v>
      </c>
      <c r="F266">
        <v>5</v>
      </c>
      <c r="G266">
        <v>620</v>
      </c>
      <c r="H266">
        <v>7.5</v>
      </c>
      <c r="I266">
        <v>2867.5</v>
      </c>
      <c r="J266" t="s">
        <v>87</v>
      </c>
      <c r="K266" t="s">
        <v>88</v>
      </c>
      <c r="L266" t="s">
        <v>88</v>
      </c>
      <c r="M266" t="s">
        <v>2795</v>
      </c>
      <c r="N266" t="s">
        <v>2871</v>
      </c>
      <c r="O266">
        <v>396</v>
      </c>
      <c r="P266">
        <v>620</v>
      </c>
    </row>
    <row r="267" spans="1:16" x14ac:dyDescent="0.3">
      <c r="A267" t="s">
        <v>2235</v>
      </c>
      <c r="B267" s="45">
        <v>45507</v>
      </c>
      <c r="C267" t="s">
        <v>651</v>
      </c>
      <c r="D267" t="s">
        <v>91</v>
      </c>
      <c r="E267" t="s">
        <v>192</v>
      </c>
      <c r="F267">
        <v>2</v>
      </c>
      <c r="G267">
        <v>820</v>
      </c>
      <c r="H267">
        <v>25.4</v>
      </c>
      <c r="I267">
        <v>1223.44</v>
      </c>
      <c r="J267" t="s">
        <v>87</v>
      </c>
      <c r="K267" t="s">
        <v>133</v>
      </c>
      <c r="L267" t="s">
        <v>133</v>
      </c>
      <c r="M267" t="s">
        <v>2795</v>
      </c>
      <c r="N267" t="s">
        <v>2871</v>
      </c>
      <c r="O267">
        <v>391</v>
      </c>
      <c r="P267">
        <v>820</v>
      </c>
    </row>
    <row r="268" spans="1:16" x14ac:dyDescent="0.3">
      <c r="A268" t="s">
        <v>2236</v>
      </c>
      <c r="B268" s="45">
        <v>45596</v>
      </c>
      <c r="C268" t="s">
        <v>1234</v>
      </c>
      <c r="D268" t="s">
        <v>167</v>
      </c>
      <c r="E268" t="s">
        <v>158</v>
      </c>
      <c r="F268">
        <v>3</v>
      </c>
      <c r="G268">
        <v>2480</v>
      </c>
      <c r="H268">
        <v>28.7</v>
      </c>
      <c r="I268">
        <v>5304.72</v>
      </c>
      <c r="J268" t="s">
        <v>93</v>
      </c>
      <c r="K268" t="s">
        <v>112</v>
      </c>
      <c r="L268" t="s">
        <v>112</v>
      </c>
      <c r="M268" t="s">
        <v>2795</v>
      </c>
      <c r="N268" t="s">
        <v>2879</v>
      </c>
      <c r="O268">
        <v>1173</v>
      </c>
      <c r="P268">
        <v>2480</v>
      </c>
    </row>
    <row r="269" spans="1:16" x14ac:dyDescent="0.3">
      <c r="A269" t="s">
        <v>2251</v>
      </c>
      <c r="B269" s="45">
        <v>45445</v>
      </c>
      <c r="C269" t="s">
        <v>390</v>
      </c>
      <c r="D269" t="s">
        <v>292</v>
      </c>
      <c r="E269" t="s">
        <v>325</v>
      </c>
      <c r="F269">
        <v>10</v>
      </c>
      <c r="G269">
        <v>620</v>
      </c>
      <c r="H269">
        <v>26.1</v>
      </c>
      <c r="I269">
        <v>4581.8</v>
      </c>
      <c r="J269" t="s">
        <v>87</v>
      </c>
      <c r="K269" t="s">
        <v>88</v>
      </c>
      <c r="L269" t="s">
        <v>88</v>
      </c>
      <c r="M269" t="s">
        <v>2795</v>
      </c>
      <c r="N269" t="s">
        <v>2871</v>
      </c>
      <c r="O269">
        <v>396</v>
      </c>
      <c r="P269">
        <v>620</v>
      </c>
    </row>
    <row r="270" spans="1:16" x14ac:dyDescent="0.3">
      <c r="A270" t="s">
        <v>2259</v>
      </c>
      <c r="B270" s="45">
        <v>45459</v>
      </c>
      <c r="C270" t="s">
        <v>676</v>
      </c>
      <c r="D270" t="s">
        <v>106</v>
      </c>
      <c r="E270" t="s">
        <v>116</v>
      </c>
      <c r="F270">
        <v>7</v>
      </c>
      <c r="G270">
        <v>3160</v>
      </c>
      <c r="H270">
        <v>15.3</v>
      </c>
      <c r="I270">
        <v>18735.64</v>
      </c>
      <c r="J270" t="s">
        <v>87</v>
      </c>
      <c r="K270" t="s">
        <v>88</v>
      </c>
      <c r="L270" t="s">
        <v>88</v>
      </c>
      <c r="M270" t="s">
        <v>2795</v>
      </c>
      <c r="N270" t="s">
        <v>2855</v>
      </c>
      <c r="O270">
        <v>1886</v>
      </c>
      <c r="P270">
        <v>3160</v>
      </c>
    </row>
    <row r="271" spans="1:16" x14ac:dyDescent="0.3">
      <c r="A271" t="s">
        <v>2275</v>
      </c>
      <c r="B271" s="45">
        <v>45571</v>
      </c>
      <c r="C271" t="s">
        <v>328</v>
      </c>
      <c r="D271" t="s">
        <v>355</v>
      </c>
      <c r="E271" t="s">
        <v>297</v>
      </c>
      <c r="F271">
        <v>5</v>
      </c>
      <c r="G271">
        <v>2510</v>
      </c>
      <c r="H271">
        <v>22.2</v>
      </c>
      <c r="I271">
        <v>9763.9</v>
      </c>
      <c r="J271" t="s">
        <v>87</v>
      </c>
      <c r="K271" t="s">
        <v>94</v>
      </c>
      <c r="L271" t="s">
        <v>94</v>
      </c>
      <c r="M271" t="s">
        <v>2795</v>
      </c>
      <c r="N271" t="s">
        <v>2855</v>
      </c>
      <c r="O271">
        <v>1075</v>
      </c>
      <c r="P271">
        <v>2510</v>
      </c>
    </row>
    <row r="272" spans="1:16" x14ac:dyDescent="0.3">
      <c r="A272" t="s">
        <v>2277</v>
      </c>
      <c r="B272" s="45">
        <v>45403</v>
      </c>
      <c r="C272" t="s">
        <v>544</v>
      </c>
      <c r="D272" t="s">
        <v>167</v>
      </c>
      <c r="E272" t="s">
        <v>158</v>
      </c>
      <c r="F272">
        <v>3</v>
      </c>
      <c r="G272">
        <v>2480</v>
      </c>
      <c r="H272">
        <v>9.6</v>
      </c>
      <c r="I272">
        <v>6725.76</v>
      </c>
      <c r="J272" t="s">
        <v>87</v>
      </c>
      <c r="K272" t="s">
        <v>133</v>
      </c>
      <c r="L272" t="s">
        <v>133</v>
      </c>
      <c r="M272" t="s">
        <v>2795</v>
      </c>
      <c r="N272" t="s">
        <v>2871</v>
      </c>
      <c r="O272">
        <v>1173</v>
      </c>
      <c r="P272">
        <v>2480</v>
      </c>
    </row>
    <row r="273" spans="1:16" x14ac:dyDescent="0.3">
      <c r="A273" t="s">
        <v>2289</v>
      </c>
      <c r="B273" s="45">
        <v>45404</v>
      </c>
      <c r="C273" t="s">
        <v>1875</v>
      </c>
      <c r="D273" t="s">
        <v>292</v>
      </c>
      <c r="E273" t="s">
        <v>303</v>
      </c>
      <c r="F273">
        <v>5</v>
      </c>
      <c r="G273">
        <v>620</v>
      </c>
      <c r="H273">
        <v>19.399999999999999</v>
      </c>
      <c r="I273">
        <v>2498.6</v>
      </c>
      <c r="J273" t="s">
        <v>93</v>
      </c>
      <c r="K273" t="s">
        <v>94</v>
      </c>
      <c r="L273" t="s">
        <v>94</v>
      </c>
      <c r="M273" t="s">
        <v>2795</v>
      </c>
      <c r="N273" t="s">
        <v>2879</v>
      </c>
      <c r="O273">
        <v>396</v>
      </c>
      <c r="P273">
        <v>620</v>
      </c>
    </row>
    <row r="274" spans="1:16" x14ac:dyDescent="0.3">
      <c r="A274" t="s">
        <v>2291</v>
      </c>
      <c r="B274" s="45">
        <v>45526</v>
      </c>
      <c r="C274" t="s">
        <v>870</v>
      </c>
      <c r="D274" t="s">
        <v>85</v>
      </c>
      <c r="E274" t="s">
        <v>215</v>
      </c>
      <c r="F274">
        <v>5</v>
      </c>
      <c r="G274">
        <v>3620</v>
      </c>
      <c r="H274">
        <v>21</v>
      </c>
      <c r="I274">
        <v>14299</v>
      </c>
      <c r="J274" t="s">
        <v>140</v>
      </c>
      <c r="K274" t="s">
        <v>117</v>
      </c>
      <c r="L274" t="s">
        <v>117</v>
      </c>
      <c r="M274" t="s">
        <v>2795</v>
      </c>
      <c r="N274" t="s">
        <v>2855</v>
      </c>
      <c r="O274">
        <v>2509</v>
      </c>
      <c r="P274">
        <v>3620</v>
      </c>
    </row>
    <row r="275" spans="1:16" x14ac:dyDescent="0.3">
      <c r="A275" t="s">
        <v>2292</v>
      </c>
      <c r="B275" s="45">
        <v>45580</v>
      </c>
      <c r="C275" t="s">
        <v>1664</v>
      </c>
      <c r="D275" t="s">
        <v>237</v>
      </c>
      <c r="E275" t="s">
        <v>158</v>
      </c>
      <c r="F275">
        <v>1</v>
      </c>
      <c r="G275">
        <v>3640</v>
      </c>
      <c r="H275">
        <v>15.8</v>
      </c>
      <c r="I275">
        <v>3064.88</v>
      </c>
      <c r="J275" t="s">
        <v>87</v>
      </c>
      <c r="K275" t="s">
        <v>117</v>
      </c>
      <c r="L275" t="s">
        <v>117</v>
      </c>
      <c r="M275" t="s">
        <v>2795</v>
      </c>
      <c r="N275" t="s">
        <v>2855</v>
      </c>
      <c r="O275">
        <v>2611</v>
      </c>
      <c r="P275">
        <v>3640</v>
      </c>
    </row>
    <row r="276" spans="1:16" x14ac:dyDescent="0.3">
      <c r="A276" t="s">
        <v>2294</v>
      </c>
      <c r="B276" s="45">
        <v>45350</v>
      </c>
      <c r="C276" t="s">
        <v>153</v>
      </c>
      <c r="D276" t="s">
        <v>167</v>
      </c>
      <c r="E276" t="s">
        <v>297</v>
      </c>
      <c r="F276">
        <v>10</v>
      </c>
      <c r="G276">
        <v>2480</v>
      </c>
      <c r="H276">
        <v>0.6</v>
      </c>
      <c r="I276">
        <v>24651.200000000001</v>
      </c>
      <c r="J276" t="s">
        <v>87</v>
      </c>
      <c r="K276" t="s">
        <v>117</v>
      </c>
      <c r="L276" t="s">
        <v>117</v>
      </c>
      <c r="M276" t="s">
        <v>2795</v>
      </c>
      <c r="N276" t="s">
        <v>2871</v>
      </c>
      <c r="O276">
        <v>1173</v>
      </c>
      <c r="P276">
        <v>2480</v>
      </c>
    </row>
    <row r="277" spans="1:16" x14ac:dyDescent="0.3">
      <c r="A277" t="s">
        <v>2297</v>
      </c>
      <c r="B277" s="45">
        <v>45544</v>
      </c>
      <c r="C277" t="s">
        <v>870</v>
      </c>
      <c r="D277" t="s">
        <v>452</v>
      </c>
      <c r="E277" t="s">
        <v>98</v>
      </c>
      <c r="F277">
        <v>5</v>
      </c>
      <c r="G277">
        <v>3450</v>
      </c>
      <c r="H277">
        <v>25.3</v>
      </c>
      <c r="I277">
        <v>12885.75</v>
      </c>
      <c r="J277" t="s">
        <v>87</v>
      </c>
      <c r="K277" t="s">
        <v>117</v>
      </c>
      <c r="L277" t="s">
        <v>117</v>
      </c>
      <c r="M277" t="s">
        <v>2795</v>
      </c>
      <c r="N277" t="s">
        <v>2855</v>
      </c>
      <c r="O277">
        <v>1748</v>
      </c>
      <c r="P277">
        <v>3450</v>
      </c>
    </row>
    <row r="278" spans="1:16" x14ac:dyDescent="0.3">
      <c r="A278" t="s">
        <v>2310</v>
      </c>
      <c r="B278" s="45">
        <v>45629</v>
      </c>
      <c r="C278" t="s">
        <v>142</v>
      </c>
      <c r="D278" t="s">
        <v>167</v>
      </c>
      <c r="E278" t="s">
        <v>201</v>
      </c>
      <c r="F278">
        <v>7</v>
      </c>
      <c r="G278">
        <v>2480</v>
      </c>
      <c r="H278">
        <v>17.3</v>
      </c>
      <c r="I278">
        <v>14356.72</v>
      </c>
      <c r="J278" t="s">
        <v>87</v>
      </c>
      <c r="K278" t="s">
        <v>88</v>
      </c>
      <c r="L278" t="s">
        <v>88</v>
      </c>
      <c r="M278" t="s">
        <v>2795</v>
      </c>
      <c r="N278" t="s">
        <v>2855</v>
      </c>
      <c r="O278">
        <v>1173</v>
      </c>
      <c r="P278">
        <v>2480</v>
      </c>
    </row>
    <row r="279" spans="1:16" x14ac:dyDescent="0.3">
      <c r="A279" t="s">
        <v>2315</v>
      </c>
      <c r="B279" s="45">
        <v>45542</v>
      </c>
      <c r="C279" t="s">
        <v>84</v>
      </c>
      <c r="D279" t="s">
        <v>167</v>
      </c>
      <c r="E279" t="s">
        <v>103</v>
      </c>
      <c r="F279">
        <v>10</v>
      </c>
      <c r="G279">
        <v>2480</v>
      </c>
      <c r="H279">
        <v>21.5</v>
      </c>
      <c r="I279">
        <v>19468</v>
      </c>
      <c r="J279" t="s">
        <v>93</v>
      </c>
      <c r="K279" t="s">
        <v>88</v>
      </c>
      <c r="L279" t="s">
        <v>88</v>
      </c>
      <c r="M279" t="s">
        <v>2795</v>
      </c>
      <c r="N279" t="s">
        <v>2855</v>
      </c>
      <c r="O279">
        <v>1173</v>
      </c>
      <c r="P279">
        <v>2480</v>
      </c>
    </row>
    <row r="280" spans="1:16" x14ac:dyDescent="0.3">
      <c r="A280" t="s">
        <v>2320</v>
      </c>
      <c r="B280" s="45">
        <v>45373</v>
      </c>
      <c r="C280" t="s">
        <v>1499</v>
      </c>
      <c r="D280" t="s">
        <v>91</v>
      </c>
      <c r="E280" t="s">
        <v>343</v>
      </c>
      <c r="F280">
        <v>7</v>
      </c>
      <c r="G280">
        <v>820</v>
      </c>
      <c r="H280">
        <v>6.4</v>
      </c>
      <c r="I280">
        <v>5372.64</v>
      </c>
      <c r="J280" t="s">
        <v>144</v>
      </c>
      <c r="K280" t="s">
        <v>94</v>
      </c>
      <c r="L280" t="s">
        <v>94</v>
      </c>
      <c r="M280" t="s">
        <v>2795</v>
      </c>
      <c r="N280" t="s">
        <v>2879</v>
      </c>
      <c r="O280">
        <v>391</v>
      </c>
      <c r="P280">
        <v>820</v>
      </c>
    </row>
    <row r="281" spans="1:16" x14ac:dyDescent="0.3">
      <c r="A281" t="s">
        <v>2323</v>
      </c>
      <c r="B281" s="45">
        <v>45319</v>
      </c>
      <c r="C281" t="s">
        <v>272</v>
      </c>
      <c r="D281" t="s">
        <v>355</v>
      </c>
      <c r="E281" t="s">
        <v>229</v>
      </c>
      <c r="F281">
        <v>6</v>
      </c>
      <c r="G281">
        <v>2510</v>
      </c>
      <c r="H281">
        <v>11.5</v>
      </c>
      <c r="I281">
        <v>13328.1</v>
      </c>
      <c r="J281" t="s">
        <v>87</v>
      </c>
      <c r="K281" t="s">
        <v>94</v>
      </c>
      <c r="L281" t="s">
        <v>94</v>
      </c>
      <c r="M281" t="s">
        <v>2795</v>
      </c>
      <c r="N281" t="s">
        <v>2871</v>
      </c>
      <c r="O281">
        <v>1075</v>
      </c>
      <c r="P281">
        <v>2510</v>
      </c>
    </row>
    <row r="282" spans="1:16" x14ac:dyDescent="0.3">
      <c r="A282" t="s">
        <v>2324</v>
      </c>
      <c r="B282" s="45">
        <v>45299</v>
      </c>
      <c r="C282" t="s">
        <v>105</v>
      </c>
      <c r="D282" t="s">
        <v>659</v>
      </c>
      <c r="E282" t="s">
        <v>188</v>
      </c>
      <c r="F282">
        <v>2</v>
      </c>
      <c r="G282">
        <v>3560</v>
      </c>
      <c r="H282">
        <v>10.5</v>
      </c>
      <c r="I282">
        <v>6372.4</v>
      </c>
      <c r="J282" t="s">
        <v>87</v>
      </c>
      <c r="K282" t="s">
        <v>94</v>
      </c>
      <c r="L282" t="s">
        <v>94</v>
      </c>
      <c r="M282" t="s">
        <v>2795</v>
      </c>
      <c r="N282" t="s">
        <v>2855</v>
      </c>
      <c r="O282">
        <v>2629</v>
      </c>
      <c r="P282">
        <v>3560</v>
      </c>
    </row>
    <row r="283" spans="1:16" x14ac:dyDescent="0.3">
      <c r="A283" t="s">
        <v>2325</v>
      </c>
      <c r="B283" s="45">
        <v>45556</v>
      </c>
      <c r="C283" t="s">
        <v>841</v>
      </c>
      <c r="D283" t="s">
        <v>91</v>
      </c>
      <c r="E283" t="s">
        <v>252</v>
      </c>
      <c r="F283">
        <v>3</v>
      </c>
      <c r="G283">
        <v>820</v>
      </c>
      <c r="H283">
        <v>13</v>
      </c>
      <c r="I283">
        <v>2140.1999999999998</v>
      </c>
      <c r="J283" t="s">
        <v>140</v>
      </c>
      <c r="K283" t="s">
        <v>117</v>
      </c>
      <c r="L283" t="s">
        <v>117</v>
      </c>
      <c r="M283" t="s">
        <v>2795</v>
      </c>
      <c r="N283" t="s">
        <v>2879</v>
      </c>
      <c r="O283">
        <v>391</v>
      </c>
      <c r="P283">
        <v>820</v>
      </c>
    </row>
    <row r="284" spans="1:16" x14ac:dyDescent="0.3">
      <c r="A284" t="s">
        <v>2326</v>
      </c>
      <c r="B284" s="45">
        <v>45500</v>
      </c>
      <c r="C284" t="s">
        <v>1358</v>
      </c>
      <c r="D284" t="s">
        <v>237</v>
      </c>
      <c r="E284" t="s">
        <v>148</v>
      </c>
      <c r="F284">
        <v>6</v>
      </c>
      <c r="G284">
        <v>3640</v>
      </c>
      <c r="H284">
        <v>14</v>
      </c>
      <c r="I284">
        <v>18782.400000000001</v>
      </c>
      <c r="J284" t="s">
        <v>87</v>
      </c>
      <c r="K284" t="s">
        <v>112</v>
      </c>
      <c r="L284" t="s">
        <v>112</v>
      </c>
      <c r="M284" t="s">
        <v>2795</v>
      </c>
      <c r="N284" t="s">
        <v>2855</v>
      </c>
      <c r="O284">
        <v>2611</v>
      </c>
      <c r="P284">
        <v>3640</v>
      </c>
    </row>
    <row r="285" spans="1:16" x14ac:dyDescent="0.3">
      <c r="A285" t="s">
        <v>2329</v>
      </c>
      <c r="B285" s="45">
        <v>45481</v>
      </c>
      <c r="C285" t="s">
        <v>638</v>
      </c>
      <c r="D285" t="s">
        <v>173</v>
      </c>
      <c r="E285" t="s">
        <v>121</v>
      </c>
      <c r="F285">
        <v>1</v>
      </c>
      <c r="G285">
        <v>2720</v>
      </c>
      <c r="H285">
        <v>22.1</v>
      </c>
      <c r="I285">
        <v>2118.88</v>
      </c>
      <c r="J285" t="s">
        <v>87</v>
      </c>
      <c r="K285" t="s">
        <v>99</v>
      </c>
      <c r="L285" t="s">
        <v>99</v>
      </c>
      <c r="M285" t="s">
        <v>2795</v>
      </c>
      <c r="N285" t="s">
        <v>2862</v>
      </c>
      <c r="O285">
        <v>1962</v>
      </c>
      <c r="P285">
        <v>2720</v>
      </c>
    </row>
    <row r="286" spans="1:16" x14ac:dyDescent="0.3">
      <c r="A286" t="s">
        <v>2331</v>
      </c>
      <c r="B286" s="45">
        <v>45305</v>
      </c>
      <c r="C286" t="s">
        <v>555</v>
      </c>
      <c r="D286" t="s">
        <v>355</v>
      </c>
      <c r="E286" t="s">
        <v>192</v>
      </c>
      <c r="F286">
        <v>1</v>
      </c>
      <c r="G286">
        <v>2510</v>
      </c>
      <c r="H286">
        <v>12</v>
      </c>
      <c r="I286">
        <v>2208.8000000000002</v>
      </c>
      <c r="J286" t="s">
        <v>87</v>
      </c>
      <c r="K286" t="s">
        <v>112</v>
      </c>
      <c r="L286" t="s">
        <v>112</v>
      </c>
      <c r="M286" t="s">
        <v>2795</v>
      </c>
      <c r="N286" t="s">
        <v>2871</v>
      </c>
      <c r="O286">
        <v>1075</v>
      </c>
      <c r="P286">
        <v>2510</v>
      </c>
    </row>
    <row r="287" spans="1:16" x14ac:dyDescent="0.3">
      <c r="A287" t="s">
        <v>2332</v>
      </c>
      <c r="B287" s="45">
        <v>45593</v>
      </c>
      <c r="C287" t="s">
        <v>582</v>
      </c>
      <c r="D287" t="s">
        <v>355</v>
      </c>
      <c r="E287" t="s">
        <v>192</v>
      </c>
      <c r="F287">
        <v>4</v>
      </c>
      <c r="G287">
        <v>2510</v>
      </c>
      <c r="H287">
        <v>23.2</v>
      </c>
      <c r="I287">
        <v>7710.72</v>
      </c>
      <c r="J287" t="s">
        <v>87</v>
      </c>
      <c r="K287" t="s">
        <v>94</v>
      </c>
      <c r="L287" t="s">
        <v>94</v>
      </c>
      <c r="M287" t="s">
        <v>2795</v>
      </c>
      <c r="N287" t="s">
        <v>2879</v>
      </c>
      <c r="O287">
        <v>1075</v>
      </c>
      <c r="P287">
        <v>2510</v>
      </c>
    </row>
    <row r="288" spans="1:16" x14ac:dyDescent="0.3">
      <c r="A288" t="s">
        <v>2335</v>
      </c>
      <c r="B288" s="45">
        <v>45647</v>
      </c>
      <c r="C288" t="s">
        <v>945</v>
      </c>
      <c r="D288" t="s">
        <v>355</v>
      </c>
      <c r="E288" t="s">
        <v>103</v>
      </c>
      <c r="F288">
        <v>2</v>
      </c>
      <c r="G288">
        <v>2510</v>
      </c>
      <c r="H288">
        <v>28.2</v>
      </c>
      <c r="I288">
        <v>3604.36</v>
      </c>
      <c r="J288" t="s">
        <v>87</v>
      </c>
      <c r="K288" t="s">
        <v>88</v>
      </c>
      <c r="L288" t="s">
        <v>88</v>
      </c>
      <c r="M288" t="s">
        <v>2795</v>
      </c>
      <c r="N288" t="s">
        <v>2862</v>
      </c>
      <c r="O288">
        <v>1075</v>
      </c>
      <c r="P288">
        <v>2510</v>
      </c>
    </row>
    <row r="289" spans="1:16" x14ac:dyDescent="0.3">
      <c r="A289" t="s">
        <v>2336</v>
      </c>
      <c r="B289" s="45">
        <v>45386</v>
      </c>
      <c r="C289" t="s">
        <v>797</v>
      </c>
      <c r="D289" t="s">
        <v>91</v>
      </c>
      <c r="E289" t="s">
        <v>273</v>
      </c>
      <c r="F289">
        <v>1</v>
      </c>
      <c r="G289">
        <v>820</v>
      </c>
      <c r="H289">
        <v>4.7</v>
      </c>
      <c r="I289">
        <v>781.46</v>
      </c>
      <c r="J289" t="s">
        <v>87</v>
      </c>
      <c r="K289" t="s">
        <v>99</v>
      </c>
      <c r="L289" t="s">
        <v>99</v>
      </c>
      <c r="M289" t="s">
        <v>2795</v>
      </c>
      <c r="N289" t="s">
        <v>2871</v>
      </c>
      <c r="O289">
        <v>391</v>
      </c>
      <c r="P289">
        <v>820</v>
      </c>
    </row>
    <row r="290" spans="1:16" x14ac:dyDescent="0.3">
      <c r="A290" t="s">
        <v>2352</v>
      </c>
      <c r="B290" s="45">
        <v>45412</v>
      </c>
      <c r="C290" t="s">
        <v>385</v>
      </c>
      <c r="D290" t="s">
        <v>167</v>
      </c>
      <c r="E290" t="s">
        <v>116</v>
      </c>
      <c r="F290">
        <v>8</v>
      </c>
      <c r="G290">
        <v>2480</v>
      </c>
      <c r="H290">
        <v>3.2</v>
      </c>
      <c r="I290">
        <v>19205.12</v>
      </c>
      <c r="J290" t="s">
        <v>140</v>
      </c>
      <c r="K290" t="s">
        <v>117</v>
      </c>
      <c r="L290" t="s">
        <v>117</v>
      </c>
      <c r="M290" t="s">
        <v>2795</v>
      </c>
      <c r="N290" t="s">
        <v>2862</v>
      </c>
      <c r="O290">
        <v>1173</v>
      </c>
      <c r="P290">
        <v>2480</v>
      </c>
    </row>
    <row r="291" spans="1:16" x14ac:dyDescent="0.3">
      <c r="A291" t="s">
        <v>2362</v>
      </c>
      <c r="B291" s="45">
        <v>45627</v>
      </c>
      <c r="C291" t="s">
        <v>528</v>
      </c>
      <c r="D291" t="s">
        <v>173</v>
      </c>
      <c r="E291" t="s">
        <v>215</v>
      </c>
      <c r="F291">
        <v>6</v>
      </c>
      <c r="G291">
        <v>2720</v>
      </c>
      <c r="H291">
        <v>25.1</v>
      </c>
      <c r="I291">
        <v>12223.68</v>
      </c>
      <c r="J291" t="s">
        <v>140</v>
      </c>
      <c r="K291" t="s">
        <v>112</v>
      </c>
      <c r="L291" t="s">
        <v>112</v>
      </c>
      <c r="M291" t="s">
        <v>2795</v>
      </c>
      <c r="N291" t="s">
        <v>2862</v>
      </c>
      <c r="O291">
        <v>1962</v>
      </c>
      <c r="P291">
        <v>2720</v>
      </c>
    </row>
    <row r="292" spans="1:16" x14ac:dyDescent="0.3">
      <c r="A292" t="s">
        <v>2372</v>
      </c>
      <c r="B292" s="45">
        <v>45517</v>
      </c>
      <c r="C292" t="s">
        <v>617</v>
      </c>
      <c r="D292" t="s">
        <v>106</v>
      </c>
      <c r="E292" t="s">
        <v>86</v>
      </c>
      <c r="F292">
        <v>7</v>
      </c>
      <c r="G292">
        <v>3160</v>
      </c>
      <c r="H292">
        <v>12.3</v>
      </c>
      <c r="I292">
        <v>19399.240000000002</v>
      </c>
      <c r="J292" t="s">
        <v>87</v>
      </c>
      <c r="K292" t="s">
        <v>112</v>
      </c>
      <c r="L292" t="s">
        <v>112</v>
      </c>
      <c r="M292" t="s">
        <v>2795</v>
      </c>
      <c r="N292" t="s">
        <v>2855</v>
      </c>
      <c r="O292">
        <v>1886</v>
      </c>
      <c r="P292">
        <v>3160</v>
      </c>
    </row>
    <row r="293" spans="1:16" x14ac:dyDescent="0.3">
      <c r="A293" t="s">
        <v>2373</v>
      </c>
      <c r="B293" s="45">
        <v>45645</v>
      </c>
      <c r="C293" t="s">
        <v>403</v>
      </c>
      <c r="D293" t="s">
        <v>659</v>
      </c>
      <c r="E293" t="s">
        <v>116</v>
      </c>
      <c r="F293">
        <v>5</v>
      </c>
      <c r="G293">
        <v>3560</v>
      </c>
      <c r="H293">
        <v>24</v>
      </c>
      <c r="I293">
        <v>13528</v>
      </c>
      <c r="J293" t="s">
        <v>87</v>
      </c>
      <c r="K293" t="s">
        <v>117</v>
      </c>
      <c r="L293" t="s">
        <v>117</v>
      </c>
      <c r="M293" t="s">
        <v>2795</v>
      </c>
      <c r="N293" t="s">
        <v>2871</v>
      </c>
      <c r="O293">
        <v>2629</v>
      </c>
      <c r="P293">
        <v>3560</v>
      </c>
    </row>
    <row r="294" spans="1:16" x14ac:dyDescent="0.3">
      <c r="A294" t="s">
        <v>2392</v>
      </c>
      <c r="B294" s="45">
        <v>45410</v>
      </c>
      <c r="C294" t="s">
        <v>501</v>
      </c>
      <c r="D294" t="s">
        <v>452</v>
      </c>
      <c r="E294" t="s">
        <v>86</v>
      </c>
      <c r="F294">
        <v>10</v>
      </c>
      <c r="G294">
        <v>3450</v>
      </c>
      <c r="H294">
        <v>15.7</v>
      </c>
      <c r="I294">
        <v>29083.5</v>
      </c>
      <c r="J294" t="s">
        <v>140</v>
      </c>
      <c r="K294" t="s">
        <v>133</v>
      </c>
      <c r="L294" t="s">
        <v>133</v>
      </c>
      <c r="M294" t="s">
        <v>2795</v>
      </c>
      <c r="N294" t="s">
        <v>2871</v>
      </c>
      <c r="O294">
        <v>1748</v>
      </c>
      <c r="P294">
        <v>3450</v>
      </c>
    </row>
    <row r="295" spans="1:16" x14ac:dyDescent="0.3">
      <c r="A295" t="s">
        <v>2424</v>
      </c>
      <c r="B295" s="45">
        <v>45381</v>
      </c>
      <c r="C295" t="s">
        <v>1308</v>
      </c>
      <c r="D295" t="s">
        <v>85</v>
      </c>
      <c r="E295" t="s">
        <v>154</v>
      </c>
      <c r="F295">
        <v>2</v>
      </c>
      <c r="G295">
        <v>3620</v>
      </c>
      <c r="H295">
        <v>23</v>
      </c>
      <c r="I295">
        <v>5574.8</v>
      </c>
      <c r="J295" t="s">
        <v>87</v>
      </c>
      <c r="K295" t="s">
        <v>94</v>
      </c>
      <c r="L295" t="s">
        <v>94</v>
      </c>
      <c r="M295" t="s">
        <v>2795</v>
      </c>
      <c r="N295" t="s">
        <v>2879</v>
      </c>
      <c r="O295">
        <v>2509</v>
      </c>
      <c r="P295">
        <v>3620</v>
      </c>
    </row>
    <row r="296" spans="1:16" x14ac:dyDescent="0.3">
      <c r="A296" t="s">
        <v>2426</v>
      </c>
      <c r="B296" s="45">
        <v>45561</v>
      </c>
      <c r="C296" t="s">
        <v>394</v>
      </c>
      <c r="D296" t="s">
        <v>659</v>
      </c>
      <c r="E296" t="s">
        <v>116</v>
      </c>
      <c r="F296">
        <v>2</v>
      </c>
      <c r="G296">
        <v>3560</v>
      </c>
      <c r="H296">
        <v>5.5</v>
      </c>
      <c r="I296">
        <v>6728.4</v>
      </c>
      <c r="J296" t="s">
        <v>87</v>
      </c>
      <c r="K296" t="s">
        <v>117</v>
      </c>
      <c r="L296" t="s">
        <v>117</v>
      </c>
      <c r="M296" t="s">
        <v>2795</v>
      </c>
      <c r="N296" t="s">
        <v>2855</v>
      </c>
      <c r="O296">
        <v>2629</v>
      </c>
      <c r="P296">
        <v>3560</v>
      </c>
    </row>
    <row r="297" spans="1:16" x14ac:dyDescent="0.3">
      <c r="A297" t="s">
        <v>2439</v>
      </c>
      <c r="B297" s="45">
        <v>45413</v>
      </c>
      <c r="C297" t="s">
        <v>557</v>
      </c>
      <c r="D297" t="s">
        <v>292</v>
      </c>
      <c r="E297" t="s">
        <v>229</v>
      </c>
      <c r="F297">
        <v>7</v>
      </c>
      <c r="G297">
        <v>620</v>
      </c>
      <c r="H297">
        <v>5.8</v>
      </c>
      <c r="I297">
        <v>4088.28</v>
      </c>
      <c r="J297" t="s">
        <v>87</v>
      </c>
      <c r="K297" t="s">
        <v>112</v>
      </c>
      <c r="L297" t="s">
        <v>112</v>
      </c>
      <c r="M297" t="s">
        <v>2795</v>
      </c>
      <c r="N297" t="s">
        <v>2879</v>
      </c>
      <c r="O297">
        <v>396</v>
      </c>
      <c r="P297">
        <v>620</v>
      </c>
    </row>
    <row r="298" spans="1:16" x14ac:dyDescent="0.3">
      <c r="A298" t="s">
        <v>2442</v>
      </c>
      <c r="B298" s="45">
        <v>45626</v>
      </c>
      <c r="C298" t="s">
        <v>561</v>
      </c>
      <c r="D298" t="s">
        <v>173</v>
      </c>
      <c r="E298" t="s">
        <v>121</v>
      </c>
      <c r="F298">
        <v>10</v>
      </c>
      <c r="G298">
        <v>2720</v>
      </c>
      <c r="H298">
        <v>3.4</v>
      </c>
      <c r="I298">
        <v>26275.200000000001</v>
      </c>
      <c r="J298" t="s">
        <v>87</v>
      </c>
      <c r="K298" t="s">
        <v>133</v>
      </c>
      <c r="L298" t="s">
        <v>133</v>
      </c>
      <c r="M298" t="s">
        <v>2795</v>
      </c>
      <c r="N298" t="s">
        <v>2879</v>
      </c>
      <c r="O298">
        <v>1962</v>
      </c>
      <c r="P298">
        <v>2720</v>
      </c>
    </row>
    <row r="299" spans="1:16" x14ac:dyDescent="0.3">
      <c r="A299" t="s">
        <v>2445</v>
      </c>
      <c r="B299" s="45">
        <v>45639</v>
      </c>
      <c r="C299" t="s">
        <v>781</v>
      </c>
      <c r="D299" t="s">
        <v>85</v>
      </c>
      <c r="E299" t="s">
        <v>204</v>
      </c>
      <c r="F299">
        <v>2</v>
      </c>
      <c r="G299">
        <v>3620</v>
      </c>
      <c r="H299">
        <v>15.6</v>
      </c>
      <c r="I299">
        <v>6110.56</v>
      </c>
      <c r="J299" t="s">
        <v>87</v>
      </c>
      <c r="K299" t="s">
        <v>99</v>
      </c>
      <c r="L299" t="s">
        <v>99</v>
      </c>
      <c r="M299" t="s">
        <v>2795</v>
      </c>
      <c r="N299" t="s">
        <v>2871</v>
      </c>
      <c r="O299">
        <v>2509</v>
      </c>
      <c r="P299">
        <v>3620</v>
      </c>
    </row>
    <row r="300" spans="1:16" x14ac:dyDescent="0.3">
      <c r="A300" t="s">
        <v>2457</v>
      </c>
      <c r="B300" s="45">
        <v>45549</v>
      </c>
      <c r="C300" t="s">
        <v>266</v>
      </c>
      <c r="D300" t="s">
        <v>659</v>
      </c>
      <c r="E300" t="s">
        <v>343</v>
      </c>
      <c r="F300">
        <v>8</v>
      </c>
      <c r="G300">
        <v>3560</v>
      </c>
      <c r="H300">
        <v>23.3</v>
      </c>
      <c r="I300">
        <v>21844.16</v>
      </c>
      <c r="J300" t="s">
        <v>87</v>
      </c>
      <c r="K300" t="s">
        <v>99</v>
      </c>
      <c r="L300" t="s">
        <v>99</v>
      </c>
      <c r="M300" t="s">
        <v>2795</v>
      </c>
      <c r="N300" t="s">
        <v>2862</v>
      </c>
      <c r="O300">
        <v>2629</v>
      </c>
      <c r="P300">
        <v>3560</v>
      </c>
    </row>
    <row r="301" spans="1:16" x14ac:dyDescent="0.3">
      <c r="A301" t="s">
        <v>2464</v>
      </c>
      <c r="B301" s="45">
        <v>45384</v>
      </c>
      <c r="C301" t="s">
        <v>595</v>
      </c>
      <c r="D301" t="s">
        <v>106</v>
      </c>
      <c r="E301" t="s">
        <v>103</v>
      </c>
      <c r="F301">
        <v>5</v>
      </c>
      <c r="G301">
        <v>3160</v>
      </c>
      <c r="H301">
        <v>1.3</v>
      </c>
      <c r="I301">
        <v>15594.6</v>
      </c>
      <c r="J301" t="s">
        <v>87</v>
      </c>
      <c r="K301" t="s">
        <v>99</v>
      </c>
      <c r="L301" t="s">
        <v>99</v>
      </c>
      <c r="M301" t="s">
        <v>2795</v>
      </c>
      <c r="N301" t="s">
        <v>2879</v>
      </c>
      <c r="O301">
        <v>1886</v>
      </c>
      <c r="P301">
        <v>3160</v>
      </c>
    </row>
    <row r="302" spans="1:16" x14ac:dyDescent="0.3">
      <c r="A302" t="s">
        <v>2467</v>
      </c>
      <c r="B302" s="45">
        <v>45586</v>
      </c>
      <c r="C302" t="s">
        <v>333</v>
      </c>
      <c r="D302" t="s">
        <v>659</v>
      </c>
      <c r="E302" t="s">
        <v>170</v>
      </c>
      <c r="F302">
        <v>3</v>
      </c>
      <c r="G302">
        <v>3560</v>
      </c>
      <c r="H302">
        <v>23.6</v>
      </c>
      <c r="I302">
        <v>8159.52</v>
      </c>
      <c r="J302" t="s">
        <v>87</v>
      </c>
      <c r="K302" t="s">
        <v>133</v>
      </c>
      <c r="L302" t="s">
        <v>133</v>
      </c>
      <c r="M302" t="s">
        <v>2795</v>
      </c>
      <c r="N302" t="s">
        <v>2871</v>
      </c>
      <c r="O302">
        <v>2629</v>
      </c>
      <c r="P302">
        <v>3560</v>
      </c>
    </row>
    <row r="303" spans="1:16" x14ac:dyDescent="0.3">
      <c r="A303" t="s">
        <v>2472</v>
      </c>
      <c r="B303" s="45">
        <v>45517</v>
      </c>
      <c r="C303" t="s">
        <v>684</v>
      </c>
      <c r="D303" t="s">
        <v>452</v>
      </c>
      <c r="E303" t="s">
        <v>229</v>
      </c>
      <c r="F303">
        <v>7</v>
      </c>
      <c r="G303">
        <v>3450</v>
      </c>
      <c r="H303">
        <v>4</v>
      </c>
      <c r="I303">
        <v>23184</v>
      </c>
      <c r="J303" t="s">
        <v>87</v>
      </c>
      <c r="K303" t="s">
        <v>99</v>
      </c>
      <c r="L303" t="s">
        <v>99</v>
      </c>
      <c r="M303" t="s">
        <v>2795</v>
      </c>
      <c r="N303" t="s">
        <v>2855</v>
      </c>
      <c r="O303">
        <v>1748</v>
      </c>
      <c r="P303">
        <v>3450</v>
      </c>
    </row>
    <row r="304" spans="1:16" x14ac:dyDescent="0.3">
      <c r="A304" t="s">
        <v>2473</v>
      </c>
      <c r="B304" s="45">
        <v>45311</v>
      </c>
      <c r="C304" t="s">
        <v>244</v>
      </c>
      <c r="D304" t="s">
        <v>355</v>
      </c>
      <c r="E304" t="s">
        <v>121</v>
      </c>
      <c r="F304">
        <v>6</v>
      </c>
      <c r="G304">
        <v>2510</v>
      </c>
      <c r="H304">
        <v>12.7</v>
      </c>
      <c r="I304">
        <v>13147.38</v>
      </c>
      <c r="J304" t="s">
        <v>87</v>
      </c>
      <c r="K304" t="s">
        <v>94</v>
      </c>
      <c r="L304" t="s">
        <v>94</v>
      </c>
      <c r="M304" t="s">
        <v>2795</v>
      </c>
      <c r="N304" t="s">
        <v>2879</v>
      </c>
      <c r="O304">
        <v>1075</v>
      </c>
      <c r="P304">
        <v>2510</v>
      </c>
    </row>
    <row r="305" spans="1:16" x14ac:dyDescent="0.3">
      <c r="A305" t="s">
        <v>2479</v>
      </c>
      <c r="B305" s="45">
        <v>45407</v>
      </c>
      <c r="C305" t="s">
        <v>1350</v>
      </c>
      <c r="D305" t="s">
        <v>167</v>
      </c>
      <c r="E305" t="s">
        <v>303</v>
      </c>
      <c r="F305">
        <v>2</v>
      </c>
      <c r="G305">
        <v>2480</v>
      </c>
      <c r="H305">
        <v>11.5</v>
      </c>
      <c r="I305">
        <v>4389.6000000000004</v>
      </c>
      <c r="J305" t="s">
        <v>140</v>
      </c>
      <c r="K305" t="s">
        <v>112</v>
      </c>
      <c r="L305" t="s">
        <v>112</v>
      </c>
      <c r="M305" t="s">
        <v>2795</v>
      </c>
      <c r="N305" t="s">
        <v>2862</v>
      </c>
      <c r="O305">
        <v>1173</v>
      </c>
      <c r="P305">
        <v>2480</v>
      </c>
    </row>
    <row r="306" spans="1:16" x14ac:dyDescent="0.3">
      <c r="A306" t="s">
        <v>2483</v>
      </c>
      <c r="B306" s="45">
        <v>45422</v>
      </c>
      <c r="C306" t="s">
        <v>585</v>
      </c>
      <c r="D306" t="s">
        <v>91</v>
      </c>
      <c r="E306" t="s">
        <v>238</v>
      </c>
      <c r="F306">
        <v>1</v>
      </c>
      <c r="G306">
        <v>820</v>
      </c>
      <c r="H306">
        <v>14.5</v>
      </c>
      <c r="I306">
        <v>701.1</v>
      </c>
      <c r="J306" t="s">
        <v>140</v>
      </c>
      <c r="K306" t="s">
        <v>94</v>
      </c>
      <c r="L306" t="s">
        <v>94</v>
      </c>
      <c r="M306" t="s">
        <v>2795</v>
      </c>
      <c r="N306" t="s">
        <v>2871</v>
      </c>
      <c r="O306">
        <v>391</v>
      </c>
      <c r="P306">
        <v>820</v>
      </c>
    </row>
    <row r="307" spans="1:16" x14ac:dyDescent="0.3">
      <c r="A307" t="s">
        <v>2486</v>
      </c>
      <c r="B307" s="45">
        <v>45298</v>
      </c>
      <c r="C307" t="s">
        <v>166</v>
      </c>
      <c r="D307" t="s">
        <v>167</v>
      </c>
      <c r="E307" t="s">
        <v>285</v>
      </c>
      <c r="F307">
        <v>9</v>
      </c>
      <c r="G307">
        <v>2480</v>
      </c>
      <c r="H307">
        <v>24.3</v>
      </c>
      <c r="I307">
        <v>16896.240000000002</v>
      </c>
      <c r="J307" t="s">
        <v>87</v>
      </c>
      <c r="K307" t="s">
        <v>133</v>
      </c>
      <c r="L307" t="s">
        <v>133</v>
      </c>
      <c r="M307" t="s">
        <v>2795</v>
      </c>
      <c r="N307" t="s">
        <v>2862</v>
      </c>
      <c r="O307">
        <v>1173</v>
      </c>
      <c r="P307">
        <v>2480</v>
      </c>
    </row>
    <row r="308" spans="1:16" x14ac:dyDescent="0.3">
      <c r="A308" t="s">
        <v>155</v>
      </c>
      <c r="B308" s="45">
        <v>45654</v>
      </c>
      <c r="C308" t="s">
        <v>156</v>
      </c>
      <c r="D308" t="s">
        <v>157</v>
      </c>
      <c r="E308" t="s">
        <v>158</v>
      </c>
      <c r="F308">
        <v>8</v>
      </c>
      <c r="G308">
        <v>3450</v>
      </c>
      <c r="H308">
        <v>18.5</v>
      </c>
      <c r="I308">
        <v>22494</v>
      </c>
      <c r="J308" t="s">
        <v>87</v>
      </c>
      <c r="K308" t="s">
        <v>133</v>
      </c>
      <c r="L308" t="s">
        <v>133</v>
      </c>
      <c r="M308" t="s">
        <v>2828</v>
      </c>
      <c r="N308" t="s">
        <v>2871</v>
      </c>
      <c r="O308">
        <v>2420</v>
      </c>
      <c r="P308">
        <v>3450</v>
      </c>
    </row>
    <row r="309" spans="1:16" x14ac:dyDescent="0.3">
      <c r="A309" t="s">
        <v>174</v>
      </c>
      <c r="B309" s="45">
        <v>45472</v>
      </c>
      <c r="C309" t="s">
        <v>175</v>
      </c>
      <c r="D309" t="s">
        <v>176</v>
      </c>
      <c r="E309" t="s">
        <v>148</v>
      </c>
      <c r="F309">
        <v>2</v>
      </c>
      <c r="G309">
        <v>1650</v>
      </c>
      <c r="H309">
        <v>9.4</v>
      </c>
      <c r="I309">
        <v>2989.8</v>
      </c>
      <c r="J309" t="s">
        <v>87</v>
      </c>
      <c r="K309" t="s">
        <v>133</v>
      </c>
      <c r="L309" t="s">
        <v>133</v>
      </c>
      <c r="M309" t="s">
        <v>2828</v>
      </c>
      <c r="N309" t="s">
        <v>2855</v>
      </c>
      <c r="O309">
        <v>1222</v>
      </c>
      <c r="P309">
        <v>1650</v>
      </c>
    </row>
    <row r="310" spans="1:16" x14ac:dyDescent="0.3">
      <c r="A310" t="s">
        <v>177</v>
      </c>
      <c r="B310" s="45">
        <v>45394</v>
      </c>
      <c r="C310" t="s">
        <v>178</v>
      </c>
      <c r="D310" t="s">
        <v>179</v>
      </c>
      <c r="E310" t="s">
        <v>154</v>
      </c>
      <c r="F310">
        <v>6</v>
      </c>
      <c r="G310">
        <v>3350</v>
      </c>
      <c r="H310">
        <v>6.1</v>
      </c>
      <c r="I310">
        <v>18873.900000000001</v>
      </c>
      <c r="J310" t="s">
        <v>93</v>
      </c>
      <c r="K310" t="s">
        <v>94</v>
      </c>
      <c r="L310" t="s">
        <v>94</v>
      </c>
      <c r="M310" t="s">
        <v>2828</v>
      </c>
      <c r="N310" t="s">
        <v>2871</v>
      </c>
      <c r="O310">
        <v>1728</v>
      </c>
      <c r="P310">
        <v>3350</v>
      </c>
    </row>
    <row r="311" spans="1:16" x14ac:dyDescent="0.3">
      <c r="A311" t="s">
        <v>183</v>
      </c>
      <c r="B311" s="45">
        <v>45401</v>
      </c>
      <c r="C311" t="s">
        <v>96</v>
      </c>
      <c r="D311" t="s">
        <v>184</v>
      </c>
      <c r="E311" t="s">
        <v>103</v>
      </c>
      <c r="F311">
        <v>5</v>
      </c>
      <c r="G311">
        <v>4880</v>
      </c>
      <c r="H311">
        <v>23.6</v>
      </c>
      <c r="I311">
        <v>18641.599999999999</v>
      </c>
      <c r="J311" t="s">
        <v>87</v>
      </c>
      <c r="K311" t="s">
        <v>99</v>
      </c>
      <c r="L311" t="s">
        <v>99</v>
      </c>
      <c r="M311" t="s">
        <v>2828</v>
      </c>
      <c r="N311" t="s">
        <v>2855</v>
      </c>
      <c r="O311">
        <v>2768</v>
      </c>
      <c r="P311">
        <v>4880</v>
      </c>
    </row>
    <row r="312" spans="1:16" x14ac:dyDescent="0.3">
      <c r="A312" t="s">
        <v>189</v>
      </c>
      <c r="B312" s="45">
        <v>45363</v>
      </c>
      <c r="C312" t="s">
        <v>190</v>
      </c>
      <c r="D312" t="s">
        <v>191</v>
      </c>
      <c r="E312" t="s">
        <v>192</v>
      </c>
      <c r="F312">
        <v>9</v>
      </c>
      <c r="G312">
        <v>5100</v>
      </c>
      <c r="H312">
        <v>16.7</v>
      </c>
      <c r="I312">
        <v>38234.699999999997</v>
      </c>
      <c r="J312" t="s">
        <v>87</v>
      </c>
      <c r="K312" t="s">
        <v>133</v>
      </c>
      <c r="L312" t="s">
        <v>133</v>
      </c>
      <c r="M312" t="s">
        <v>2828</v>
      </c>
      <c r="N312" t="s">
        <v>2871</v>
      </c>
      <c r="O312">
        <v>2237</v>
      </c>
      <c r="P312">
        <v>5100</v>
      </c>
    </row>
    <row r="313" spans="1:16" x14ac:dyDescent="0.3">
      <c r="A313" t="s">
        <v>207</v>
      </c>
      <c r="B313" s="45">
        <v>45462</v>
      </c>
      <c r="C313" t="s">
        <v>208</v>
      </c>
      <c r="D313" t="s">
        <v>191</v>
      </c>
      <c r="E313" t="s">
        <v>121</v>
      </c>
      <c r="F313">
        <v>8</v>
      </c>
      <c r="G313">
        <v>5100</v>
      </c>
      <c r="H313">
        <v>26.4</v>
      </c>
      <c r="I313">
        <v>30028.799999999999</v>
      </c>
      <c r="J313" t="s">
        <v>140</v>
      </c>
      <c r="K313" t="s">
        <v>133</v>
      </c>
      <c r="L313" t="s">
        <v>133</v>
      </c>
      <c r="M313" t="s">
        <v>2828</v>
      </c>
      <c r="N313" t="s">
        <v>2871</v>
      </c>
      <c r="O313">
        <v>2237</v>
      </c>
      <c r="P313">
        <v>5100</v>
      </c>
    </row>
    <row r="314" spans="1:16" x14ac:dyDescent="0.3">
      <c r="A314" t="s">
        <v>218</v>
      </c>
      <c r="B314" s="45">
        <v>45599</v>
      </c>
      <c r="C314" t="s">
        <v>219</v>
      </c>
      <c r="D314" t="s">
        <v>176</v>
      </c>
      <c r="E314" t="s">
        <v>154</v>
      </c>
      <c r="F314">
        <v>9</v>
      </c>
      <c r="G314">
        <v>1650</v>
      </c>
      <c r="H314">
        <v>11.6</v>
      </c>
      <c r="I314">
        <v>13127.4</v>
      </c>
      <c r="J314" t="s">
        <v>87</v>
      </c>
      <c r="K314" t="s">
        <v>99</v>
      </c>
      <c r="L314" t="s">
        <v>99</v>
      </c>
      <c r="M314" t="s">
        <v>2828</v>
      </c>
      <c r="N314" t="s">
        <v>2871</v>
      </c>
      <c r="O314">
        <v>1222</v>
      </c>
      <c r="P314">
        <v>1650</v>
      </c>
    </row>
    <row r="315" spans="1:16" x14ac:dyDescent="0.3">
      <c r="A315" t="s">
        <v>222</v>
      </c>
      <c r="B315" s="45">
        <v>45432</v>
      </c>
      <c r="C315" t="s">
        <v>223</v>
      </c>
      <c r="D315" t="s">
        <v>184</v>
      </c>
      <c r="E315" t="s">
        <v>98</v>
      </c>
      <c r="F315">
        <v>10</v>
      </c>
      <c r="G315">
        <v>4880</v>
      </c>
      <c r="H315">
        <v>12.7</v>
      </c>
      <c r="I315">
        <v>42602.400000000001</v>
      </c>
      <c r="J315" t="s">
        <v>87</v>
      </c>
      <c r="K315" t="s">
        <v>99</v>
      </c>
      <c r="L315" t="s">
        <v>99</v>
      </c>
      <c r="M315" t="s">
        <v>2828</v>
      </c>
      <c r="N315" t="s">
        <v>2862</v>
      </c>
      <c r="O315">
        <v>2768</v>
      </c>
      <c r="P315">
        <v>4880</v>
      </c>
    </row>
    <row r="316" spans="1:16" x14ac:dyDescent="0.3">
      <c r="A316" t="s">
        <v>227</v>
      </c>
      <c r="B316" s="45">
        <v>45396</v>
      </c>
      <c r="C316" t="s">
        <v>228</v>
      </c>
      <c r="D316" t="s">
        <v>157</v>
      </c>
      <c r="E316" t="s">
        <v>229</v>
      </c>
      <c r="F316">
        <v>4</v>
      </c>
      <c r="G316">
        <v>3450</v>
      </c>
      <c r="H316">
        <v>20.7</v>
      </c>
      <c r="I316">
        <v>10943.4</v>
      </c>
      <c r="J316" t="s">
        <v>87</v>
      </c>
      <c r="K316" t="s">
        <v>112</v>
      </c>
      <c r="L316" t="s">
        <v>112</v>
      </c>
      <c r="M316" t="s">
        <v>2828</v>
      </c>
      <c r="N316" t="s">
        <v>2879</v>
      </c>
      <c r="O316">
        <v>2420</v>
      </c>
      <c r="P316">
        <v>3450</v>
      </c>
    </row>
    <row r="317" spans="1:16" x14ac:dyDescent="0.3">
      <c r="A317" t="s">
        <v>239</v>
      </c>
      <c r="B317" s="45">
        <v>45370</v>
      </c>
      <c r="C317" t="s">
        <v>240</v>
      </c>
      <c r="D317" t="s">
        <v>241</v>
      </c>
      <c r="E317" t="s">
        <v>148</v>
      </c>
      <c r="F317">
        <v>8</v>
      </c>
      <c r="G317">
        <v>6080</v>
      </c>
      <c r="H317">
        <v>24.4</v>
      </c>
      <c r="I317">
        <v>36771.839999999997</v>
      </c>
      <c r="J317" t="s">
        <v>87</v>
      </c>
      <c r="K317" t="s">
        <v>88</v>
      </c>
      <c r="L317" t="s">
        <v>88</v>
      </c>
      <c r="M317" t="s">
        <v>2828</v>
      </c>
      <c r="N317" t="s">
        <v>2855</v>
      </c>
      <c r="O317">
        <v>2617</v>
      </c>
      <c r="P317">
        <v>6080</v>
      </c>
    </row>
    <row r="318" spans="1:16" x14ac:dyDescent="0.3">
      <c r="A318" t="s">
        <v>249</v>
      </c>
      <c r="B318" s="45">
        <v>45506</v>
      </c>
      <c r="C318" t="s">
        <v>250</v>
      </c>
      <c r="D318" t="s">
        <v>184</v>
      </c>
      <c r="E318" t="s">
        <v>204</v>
      </c>
      <c r="F318">
        <v>1</v>
      </c>
      <c r="G318">
        <v>4880</v>
      </c>
      <c r="H318">
        <v>23.9</v>
      </c>
      <c r="I318">
        <v>3713.68</v>
      </c>
      <c r="J318" t="s">
        <v>93</v>
      </c>
      <c r="K318" t="s">
        <v>117</v>
      </c>
      <c r="L318" t="s">
        <v>117</v>
      </c>
      <c r="M318" t="s">
        <v>2828</v>
      </c>
      <c r="N318" t="s">
        <v>2862</v>
      </c>
      <c r="O318">
        <v>2768</v>
      </c>
      <c r="P318">
        <v>4880</v>
      </c>
    </row>
    <row r="319" spans="1:16" x14ac:dyDescent="0.3">
      <c r="A319" t="s">
        <v>257</v>
      </c>
      <c r="B319" s="45">
        <v>45649</v>
      </c>
      <c r="C319" t="s">
        <v>258</v>
      </c>
      <c r="D319" t="s">
        <v>259</v>
      </c>
      <c r="E319" t="s">
        <v>154</v>
      </c>
      <c r="F319">
        <v>4</v>
      </c>
      <c r="G319">
        <v>1540</v>
      </c>
      <c r="H319">
        <v>28.8</v>
      </c>
      <c r="I319">
        <v>4385.92</v>
      </c>
      <c r="J319" t="s">
        <v>87</v>
      </c>
      <c r="K319" t="s">
        <v>99</v>
      </c>
      <c r="L319" t="s">
        <v>99</v>
      </c>
      <c r="M319" t="s">
        <v>2828</v>
      </c>
      <c r="N319" t="s">
        <v>2871</v>
      </c>
      <c r="O319">
        <v>647</v>
      </c>
      <c r="P319">
        <v>1540</v>
      </c>
    </row>
    <row r="320" spans="1:16" x14ac:dyDescent="0.3">
      <c r="A320" t="s">
        <v>274</v>
      </c>
      <c r="B320" s="45">
        <v>45488</v>
      </c>
      <c r="C320" t="s">
        <v>275</v>
      </c>
      <c r="D320" t="s">
        <v>276</v>
      </c>
      <c r="E320" t="s">
        <v>103</v>
      </c>
      <c r="F320">
        <v>10</v>
      </c>
      <c r="G320">
        <v>3020</v>
      </c>
      <c r="H320">
        <v>25.4</v>
      </c>
      <c r="I320">
        <v>22529.200000000001</v>
      </c>
      <c r="J320" t="s">
        <v>87</v>
      </c>
      <c r="K320" t="s">
        <v>88</v>
      </c>
      <c r="L320" t="s">
        <v>88</v>
      </c>
      <c r="M320" t="s">
        <v>2828</v>
      </c>
      <c r="N320" t="s">
        <v>2855</v>
      </c>
      <c r="O320">
        <v>1626</v>
      </c>
      <c r="P320">
        <v>3020</v>
      </c>
    </row>
    <row r="321" spans="1:16" x14ac:dyDescent="0.3">
      <c r="A321" t="s">
        <v>300</v>
      </c>
      <c r="B321" s="45">
        <v>45483</v>
      </c>
      <c r="C321" t="s">
        <v>301</v>
      </c>
      <c r="D321" t="s">
        <v>179</v>
      </c>
      <c r="E321" t="s">
        <v>148</v>
      </c>
      <c r="F321">
        <v>9</v>
      </c>
      <c r="G321">
        <v>3350</v>
      </c>
      <c r="H321">
        <v>25.8</v>
      </c>
      <c r="I321">
        <v>22371.3</v>
      </c>
      <c r="J321" t="s">
        <v>93</v>
      </c>
      <c r="K321" t="s">
        <v>94</v>
      </c>
      <c r="L321" t="s">
        <v>94</v>
      </c>
      <c r="M321" t="s">
        <v>2828</v>
      </c>
      <c r="N321" t="s">
        <v>2855</v>
      </c>
      <c r="O321">
        <v>1728</v>
      </c>
      <c r="P321">
        <v>3350</v>
      </c>
    </row>
    <row r="322" spans="1:16" x14ac:dyDescent="0.3">
      <c r="A322" t="s">
        <v>323</v>
      </c>
      <c r="B322" s="45">
        <v>45424</v>
      </c>
      <c r="C322" t="s">
        <v>324</v>
      </c>
      <c r="D322" t="s">
        <v>276</v>
      </c>
      <c r="E322" t="s">
        <v>325</v>
      </c>
      <c r="F322">
        <v>5</v>
      </c>
      <c r="G322">
        <v>3020</v>
      </c>
      <c r="H322">
        <v>22.2</v>
      </c>
      <c r="I322">
        <v>11747.8</v>
      </c>
      <c r="J322" t="s">
        <v>87</v>
      </c>
      <c r="K322" t="s">
        <v>133</v>
      </c>
      <c r="L322" t="s">
        <v>133</v>
      </c>
      <c r="M322" t="s">
        <v>2828</v>
      </c>
      <c r="N322" t="s">
        <v>2862</v>
      </c>
      <c r="O322">
        <v>1626</v>
      </c>
      <c r="P322">
        <v>3020</v>
      </c>
    </row>
    <row r="323" spans="1:16" x14ac:dyDescent="0.3">
      <c r="A323" t="s">
        <v>341</v>
      </c>
      <c r="B323" s="45">
        <v>45607</v>
      </c>
      <c r="C323" t="s">
        <v>342</v>
      </c>
      <c r="D323" t="s">
        <v>191</v>
      </c>
      <c r="E323" t="s">
        <v>343</v>
      </c>
      <c r="F323">
        <v>10</v>
      </c>
      <c r="G323">
        <v>5100</v>
      </c>
      <c r="H323">
        <v>25.4</v>
      </c>
      <c r="I323">
        <v>38046</v>
      </c>
      <c r="J323" t="s">
        <v>144</v>
      </c>
      <c r="K323" t="s">
        <v>94</v>
      </c>
      <c r="L323" t="s">
        <v>94</v>
      </c>
      <c r="M323" t="s">
        <v>2828</v>
      </c>
      <c r="N323" t="s">
        <v>2879</v>
      </c>
      <c r="O323">
        <v>2237</v>
      </c>
      <c r="P323">
        <v>5100</v>
      </c>
    </row>
    <row r="324" spans="1:16" x14ac:dyDescent="0.3">
      <c r="A324" t="s">
        <v>352</v>
      </c>
      <c r="B324" s="45">
        <v>45426</v>
      </c>
      <c r="C324" t="s">
        <v>353</v>
      </c>
      <c r="D324" t="s">
        <v>241</v>
      </c>
      <c r="E324" t="s">
        <v>343</v>
      </c>
      <c r="F324">
        <v>6</v>
      </c>
      <c r="G324">
        <v>6080</v>
      </c>
      <c r="H324">
        <v>16.5</v>
      </c>
      <c r="I324">
        <v>30460.799999999999</v>
      </c>
      <c r="J324" t="s">
        <v>87</v>
      </c>
      <c r="K324" t="s">
        <v>94</v>
      </c>
      <c r="L324" t="s">
        <v>94</v>
      </c>
      <c r="M324" t="s">
        <v>2828</v>
      </c>
      <c r="N324" t="s">
        <v>2879</v>
      </c>
      <c r="O324">
        <v>2617</v>
      </c>
      <c r="P324">
        <v>6080</v>
      </c>
    </row>
    <row r="325" spans="1:16" x14ac:dyDescent="0.3">
      <c r="A325" t="s">
        <v>379</v>
      </c>
      <c r="B325" s="45">
        <v>45394</v>
      </c>
      <c r="C325" t="s">
        <v>137</v>
      </c>
      <c r="D325" t="s">
        <v>380</v>
      </c>
      <c r="E325" t="s">
        <v>343</v>
      </c>
      <c r="F325">
        <v>4</v>
      </c>
      <c r="G325">
        <v>960</v>
      </c>
      <c r="H325">
        <v>26</v>
      </c>
      <c r="I325">
        <v>2841.6</v>
      </c>
      <c r="J325" t="s">
        <v>87</v>
      </c>
      <c r="K325" t="s">
        <v>99</v>
      </c>
      <c r="L325" t="s">
        <v>99</v>
      </c>
      <c r="M325" t="s">
        <v>2828</v>
      </c>
      <c r="N325" t="s">
        <v>2879</v>
      </c>
      <c r="O325">
        <v>675</v>
      </c>
      <c r="P325">
        <v>960</v>
      </c>
    </row>
    <row r="326" spans="1:16" x14ac:dyDescent="0.3">
      <c r="A326" t="s">
        <v>384</v>
      </c>
      <c r="B326" s="45">
        <v>45597</v>
      </c>
      <c r="C326" t="s">
        <v>385</v>
      </c>
      <c r="D326" t="s">
        <v>386</v>
      </c>
      <c r="E326" t="s">
        <v>128</v>
      </c>
      <c r="F326">
        <v>8</v>
      </c>
      <c r="G326">
        <v>2290</v>
      </c>
      <c r="H326">
        <v>20.8</v>
      </c>
      <c r="I326">
        <v>14509.44</v>
      </c>
      <c r="J326" t="s">
        <v>87</v>
      </c>
      <c r="K326" t="s">
        <v>117</v>
      </c>
      <c r="L326" t="s">
        <v>117</v>
      </c>
      <c r="M326" t="s">
        <v>2828</v>
      </c>
      <c r="N326" t="s">
        <v>2879</v>
      </c>
      <c r="O326">
        <v>1219</v>
      </c>
      <c r="P326">
        <v>2290</v>
      </c>
    </row>
    <row r="327" spans="1:16" x14ac:dyDescent="0.3">
      <c r="A327" t="s">
        <v>393</v>
      </c>
      <c r="B327" s="45">
        <v>45329</v>
      </c>
      <c r="C327" t="s">
        <v>394</v>
      </c>
      <c r="D327" t="s">
        <v>179</v>
      </c>
      <c r="E327" t="s">
        <v>86</v>
      </c>
      <c r="F327">
        <v>6</v>
      </c>
      <c r="G327">
        <v>3350</v>
      </c>
      <c r="H327">
        <v>2.2999999999999998</v>
      </c>
      <c r="I327">
        <v>19637.7</v>
      </c>
      <c r="J327" t="s">
        <v>140</v>
      </c>
      <c r="K327" t="s">
        <v>117</v>
      </c>
      <c r="L327" t="s">
        <v>117</v>
      </c>
      <c r="M327" t="s">
        <v>2828</v>
      </c>
      <c r="N327" t="s">
        <v>2855</v>
      </c>
      <c r="O327">
        <v>1728</v>
      </c>
      <c r="P327">
        <v>3350</v>
      </c>
    </row>
    <row r="328" spans="1:16" x14ac:dyDescent="0.3">
      <c r="A328" t="s">
        <v>402</v>
      </c>
      <c r="B328" s="45">
        <v>45628</v>
      </c>
      <c r="C328" t="s">
        <v>403</v>
      </c>
      <c r="D328" t="s">
        <v>176</v>
      </c>
      <c r="E328" t="s">
        <v>111</v>
      </c>
      <c r="F328">
        <v>5</v>
      </c>
      <c r="G328">
        <v>1650</v>
      </c>
      <c r="H328">
        <v>4.9000000000000004</v>
      </c>
      <c r="I328">
        <v>7845.75</v>
      </c>
      <c r="J328" t="s">
        <v>87</v>
      </c>
      <c r="K328" t="s">
        <v>117</v>
      </c>
      <c r="L328" t="s">
        <v>117</v>
      </c>
      <c r="M328" t="s">
        <v>2828</v>
      </c>
      <c r="N328" t="s">
        <v>2879</v>
      </c>
      <c r="O328">
        <v>1222</v>
      </c>
      <c r="P328">
        <v>1650</v>
      </c>
    </row>
    <row r="329" spans="1:16" x14ac:dyDescent="0.3">
      <c r="A329" t="s">
        <v>404</v>
      </c>
      <c r="B329" s="45">
        <v>45592</v>
      </c>
      <c r="C329" t="s">
        <v>405</v>
      </c>
      <c r="D329" t="s">
        <v>380</v>
      </c>
      <c r="E329" t="s">
        <v>132</v>
      </c>
      <c r="F329">
        <v>9</v>
      </c>
      <c r="G329">
        <v>960</v>
      </c>
      <c r="H329">
        <v>25.1</v>
      </c>
      <c r="I329">
        <v>6471.36</v>
      </c>
      <c r="J329" t="s">
        <v>144</v>
      </c>
      <c r="K329" t="s">
        <v>94</v>
      </c>
      <c r="L329" t="s">
        <v>94</v>
      </c>
      <c r="M329" t="s">
        <v>2828</v>
      </c>
      <c r="N329" t="s">
        <v>2862</v>
      </c>
      <c r="O329">
        <v>675</v>
      </c>
      <c r="P329">
        <v>960</v>
      </c>
    </row>
    <row r="330" spans="1:16" x14ac:dyDescent="0.3">
      <c r="A330" t="s">
        <v>414</v>
      </c>
      <c r="B330" s="45">
        <v>45524</v>
      </c>
      <c r="C330" t="s">
        <v>156</v>
      </c>
      <c r="D330" t="s">
        <v>184</v>
      </c>
      <c r="E330" t="s">
        <v>148</v>
      </c>
      <c r="F330">
        <v>8</v>
      </c>
      <c r="G330">
        <v>4880</v>
      </c>
      <c r="H330">
        <v>13.4</v>
      </c>
      <c r="I330">
        <v>33808.639999999999</v>
      </c>
      <c r="J330" t="s">
        <v>87</v>
      </c>
      <c r="K330" t="s">
        <v>133</v>
      </c>
      <c r="L330" t="s">
        <v>133</v>
      </c>
      <c r="M330" t="s">
        <v>2828</v>
      </c>
      <c r="N330" t="s">
        <v>2855</v>
      </c>
      <c r="O330">
        <v>2768</v>
      </c>
      <c r="P330">
        <v>4880</v>
      </c>
    </row>
    <row r="331" spans="1:16" x14ac:dyDescent="0.3">
      <c r="A331" t="s">
        <v>417</v>
      </c>
      <c r="B331" s="45">
        <v>45463</v>
      </c>
      <c r="C331" t="s">
        <v>418</v>
      </c>
      <c r="D331" t="s">
        <v>386</v>
      </c>
      <c r="E331" t="s">
        <v>297</v>
      </c>
      <c r="F331">
        <v>4</v>
      </c>
      <c r="G331">
        <v>2290</v>
      </c>
      <c r="H331">
        <v>15.2</v>
      </c>
      <c r="I331">
        <v>7767.68</v>
      </c>
      <c r="J331" t="s">
        <v>87</v>
      </c>
      <c r="K331" t="s">
        <v>133</v>
      </c>
      <c r="L331" t="s">
        <v>133</v>
      </c>
      <c r="M331" t="s">
        <v>2828</v>
      </c>
      <c r="N331" t="s">
        <v>2855</v>
      </c>
      <c r="O331">
        <v>1219</v>
      </c>
      <c r="P331">
        <v>2290</v>
      </c>
    </row>
    <row r="332" spans="1:16" x14ac:dyDescent="0.3">
      <c r="A332" t="s">
        <v>446</v>
      </c>
      <c r="B332" s="45">
        <v>45318</v>
      </c>
      <c r="C332" t="s">
        <v>447</v>
      </c>
      <c r="D332" t="s">
        <v>191</v>
      </c>
      <c r="E332" t="s">
        <v>273</v>
      </c>
      <c r="F332">
        <v>7</v>
      </c>
      <c r="G332">
        <v>5100</v>
      </c>
      <c r="H332">
        <v>28.8</v>
      </c>
      <c r="I332">
        <v>25418.400000000001</v>
      </c>
      <c r="J332" t="s">
        <v>87</v>
      </c>
      <c r="K332" t="s">
        <v>112</v>
      </c>
      <c r="L332" t="s">
        <v>112</v>
      </c>
      <c r="M332" t="s">
        <v>2828</v>
      </c>
      <c r="N332" t="s">
        <v>2862</v>
      </c>
      <c r="O332">
        <v>2237</v>
      </c>
      <c r="P332">
        <v>5100</v>
      </c>
    </row>
    <row r="333" spans="1:16" x14ac:dyDescent="0.3">
      <c r="A333" t="s">
        <v>462</v>
      </c>
      <c r="B333" s="45">
        <v>45428</v>
      </c>
      <c r="C333" t="s">
        <v>463</v>
      </c>
      <c r="D333" t="s">
        <v>276</v>
      </c>
      <c r="E333" t="s">
        <v>158</v>
      </c>
      <c r="F333">
        <v>4</v>
      </c>
      <c r="G333">
        <v>3020</v>
      </c>
      <c r="H333">
        <v>18.899999999999999</v>
      </c>
      <c r="I333">
        <v>9796.8799999999992</v>
      </c>
      <c r="J333" t="s">
        <v>87</v>
      </c>
      <c r="K333" t="s">
        <v>117</v>
      </c>
      <c r="L333" t="s">
        <v>117</v>
      </c>
      <c r="M333" t="s">
        <v>2828</v>
      </c>
      <c r="N333" t="s">
        <v>2871</v>
      </c>
      <c r="O333">
        <v>1626</v>
      </c>
      <c r="P333">
        <v>3020</v>
      </c>
    </row>
    <row r="334" spans="1:16" x14ac:dyDescent="0.3">
      <c r="A334" t="s">
        <v>466</v>
      </c>
      <c r="B334" s="45">
        <v>45394</v>
      </c>
      <c r="C334" t="s">
        <v>333</v>
      </c>
      <c r="D334" t="s">
        <v>184</v>
      </c>
      <c r="E334" t="s">
        <v>303</v>
      </c>
      <c r="F334">
        <v>8</v>
      </c>
      <c r="G334">
        <v>4880</v>
      </c>
      <c r="H334">
        <v>20.3</v>
      </c>
      <c r="I334">
        <v>31114.880000000001</v>
      </c>
      <c r="J334" t="s">
        <v>87</v>
      </c>
      <c r="K334" t="s">
        <v>133</v>
      </c>
      <c r="L334" t="s">
        <v>133</v>
      </c>
      <c r="M334" t="s">
        <v>2828</v>
      </c>
      <c r="N334" t="s">
        <v>2871</v>
      </c>
      <c r="O334">
        <v>2768</v>
      </c>
      <c r="P334">
        <v>4880</v>
      </c>
    </row>
    <row r="335" spans="1:16" x14ac:dyDescent="0.3">
      <c r="A335" t="s">
        <v>478</v>
      </c>
      <c r="B335" s="45">
        <v>45294</v>
      </c>
      <c r="C335" t="s">
        <v>479</v>
      </c>
      <c r="D335" t="s">
        <v>241</v>
      </c>
      <c r="E335" t="s">
        <v>297</v>
      </c>
      <c r="F335">
        <v>1</v>
      </c>
      <c r="G335">
        <v>6080</v>
      </c>
      <c r="H335">
        <v>25.5</v>
      </c>
      <c r="I335">
        <v>4529.6000000000004</v>
      </c>
      <c r="J335" t="s">
        <v>87</v>
      </c>
      <c r="K335" t="s">
        <v>88</v>
      </c>
      <c r="L335" t="s">
        <v>88</v>
      </c>
      <c r="M335" t="s">
        <v>2828</v>
      </c>
      <c r="N335" t="s">
        <v>2855</v>
      </c>
      <c r="O335">
        <v>2617</v>
      </c>
      <c r="P335">
        <v>6080</v>
      </c>
    </row>
    <row r="336" spans="1:16" x14ac:dyDescent="0.3">
      <c r="A336" t="s">
        <v>498</v>
      </c>
      <c r="B336" s="45">
        <v>45456</v>
      </c>
      <c r="C336" t="s">
        <v>411</v>
      </c>
      <c r="D336" t="s">
        <v>176</v>
      </c>
      <c r="E336" t="s">
        <v>346</v>
      </c>
      <c r="F336">
        <v>6</v>
      </c>
      <c r="G336">
        <v>1650</v>
      </c>
      <c r="H336">
        <v>11.3</v>
      </c>
      <c r="I336">
        <v>8781.2999999999993</v>
      </c>
      <c r="J336" t="s">
        <v>93</v>
      </c>
      <c r="K336" t="s">
        <v>112</v>
      </c>
      <c r="L336" t="s">
        <v>112</v>
      </c>
      <c r="M336" t="s">
        <v>2828</v>
      </c>
      <c r="N336" t="s">
        <v>2862</v>
      </c>
      <c r="O336">
        <v>1222</v>
      </c>
      <c r="P336">
        <v>1650</v>
      </c>
    </row>
    <row r="337" spans="1:16" x14ac:dyDescent="0.3">
      <c r="A337" t="s">
        <v>503</v>
      </c>
      <c r="B337" s="45">
        <v>45564</v>
      </c>
      <c r="C337" t="s">
        <v>504</v>
      </c>
      <c r="D337" t="s">
        <v>380</v>
      </c>
      <c r="E337" t="s">
        <v>111</v>
      </c>
      <c r="F337">
        <v>4</v>
      </c>
      <c r="G337">
        <v>960</v>
      </c>
      <c r="H337">
        <v>23.4</v>
      </c>
      <c r="I337">
        <v>2941.44</v>
      </c>
      <c r="J337" t="s">
        <v>87</v>
      </c>
      <c r="K337" t="s">
        <v>117</v>
      </c>
      <c r="L337" t="s">
        <v>117</v>
      </c>
      <c r="M337" t="s">
        <v>2828</v>
      </c>
      <c r="N337" t="s">
        <v>2879</v>
      </c>
      <c r="O337">
        <v>675</v>
      </c>
      <c r="P337">
        <v>960</v>
      </c>
    </row>
    <row r="338" spans="1:16" x14ac:dyDescent="0.3">
      <c r="A338" t="s">
        <v>505</v>
      </c>
      <c r="B338" s="45">
        <v>45539</v>
      </c>
      <c r="C338" t="s">
        <v>247</v>
      </c>
      <c r="D338" t="s">
        <v>179</v>
      </c>
      <c r="E338" t="s">
        <v>158</v>
      </c>
      <c r="F338">
        <v>3</v>
      </c>
      <c r="G338">
        <v>3350</v>
      </c>
      <c r="H338">
        <v>17.899999999999999</v>
      </c>
      <c r="I338">
        <v>8251.0499999999993</v>
      </c>
      <c r="J338" t="s">
        <v>87</v>
      </c>
      <c r="K338" t="s">
        <v>117</v>
      </c>
      <c r="L338" t="s">
        <v>117</v>
      </c>
      <c r="M338" t="s">
        <v>2828</v>
      </c>
      <c r="N338" t="s">
        <v>2871</v>
      </c>
      <c r="O338">
        <v>1728</v>
      </c>
      <c r="P338">
        <v>3350</v>
      </c>
    </row>
    <row r="339" spans="1:16" x14ac:dyDescent="0.3">
      <c r="A339" t="s">
        <v>513</v>
      </c>
      <c r="B339" s="45">
        <v>45483</v>
      </c>
      <c r="C339" t="s">
        <v>126</v>
      </c>
      <c r="D339" t="s">
        <v>276</v>
      </c>
      <c r="E339" t="s">
        <v>128</v>
      </c>
      <c r="F339">
        <v>8</v>
      </c>
      <c r="G339">
        <v>3020</v>
      </c>
      <c r="H339">
        <v>16.3</v>
      </c>
      <c r="I339">
        <v>20221.919999999998</v>
      </c>
      <c r="J339" t="s">
        <v>140</v>
      </c>
      <c r="K339" t="s">
        <v>88</v>
      </c>
      <c r="L339" t="s">
        <v>88</v>
      </c>
      <c r="M339" t="s">
        <v>2828</v>
      </c>
      <c r="N339" t="s">
        <v>2879</v>
      </c>
      <c r="O339">
        <v>1626</v>
      </c>
      <c r="P339">
        <v>3020</v>
      </c>
    </row>
    <row r="340" spans="1:16" x14ac:dyDescent="0.3">
      <c r="A340" t="s">
        <v>516</v>
      </c>
      <c r="B340" s="45">
        <v>45546</v>
      </c>
      <c r="C340" t="s">
        <v>487</v>
      </c>
      <c r="D340" t="s">
        <v>259</v>
      </c>
      <c r="E340" t="s">
        <v>325</v>
      </c>
      <c r="F340">
        <v>8</v>
      </c>
      <c r="G340">
        <v>1540</v>
      </c>
      <c r="H340">
        <v>21</v>
      </c>
      <c r="I340">
        <v>9732.7999999999993</v>
      </c>
      <c r="J340" t="s">
        <v>87</v>
      </c>
      <c r="K340" t="s">
        <v>88</v>
      </c>
      <c r="L340" t="s">
        <v>88</v>
      </c>
      <c r="M340" t="s">
        <v>2828</v>
      </c>
      <c r="N340" t="s">
        <v>2862</v>
      </c>
      <c r="O340">
        <v>647</v>
      </c>
      <c r="P340">
        <v>1540</v>
      </c>
    </row>
    <row r="341" spans="1:16" x14ac:dyDescent="0.3">
      <c r="A341" t="s">
        <v>532</v>
      </c>
      <c r="B341" s="45">
        <v>45591</v>
      </c>
      <c r="C341" t="s">
        <v>533</v>
      </c>
      <c r="D341" t="s">
        <v>179</v>
      </c>
      <c r="E341" t="s">
        <v>204</v>
      </c>
      <c r="F341">
        <v>6</v>
      </c>
      <c r="G341">
        <v>3350</v>
      </c>
      <c r="H341">
        <v>17.899999999999999</v>
      </c>
      <c r="I341">
        <v>16502.099999999999</v>
      </c>
      <c r="J341" t="s">
        <v>87</v>
      </c>
      <c r="K341" t="s">
        <v>99</v>
      </c>
      <c r="L341" t="s">
        <v>99</v>
      </c>
      <c r="M341" t="s">
        <v>2828</v>
      </c>
      <c r="N341" t="s">
        <v>2862</v>
      </c>
      <c r="O341">
        <v>1728</v>
      </c>
      <c r="P341">
        <v>3350</v>
      </c>
    </row>
    <row r="342" spans="1:16" x14ac:dyDescent="0.3">
      <c r="A342" t="s">
        <v>543</v>
      </c>
      <c r="B342" s="45">
        <v>45335</v>
      </c>
      <c r="C342" t="s">
        <v>544</v>
      </c>
      <c r="D342" t="s">
        <v>184</v>
      </c>
      <c r="E342" t="s">
        <v>303</v>
      </c>
      <c r="F342">
        <v>8</v>
      </c>
      <c r="G342">
        <v>4880</v>
      </c>
      <c r="H342">
        <v>11.9</v>
      </c>
      <c r="I342">
        <v>34394.239999999998</v>
      </c>
      <c r="J342" t="s">
        <v>87</v>
      </c>
      <c r="K342" t="s">
        <v>133</v>
      </c>
      <c r="L342" t="s">
        <v>133</v>
      </c>
      <c r="M342" t="s">
        <v>2828</v>
      </c>
      <c r="N342" t="s">
        <v>2871</v>
      </c>
      <c r="O342">
        <v>2768</v>
      </c>
      <c r="P342">
        <v>4880</v>
      </c>
    </row>
    <row r="343" spans="1:16" x14ac:dyDescent="0.3">
      <c r="A343" t="s">
        <v>556</v>
      </c>
      <c r="B343" s="45">
        <v>45531</v>
      </c>
      <c r="C343" t="s">
        <v>557</v>
      </c>
      <c r="D343" t="s">
        <v>380</v>
      </c>
      <c r="E343" t="s">
        <v>215</v>
      </c>
      <c r="F343">
        <v>2</v>
      </c>
      <c r="G343">
        <v>960</v>
      </c>
      <c r="H343">
        <v>18.600000000000001</v>
      </c>
      <c r="I343">
        <v>1562.88</v>
      </c>
      <c r="J343" t="s">
        <v>87</v>
      </c>
      <c r="K343" t="s">
        <v>112</v>
      </c>
      <c r="L343" t="s">
        <v>112</v>
      </c>
      <c r="M343" t="s">
        <v>2828</v>
      </c>
      <c r="N343" t="s">
        <v>2855</v>
      </c>
      <c r="O343">
        <v>675</v>
      </c>
      <c r="P343">
        <v>960</v>
      </c>
    </row>
    <row r="344" spans="1:16" x14ac:dyDescent="0.3">
      <c r="A344" t="s">
        <v>558</v>
      </c>
      <c r="B344" s="45">
        <v>45546</v>
      </c>
      <c r="C344" t="s">
        <v>559</v>
      </c>
      <c r="D344" t="s">
        <v>157</v>
      </c>
      <c r="E344" t="s">
        <v>303</v>
      </c>
      <c r="F344">
        <v>2</v>
      </c>
      <c r="G344">
        <v>3450</v>
      </c>
      <c r="H344">
        <v>3.7</v>
      </c>
      <c r="I344">
        <v>6644.7</v>
      </c>
      <c r="J344" t="s">
        <v>87</v>
      </c>
      <c r="K344" t="s">
        <v>88</v>
      </c>
      <c r="L344" t="s">
        <v>88</v>
      </c>
      <c r="M344" t="s">
        <v>2828</v>
      </c>
      <c r="N344" t="s">
        <v>2871</v>
      </c>
      <c r="O344">
        <v>2420</v>
      </c>
      <c r="P344">
        <v>3450</v>
      </c>
    </row>
    <row r="345" spans="1:16" x14ac:dyDescent="0.3">
      <c r="A345" t="s">
        <v>560</v>
      </c>
      <c r="B345" s="45">
        <v>45608</v>
      </c>
      <c r="C345" t="s">
        <v>561</v>
      </c>
      <c r="D345" t="s">
        <v>191</v>
      </c>
      <c r="E345" t="s">
        <v>86</v>
      </c>
      <c r="F345">
        <v>6</v>
      </c>
      <c r="G345">
        <v>5100</v>
      </c>
      <c r="H345">
        <v>1.2</v>
      </c>
      <c r="I345">
        <v>30232.799999999999</v>
      </c>
      <c r="J345" t="s">
        <v>87</v>
      </c>
      <c r="K345" t="s">
        <v>133</v>
      </c>
      <c r="L345" t="s">
        <v>133</v>
      </c>
      <c r="M345" t="s">
        <v>2828</v>
      </c>
      <c r="N345" t="s">
        <v>2855</v>
      </c>
      <c r="O345">
        <v>2237</v>
      </c>
      <c r="P345">
        <v>5100</v>
      </c>
    </row>
    <row r="346" spans="1:16" x14ac:dyDescent="0.3">
      <c r="A346" t="s">
        <v>564</v>
      </c>
      <c r="B346" s="45">
        <v>45405</v>
      </c>
      <c r="C346" t="s">
        <v>565</v>
      </c>
      <c r="D346" t="s">
        <v>184</v>
      </c>
      <c r="E346" t="s">
        <v>192</v>
      </c>
      <c r="F346">
        <v>7</v>
      </c>
      <c r="G346">
        <v>4880</v>
      </c>
      <c r="H346">
        <v>16.899999999999999</v>
      </c>
      <c r="I346">
        <v>28386.959999999999</v>
      </c>
      <c r="J346" t="s">
        <v>93</v>
      </c>
      <c r="K346" t="s">
        <v>112</v>
      </c>
      <c r="L346" t="s">
        <v>112</v>
      </c>
      <c r="M346" t="s">
        <v>2828</v>
      </c>
      <c r="N346" t="s">
        <v>2871</v>
      </c>
      <c r="O346">
        <v>2768</v>
      </c>
      <c r="P346">
        <v>4880</v>
      </c>
    </row>
    <row r="347" spans="1:16" x14ac:dyDescent="0.3">
      <c r="A347" t="s">
        <v>568</v>
      </c>
      <c r="B347" s="45">
        <v>45298</v>
      </c>
      <c r="C347" t="s">
        <v>442</v>
      </c>
      <c r="D347" t="s">
        <v>157</v>
      </c>
      <c r="E347" t="s">
        <v>103</v>
      </c>
      <c r="F347">
        <v>3</v>
      </c>
      <c r="G347">
        <v>3450</v>
      </c>
      <c r="H347">
        <v>5.4</v>
      </c>
      <c r="I347">
        <v>9791.1</v>
      </c>
      <c r="J347" t="s">
        <v>93</v>
      </c>
      <c r="K347" t="s">
        <v>88</v>
      </c>
      <c r="L347" t="s">
        <v>88</v>
      </c>
      <c r="M347" t="s">
        <v>2828</v>
      </c>
      <c r="N347" t="s">
        <v>2855</v>
      </c>
      <c r="O347">
        <v>2420</v>
      </c>
      <c r="P347">
        <v>3450</v>
      </c>
    </row>
    <row r="348" spans="1:16" x14ac:dyDescent="0.3">
      <c r="A348" t="s">
        <v>569</v>
      </c>
      <c r="B348" s="45">
        <v>45346</v>
      </c>
      <c r="C348" t="s">
        <v>570</v>
      </c>
      <c r="D348" t="s">
        <v>241</v>
      </c>
      <c r="E348" t="s">
        <v>158</v>
      </c>
      <c r="F348">
        <v>5</v>
      </c>
      <c r="G348">
        <v>6080</v>
      </c>
      <c r="H348">
        <v>18</v>
      </c>
      <c r="I348">
        <v>24928</v>
      </c>
      <c r="J348" t="s">
        <v>87</v>
      </c>
      <c r="K348" t="s">
        <v>99</v>
      </c>
      <c r="L348" t="s">
        <v>99</v>
      </c>
      <c r="M348" t="s">
        <v>2828</v>
      </c>
      <c r="N348" t="s">
        <v>2871</v>
      </c>
      <c r="O348">
        <v>2617</v>
      </c>
      <c r="P348">
        <v>6080</v>
      </c>
    </row>
    <row r="349" spans="1:16" x14ac:dyDescent="0.3">
      <c r="A349" t="s">
        <v>571</v>
      </c>
      <c r="B349" s="45">
        <v>45487</v>
      </c>
      <c r="C349" t="s">
        <v>440</v>
      </c>
      <c r="D349" t="s">
        <v>241</v>
      </c>
      <c r="E349" t="s">
        <v>285</v>
      </c>
      <c r="F349">
        <v>7</v>
      </c>
      <c r="G349">
        <v>6080</v>
      </c>
      <c r="H349">
        <v>9.1999999999999993</v>
      </c>
      <c r="I349">
        <v>38644.480000000003</v>
      </c>
      <c r="J349" t="s">
        <v>87</v>
      </c>
      <c r="K349" t="s">
        <v>88</v>
      </c>
      <c r="L349" t="s">
        <v>88</v>
      </c>
      <c r="M349" t="s">
        <v>2828</v>
      </c>
      <c r="N349" t="s">
        <v>2871</v>
      </c>
      <c r="O349">
        <v>2617</v>
      </c>
      <c r="P349">
        <v>6080</v>
      </c>
    </row>
    <row r="350" spans="1:16" x14ac:dyDescent="0.3">
      <c r="A350" t="s">
        <v>573</v>
      </c>
      <c r="B350" s="45">
        <v>45373</v>
      </c>
      <c r="C350" t="s">
        <v>371</v>
      </c>
      <c r="D350" t="s">
        <v>184</v>
      </c>
      <c r="E350" t="s">
        <v>346</v>
      </c>
      <c r="F350">
        <v>10</v>
      </c>
      <c r="G350">
        <v>4880</v>
      </c>
      <c r="H350">
        <v>24.5</v>
      </c>
      <c r="I350">
        <v>36844</v>
      </c>
      <c r="J350" t="s">
        <v>144</v>
      </c>
      <c r="K350" t="s">
        <v>112</v>
      </c>
      <c r="L350" t="s">
        <v>112</v>
      </c>
      <c r="M350" t="s">
        <v>2828</v>
      </c>
      <c r="N350" t="s">
        <v>2862</v>
      </c>
      <c r="O350">
        <v>2768</v>
      </c>
      <c r="P350">
        <v>4880</v>
      </c>
    </row>
    <row r="351" spans="1:16" x14ac:dyDescent="0.3">
      <c r="A351" t="s">
        <v>577</v>
      </c>
      <c r="B351" s="45">
        <v>45542</v>
      </c>
      <c r="C351" t="s">
        <v>553</v>
      </c>
      <c r="D351" t="s">
        <v>386</v>
      </c>
      <c r="E351" t="s">
        <v>116</v>
      </c>
      <c r="F351">
        <v>6</v>
      </c>
      <c r="G351">
        <v>2290</v>
      </c>
      <c r="H351">
        <v>25.9</v>
      </c>
      <c r="I351">
        <v>10181.34</v>
      </c>
      <c r="J351" t="s">
        <v>93</v>
      </c>
      <c r="K351" t="s">
        <v>112</v>
      </c>
      <c r="L351" t="s">
        <v>112</v>
      </c>
      <c r="M351" t="s">
        <v>2828</v>
      </c>
      <c r="N351" t="s">
        <v>2879</v>
      </c>
      <c r="O351">
        <v>1219</v>
      </c>
      <c r="P351">
        <v>2290</v>
      </c>
    </row>
    <row r="352" spans="1:16" x14ac:dyDescent="0.3">
      <c r="A352" t="s">
        <v>581</v>
      </c>
      <c r="B352" s="45">
        <v>45344</v>
      </c>
      <c r="C352" t="s">
        <v>582</v>
      </c>
      <c r="D352" t="s">
        <v>241</v>
      </c>
      <c r="E352" t="s">
        <v>297</v>
      </c>
      <c r="F352">
        <v>4</v>
      </c>
      <c r="G352">
        <v>6080</v>
      </c>
      <c r="H352">
        <v>28.8</v>
      </c>
      <c r="I352">
        <v>17315.84</v>
      </c>
      <c r="J352" t="s">
        <v>93</v>
      </c>
      <c r="K352" t="s">
        <v>94</v>
      </c>
      <c r="L352" t="s">
        <v>94</v>
      </c>
      <c r="M352" t="s">
        <v>2828</v>
      </c>
      <c r="N352" t="s">
        <v>2855</v>
      </c>
      <c r="O352">
        <v>2617</v>
      </c>
      <c r="P352">
        <v>6080</v>
      </c>
    </row>
    <row r="353" spans="1:16" x14ac:dyDescent="0.3">
      <c r="A353" t="s">
        <v>587</v>
      </c>
      <c r="B353" s="45">
        <v>45488</v>
      </c>
      <c r="C353" t="s">
        <v>126</v>
      </c>
      <c r="D353" t="s">
        <v>184</v>
      </c>
      <c r="E353" t="s">
        <v>98</v>
      </c>
      <c r="F353">
        <v>1</v>
      </c>
      <c r="G353">
        <v>4880</v>
      </c>
      <c r="H353">
        <v>17.5</v>
      </c>
      <c r="I353">
        <v>4026</v>
      </c>
      <c r="J353" t="s">
        <v>87</v>
      </c>
      <c r="K353" t="s">
        <v>88</v>
      </c>
      <c r="L353" t="s">
        <v>88</v>
      </c>
      <c r="M353" t="s">
        <v>2828</v>
      </c>
      <c r="N353" t="s">
        <v>2862</v>
      </c>
      <c r="O353">
        <v>2768</v>
      </c>
      <c r="P353">
        <v>4880</v>
      </c>
    </row>
    <row r="354" spans="1:16" x14ac:dyDescent="0.3">
      <c r="A354" t="s">
        <v>590</v>
      </c>
      <c r="B354" s="45">
        <v>45627</v>
      </c>
      <c r="C354" t="s">
        <v>308</v>
      </c>
      <c r="D354" t="s">
        <v>259</v>
      </c>
      <c r="E354" t="s">
        <v>297</v>
      </c>
      <c r="F354">
        <v>3</v>
      </c>
      <c r="G354">
        <v>1540</v>
      </c>
      <c r="H354">
        <v>20.9</v>
      </c>
      <c r="I354">
        <v>3654.42</v>
      </c>
      <c r="J354" t="s">
        <v>87</v>
      </c>
      <c r="K354" t="s">
        <v>88</v>
      </c>
      <c r="L354" t="s">
        <v>88</v>
      </c>
      <c r="M354" t="s">
        <v>2828</v>
      </c>
      <c r="N354" t="s">
        <v>2855</v>
      </c>
      <c r="O354">
        <v>647</v>
      </c>
      <c r="P354">
        <v>1540</v>
      </c>
    </row>
    <row r="355" spans="1:16" x14ac:dyDescent="0.3">
      <c r="A355" t="s">
        <v>609</v>
      </c>
      <c r="B355" s="45">
        <v>45333</v>
      </c>
      <c r="C355" t="s">
        <v>610</v>
      </c>
      <c r="D355" t="s">
        <v>157</v>
      </c>
      <c r="E355" t="s">
        <v>238</v>
      </c>
      <c r="F355">
        <v>3</v>
      </c>
      <c r="G355">
        <v>3450</v>
      </c>
      <c r="H355">
        <v>4.4000000000000004</v>
      </c>
      <c r="I355">
        <v>9894.6</v>
      </c>
      <c r="J355" t="s">
        <v>140</v>
      </c>
      <c r="K355" t="s">
        <v>117</v>
      </c>
      <c r="L355" t="s">
        <v>117</v>
      </c>
      <c r="M355" t="s">
        <v>2828</v>
      </c>
      <c r="N355" t="s">
        <v>2871</v>
      </c>
      <c r="O355">
        <v>2420</v>
      </c>
      <c r="P355">
        <v>3450</v>
      </c>
    </row>
    <row r="356" spans="1:16" x14ac:dyDescent="0.3">
      <c r="A356" t="s">
        <v>632</v>
      </c>
      <c r="B356" s="45">
        <v>45299</v>
      </c>
      <c r="C356" t="s">
        <v>228</v>
      </c>
      <c r="D356" t="s">
        <v>241</v>
      </c>
      <c r="E356" t="s">
        <v>273</v>
      </c>
      <c r="F356">
        <v>1</v>
      </c>
      <c r="G356">
        <v>6080</v>
      </c>
      <c r="H356">
        <v>0.1</v>
      </c>
      <c r="I356">
        <v>6073.92</v>
      </c>
      <c r="J356" t="s">
        <v>87</v>
      </c>
      <c r="K356" t="s">
        <v>112</v>
      </c>
      <c r="L356" t="s">
        <v>112</v>
      </c>
      <c r="M356" t="s">
        <v>2828</v>
      </c>
      <c r="N356" t="s">
        <v>2862</v>
      </c>
      <c r="O356">
        <v>2617</v>
      </c>
      <c r="P356">
        <v>6080</v>
      </c>
    </row>
    <row r="357" spans="1:16" x14ac:dyDescent="0.3">
      <c r="A357" t="s">
        <v>645</v>
      </c>
      <c r="B357" s="45">
        <v>45408</v>
      </c>
      <c r="C357" t="s">
        <v>522</v>
      </c>
      <c r="D357" t="s">
        <v>191</v>
      </c>
      <c r="E357" t="s">
        <v>103</v>
      </c>
      <c r="F357">
        <v>7</v>
      </c>
      <c r="G357">
        <v>5100</v>
      </c>
      <c r="H357">
        <v>4.3</v>
      </c>
      <c r="I357">
        <v>34164.9</v>
      </c>
      <c r="J357" t="s">
        <v>87</v>
      </c>
      <c r="K357" t="s">
        <v>99</v>
      </c>
      <c r="L357" t="s">
        <v>99</v>
      </c>
      <c r="M357" t="s">
        <v>2828</v>
      </c>
      <c r="N357" t="s">
        <v>2855</v>
      </c>
      <c r="O357">
        <v>2237</v>
      </c>
      <c r="P357">
        <v>5100</v>
      </c>
    </row>
    <row r="358" spans="1:16" x14ac:dyDescent="0.3">
      <c r="A358" t="s">
        <v>649</v>
      </c>
      <c r="B358" s="45">
        <v>45529</v>
      </c>
      <c r="C358" t="s">
        <v>385</v>
      </c>
      <c r="D358" t="s">
        <v>176</v>
      </c>
      <c r="E358" t="s">
        <v>215</v>
      </c>
      <c r="F358">
        <v>1</v>
      </c>
      <c r="G358">
        <v>1650</v>
      </c>
      <c r="H358">
        <v>26.2</v>
      </c>
      <c r="I358">
        <v>1217.7</v>
      </c>
      <c r="J358" t="s">
        <v>87</v>
      </c>
      <c r="K358" t="s">
        <v>117</v>
      </c>
      <c r="L358" t="s">
        <v>117</v>
      </c>
      <c r="M358" t="s">
        <v>2828</v>
      </c>
      <c r="N358" t="s">
        <v>2855</v>
      </c>
      <c r="O358">
        <v>1222</v>
      </c>
      <c r="P358">
        <v>1650</v>
      </c>
    </row>
    <row r="359" spans="1:16" x14ac:dyDescent="0.3">
      <c r="A359" t="s">
        <v>654</v>
      </c>
      <c r="B359" s="45">
        <v>45314</v>
      </c>
      <c r="C359" t="s">
        <v>655</v>
      </c>
      <c r="D359" t="s">
        <v>276</v>
      </c>
      <c r="E359" t="s">
        <v>111</v>
      </c>
      <c r="F359">
        <v>3</v>
      </c>
      <c r="G359">
        <v>3020</v>
      </c>
      <c r="H359">
        <v>22.6</v>
      </c>
      <c r="I359">
        <v>7012.44</v>
      </c>
      <c r="J359" t="s">
        <v>87</v>
      </c>
      <c r="K359" t="s">
        <v>133</v>
      </c>
      <c r="L359" t="s">
        <v>133</v>
      </c>
      <c r="M359" t="s">
        <v>2828</v>
      </c>
      <c r="N359" t="s">
        <v>2879</v>
      </c>
      <c r="O359">
        <v>1626</v>
      </c>
      <c r="P359">
        <v>3020</v>
      </c>
    </row>
    <row r="360" spans="1:16" x14ac:dyDescent="0.3">
      <c r="A360" t="s">
        <v>677</v>
      </c>
      <c r="B360" s="45">
        <v>45564</v>
      </c>
      <c r="C360" t="s">
        <v>294</v>
      </c>
      <c r="D360" t="s">
        <v>184</v>
      </c>
      <c r="E360" t="s">
        <v>132</v>
      </c>
      <c r="F360">
        <v>5</v>
      </c>
      <c r="G360">
        <v>4880</v>
      </c>
      <c r="H360">
        <v>11.4</v>
      </c>
      <c r="I360">
        <v>21618.400000000001</v>
      </c>
      <c r="J360" t="s">
        <v>87</v>
      </c>
      <c r="K360" t="s">
        <v>133</v>
      </c>
      <c r="L360" t="s">
        <v>133</v>
      </c>
      <c r="M360" t="s">
        <v>2828</v>
      </c>
      <c r="N360" t="s">
        <v>2862</v>
      </c>
      <c r="O360">
        <v>2768</v>
      </c>
      <c r="P360">
        <v>4880</v>
      </c>
    </row>
    <row r="361" spans="1:16" x14ac:dyDescent="0.3">
      <c r="A361" t="s">
        <v>681</v>
      </c>
      <c r="B361" s="45">
        <v>45403</v>
      </c>
      <c r="C361" t="s">
        <v>160</v>
      </c>
      <c r="D361" t="s">
        <v>386</v>
      </c>
      <c r="E361" t="s">
        <v>252</v>
      </c>
      <c r="F361">
        <v>9</v>
      </c>
      <c r="G361">
        <v>2290</v>
      </c>
      <c r="H361">
        <v>3.3</v>
      </c>
      <c r="I361">
        <v>19929.87</v>
      </c>
      <c r="J361" t="s">
        <v>93</v>
      </c>
      <c r="K361" t="s">
        <v>112</v>
      </c>
      <c r="L361" t="s">
        <v>112</v>
      </c>
      <c r="M361" t="s">
        <v>2828</v>
      </c>
      <c r="N361" t="s">
        <v>2862</v>
      </c>
      <c r="O361">
        <v>1219</v>
      </c>
      <c r="P361">
        <v>2290</v>
      </c>
    </row>
    <row r="362" spans="1:16" x14ac:dyDescent="0.3">
      <c r="A362" t="s">
        <v>687</v>
      </c>
      <c r="B362" s="45">
        <v>45368</v>
      </c>
      <c r="C362" t="s">
        <v>333</v>
      </c>
      <c r="D362" t="s">
        <v>259</v>
      </c>
      <c r="E362" t="s">
        <v>103</v>
      </c>
      <c r="F362">
        <v>8</v>
      </c>
      <c r="G362">
        <v>1540</v>
      </c>
      <c r="H362">
        <v>29.4</v>
      </c>
      <c r="I362">
        <v>8697.92</v>
      </c>
      <c r="J362" t="s">
        <v>140</v>
      </c>
      <c r="K362" t="s">
        <v>133</v>
      </c>
      <c r="L362" t="s">
        <v>133</v>
      </c>
      <c r="M362" t="s">
        <v>2828</v>
      </c>
      <c r="N362" t="s">
        <v>2855</v>
      </c>
      <c r="O362">
        <v>647</v>
      </c>
      <c r="P362">
        <v>1540</v>
      </c>
    </row>
    <row r="363" spans="1:16" x14ac:dyDescent="0.3">
      <c r="A363" t="s">
        <v>688</v>
      </c>
      <c r="B363" s="45">
        <v>45374</v>
      </c>
      <c r="C363" t="s">
        <v>689</v>
      </c>
      <c r="D363" t="s">
        <v>184</v>
      </c>
      <c r="E363" t="s">
        <v>285</v>
      </c>
      <c r="F363">
        <v>1</v>
      </c>
      <c r="G363">
        <v>4880</v>
      </c>
      <c r="H363">
        <v>18.100000000000001</v>
      </c>
      <c r="I363">
        <v>3996.72</v>
      </c>
      <c r="J363" t="s">
        <v>87</v>
      </c>
      <c r="K363" t="s">
        <v>133</v>
      </c>
      <c r="L363" t="s">
        <v>133</v>
      </c>
      <c r="M363" t="s">
        <v>2828</v>
      </c>
      <c r="N363" t="s">
        <v>2871</v>
      </c>
      <c r="O363">
        <v>2768</v>
      </c>
      <c r="P363">
        <v>4880</v>
      </c>
    </row>
    <row r="364" spans="1:16" x14ac:dyDescent="0.3">
      <c r="A364" t="s">
        <v>692</v>
      </c>
      <c r="B364" s="45">
        <v>45481</v>
      </c>
      <c r="C364" t="s">
        <v>130</v>
      </c>
      <c r="D364" t="s">
        <v>276</v>
      </c>
      <c r="E364" t="s">
        <v>98</v>
      </c>
      <c r="F364">
        <v>8</v>
      </c>
      <c r="G364">
        <v>3020</v>
      </c>
      <c r="H364">
        <v>15.2</v>
      </c>
      <c r="I364">
        <v>20487.68</v>
      </c>
      <c r="J364" t="s">
        <v>93</v>
      </c>
      <c r="K364" t="s">
        <v>133</v>
      </c>
      <c r="L364" t="s">
        <v>133</v>
      </c>
      <c r="M364" t="s">
        <v>2828</v>
      </c>
      <c r="N364" t="s">
        <v>2862</v>
      </c>
      <c r="O364">
        <v>1626</v>
      </c>
      <c r="P364">
        <v>3020</v>
      </c>
    </row>
    <row r="365" spans="1:16" x14ac:dyDescent="0.3">
      <c r="A365" t="s">
        <v>693</v>
      </c>
      <c r="B365" s="45">
        <v>45517</v>
      </c>
      <c r="C365" t="s">
        <v>328</v>
      </c>
      <c r="D365" t="s">
        <v>259</v>
      </c>
      <c r="E365" t="s">
        <v>121</v>
      </c>
      <c r="F365">
        <v>10</v>
      </c>
      <c r="G365">
        <v>1540</v>
      </c>
      <c r="H365">
        <v>0.6</v>
      </c>
      <c r="I365">
        <v>15307.6</v>
      </c>
      <c r="J365" t="s">
        <v>87</v>
      </c>
      <c r="K365" t="s">
        <v>94</v>
      </c>
      <c r="L365" t="s">
        <v>94</v>
      </c>
      <c r="M365" t="s">
        <v>2828</v>
      </c>
      <c r="N365" t="s">
        <v>2871</v>
      </c>
      <c r="O365">
        <v>647</v>
      </c>
      <c r="P365">
        <v>1540</v>
      </c>
    </row>
    <row r="366" spans="1:16" x14ac:dyDescent="0.3">
      <c r="A366" t="s">
        <v>709</v>
      </c>
      <c r="B366" s="45">
        <v>45422</v>
      </c>
      <c r="C366" t="s">
        <v>454</v>
      </c>
      <c r="D366" t="s">
        <v>241</v>
      </c>
      <c r="E366" t="s">
        <v>139</v>
      </c>
      <c r="F366">
        <v>1</v>
      </c>
      <c r="G366">
        <v>6080</v>
      </c>
      <c r="H366">
        <v>29.4</v>
      </c>
      <c r="I366">
        <v>4292.4799999999996</v>
      </c>
      <c r="J366" t="s">
        <v>140</v>
      </c>
      <c r="K366" t="s">
        <v>133</v>
      </c>
      <c r="L366" t="s">
        <v>133</v>
      </c>
      <c r="M366" t="s">
        <v>2828</v>
      </c>
      <c r="N366" t="s">
        <v>2855</v>
      </c>
      <c r="O366">
        <v>2617</v>
      </c>
      <c r="P366">
        <v>6080</v>
      </c>
    </row>
    <row r="367" spans="1:16" x14ac:dyDescent="0.3">
      <c r="A367" t="s">
        <v>711</v>
      </c>
      <c r="B367" s="45">
        <v>45646</v>
      </c>
      <c r="C367" t="s">
        <v>712</v>
      </c>
      <c r="D367" t="s">
        <v>276</v>
      </c>
      <c r="E367" t="s">
        <v>116</v>
      </c>
      <c r="F367">
        <v>9</v>
      </c>
      <c r="G367">
        <v>3020</v>
      </c>
      <c r="H367">
        <v>7.9</v>
      </c>
      <c r="I367">
        <v>25032.78</v>
      </c>
      <c r="J367" t="s">
        <v>87</v>
      </c>
      <c r="K367" t="s">
        <v>112</v>
      </c>
      <c r="L367" t="s">
        <v>112</v>
      </c>
      <c r="M367" t="s">
        <v>2828</v>
      </c>
      <c r="N367" t="s">
        <v>2879</v>
      </c>
      <c r="O367">
        <v>1626</v>
      </c>
      <c r="P367">
        <v>3020</v>
      </c>
    </row>
    <row r="368" spans="1:16" x14ac:dyDescent="0.3">
      <c r="A368" t="s">
        <v>715</v>
      </c>
      <c r="B368" s="45">
        <v>45528</v>
      </c>
      <c r="C368" t="s">
        <v>440</v>
      </c>
      <c r="D368" t="s">
        <v>157</v>
      </c>
      <c r="E368" t="s">
        <v>170</v>
      </c>
      <c r="F368">
        <v>6</v>
      </c>
      <c r="G368">
        <v>3450</v>
      </c>
      <c r="H368">
        <v>13.9</v>
      </c>
      <c r="I368">
        <v>17822.7</v>
      </c>
      <c r="J368" t="s">
        <v>87</v>
      </c>
      <c r="K368" t="s">
        <v>88</v>
      </c>
      <c r="L368" t="s">
        <v>88</v>
      </c>
      <c r="M368" t="s">
        <v>2828</v>
      </c>
      <c r="N368" t="s">
        <v>2879</v>
      </c>
      <c r="O368">
        <v>2420</v>
      </c>
      <c r="P368">
        <v>3450</v>
      </c>
    </row>
    <row r="369" spans="1:16" x14ac:dyDescent="0.3">
      <c r="A369" t="s">
        <v>716</v>
      </c>
      <c r="B369" s="45">
        <v>45655</v>
      </c>
      <c r="C369" t="s">
        <v>717</v>
      </c>
      <c r="D369" t="s">
        <v>191</v>
      </c>
      <c r="E369" t="s">
        <v>107</v>
      </c>
      <c r="F369">
        <v>9</v>
      </c>
      <c r="G369">
        <v>5100</v>
      </c>
      <c r="H369">
        <v>2.1</v>
      </c>
      <c r="I369">
        <v>44936.1</v>
      </c>
      <c r="J369" t="s">
        <v>87</v>
      </c>
      <c r="K369" t="s">
        <v>94</v>
      </c>
      <c r="L369" t="s">
        <v>94</v>
      </c>
      <c r="M369" t="s">
        <v>2828</v>
      </c>
      <c r="N369" t="s">
        <v>2855</v>
      </c>
      <c r="O369">
        <v>2237</v>
      </c>
      <c r="P369">
        <v>5100</v>
      </c>
    </row>
    <row r="370" spans="1:16" x14ac:dyDescent="0.3">
      <c r="A370" t="s">
        <v>734</v>
      </c>
      <c r="B370" s="45">
        <v>45434</v>
      </c>
      <c r="C370" t="s">
        <v>735</v>
      </c>
      <c r="D370" t="s">
        <v>259</v>
      </c>
      <c r="E370" t="s">
        <v>148</v>
      </c>
      <c r="F370">
        <v>2</v>
      </c>
      <c r="G370">
        <v>1540</v>
      </c>
      <c r="H370">
        <v>9.3000000000000007</v>
      </c>
      <c r="I370">
        <v>2793.56</v>
      </c>
      <c r="J370" t="s">
        <v>87</v>
      </c>
      <c r="K370" t="s">
        <v>88</v>
      </c>
      <c r="L370" t="s">
        <v>88</v>
      </c>
      <c r="M370" t="s">
        <v>2828</v>
      </c>
      <c r="N370" t="s">
        <v>2855</v>
      </c>
      <c r="O370">
        <v>647</v>
      </c>
      <c r="P370">
        <v>1540</v>
      </c>
    </row>
    <row r="371" spans="1:16" x14ac:dyDescent="0.3">
      <c r="A371" t="s">
        <v>745</v>
      </c>
      <c r="B371" s="45">
        <v>45520</v>
      </c>
      <c r="C371" t="s">
        <v>186</v>
      </c>
      <c r="D371" t="s">
        <v>176</v>
      </c>
      <c r="E371" t="s">
        <v>229</v>
      </c>
      <c r="F371">
        <v>5</v>
      </c>
      <c r="G371">
        <v>1650</v>
      </c>
      <c r="H371">
        <v>13.4</v>
      </c>
      <c r="I371">
        <v>7144.5</v>
      </c>
      <c r="J371" t="s">
        <v>93</v>
      </c>
      <c r="K371" t="s">
        <v>94</v>
      </c>
      <c r="L371" t="s">
        <v>94</v>
      </c>
      <c r="M371" t="s">
        <v>2828</v>
      </c>
      <c r="N371" t="s">
        <v>2879</v>
      </c>
      <c r="O371">
        <v>1222</v>
      </c>
      <c r="P371">
        <v>1650</v>
      </c>
    </row>
    <row r="372" spans="1:16" x14ac:dyDescent="0.3">
      <c r="A372" t="s">
        <v>746</v>
      </c>
      <c r="B372" s="45">
        <v>45360</v>
      </c>
      <c r="C372" t="s">
        <v>353</v>
      </c>
      <c r="D372" t="s">
        <v>380</v>
      </c>
      <c r="E372" t="s">
        <v>116</v>
      </c>
      <c r="F372">
        <v>9</v>
      </c>
      <c r="G372">
        <v>960</v>
      </c>
      <c r="H372">
        <v>28.6</v>
      </c>
      <c r="I372">
        <v>6168.96</v>
      </c>
      <c r="J372" t="s">
        <v>93</v>
      </c>
      <c r="K372" t="s">
        <v>94</v>
      </c>
      <c r="L372" t="s">
        <v>94</v>
      </c>
      <c r="M372" t="s">
        <v>2828</v>
      </c>
      <c r="N372" t="s">
        <v>2879</v>
      </c>
      <c r="O372">
        <v>675</v>
      </c>
      <c r="P372">
        <v>960</v>
      </c>
    </row>
    <row r="373" spans="1:16" x14ac:dyDescent="0.3">
      <c r="A373" t="s">
        <v>748</v>
      </c>
      <c r="B373" s="45">
        <v>45544</v>
      </c>
      <c r="C373" t="s">
        <v>186</v>
      </c>
      <c r="D373" t="s">
        <v>176</v>
      </c>
      <c r="E373" t="s">
        <v>98</v>
      </c>
      <c r="F373">
        <v>4</v>
      </c>
      <c r="G373">
        <v>1650</v>
      </c>
      <c r="H373">
        <v>13.7</v>
      </c>
      <c r="I373">
        <v>5695.8</v>
      </c>
      <c r="J373" t="s">
        <v>140</v>
      </c>
      <c r="K373" t="s">
        <v>94</v>
      </c>
      <c r="L373" t="s">
        <v>94</v>
      </c>
      <c r="M373" t="s">
        <v>2828</v>
      </c>
      <c r="N373" t="s">
        <v>2862</v>
      </c>
      <c r="O373">
        <v>1222</v>
      </c>
      <c r="P373">
        <v>1650</v>
      </c>
    </row>
    <row r="374" spans="1:16" x14ac:dyDescent="0.3">
      <c r="A374" t="s">
        <v>751</v>
      </c>
      <c r="B374" s="45">
        <v>45447</v>
      </c>
      <c r="C374" t="s">
        <v>752</v>
      </c>
      <c r="D374" t="s">
        <v>259</v>
      </c>
      <c r="E374" t="s">
        <v>252</v>
      </c>
      <c r="F374">
        <v>9</v>
      </c>
      <c r="G374">
        <v>1540</v>
      </c>
      <c r="H374">
        <v>10.7</v>
      </c>
      <c r="I374">
        <v>12376.98</v>
      </c>
      <c r="J374" t="s">
        <v>87</v>
      </c>
      <c r="K374" t="s">
        <v>117</v>
      </c>
      <c r="L374" t="s">
        <v>117</v>
      </c>
      <c r="M374" t="s">
        <v>2828</v>
      </c>
      <c r="N374" t="s">
        <v>2862</v>
      </c>
      <c r="O374">
        <v>647</v>
      </c>
      <c r="P374">
        <v>1540</v>
      </c>
    </row>
    <row r="375" spans="1:16" x14ac:dyDescent="0.3">
      <c r="A375" t="s">
        <v>763</v>
      </c>
      <c r="B375" s="45">
        <v>45364</v>
      </c>
      <c r="C375" t="s">
        <v>764</v>
      </c>
      <c r="D375" t="s">
        <v>259</v>
      </c>
      <c r="E375" t="s">
        <v>238</v>
      </c>
      <c r="F375">
        <v>8</v>
      </c>
      <c r="G375">
        <v>1540</v>
      </c>
      <c r="H375">
        <v>17.899999999999999</v>
      </c>
      <c r="I375">
        <v>10114.719999999999</v>
      </c>
      <c r="J375" t="s">
        <v>93</v>
      </c>
      <c r="K375" t="s">
        <v>94</v>
      </c>
      <c r="L375" t="s">
        <v>94</v>
      </c>
      <c r="M375" t="s">
        <v>2828</v>
      </c>
      <c r="N375" t="s">
        <v>2871</v>
      </c>
      <c r="O375">
        <v>647</v>
      </c>
      <c r="P375">
        <v>1540</v>
      </c>
    </row>
    <row r="376" spans="1:16" x14ac:dyDescent="0.3">
      <c r="A376" t="s">
        <v>769</v>
      </c>
      <c r="B376" s="45">
        <v>45442</v>
      </c>
      <c r="C376" t="s">
        <v>770</v>
      </c>
      <c r="D376" t="s">
        <v>386</v>
      </c>
      <c r="E376" t="s">
        <v>103</v>
      </c>
      <c r="F376">
        <v>7</v>
      </c>
      <c r="G376">
        <v>2290</v>
      </c>
      <c r="H376">
        <v>25</v>
      </c>
      <c r="I376">
        <v>12022.5</v>
      </c>
      <c r="J376" t="s">
        <v>140</v>
      </c>
      <c r="K376" t="s">
        <v>88</v>
      </c>
      <c r="L376" t="s">
        <v>88</v>
      </c>
      <c r="M376" t="s">
        <v>2828</v>
      </c>
      <c r="N376" t="s">
        <v>2855</v>
      </c>
      <c r="O376">
        <v>1219</v>
      </c>
      <c r="P376">
        <v>2290</v>
      </c>
    </row>
    <row r="377" spans="1:16" x14ac:dyDescent="0.3">
      <c r="A377" t="s">
        <v>771</v>
      </c>
      <c r="B377" s="45">
        <v>45567</v>
      </c>
      <c r="C377" t="s">
        <v>236</v>
      </c>
      <c r="D377" t="s">
        <v>259</v>
      </c>
      <c r="E377" t="s">
        <v>188</v>
      </c>
      <c r="F377">
        <v>9</v>
      </c>
      <c r="G377">
        <v>1540</v>
      </c>
      <c r="H377">
        <v>23.3</v>
      </c>
      <c r="I377">
        <v>10630.62</v>
      </c>
      <c r="J377" t="s">
        <v>87</v>
      </c>
      <c r="K377" t="s">
        <v>133</v>
      </c>
      <c r="L377" t="s">
        <v>133</v>
      </c>
      <c r="M377" t="s">
        <v>2828</v>
      </c>
      <c r="N377" t="s">
        <v>2862</v>
      </c>
      <c r="O377">
        <v>647</v>
      </c>
      <c r="P377">
        <v>1540</v>
      </c>
    </row>
    <row r="378" spans="1:16" x14ac:dyDescent="0.3">
      <c r="A378" t="s">
        <v>774</v>
      </c>
      <c r="B378" s="45">
        <v>45332</v>
      </c>
      <c r="C378" t="s">
        <v>359</v>
      </c>
      <c r="D378" t="s">
        <v>386</v>
      </c>
      <c r="E378" t="s">
        <v>273</v>
      </c>
      <c r="F378">
        <v>5</v>
      </c>
      <c r="G378">
        <v>2290</v>
      </c>
      <c r="H378">
        <v>17</v>
      </c>
      <c r="I378">
        <v>9503.5</v>
      </c>
      <c r="J378" t="s">
        <v>87</v>
      </c>
      <c r="K378" t="s">
        <v>99</v>
      </c>
      <c r="L378" t="s">
        <v>99</v>
      </c>
      <c r="M378" t="s">
        <v>2828</v>
      </c>
      <c r="N378" t="s">
        <v>2862</v>
      </c>
      <c r="O378">
        <v>1219</v>
      </c>
      <c r="P378">
        <v>2290</v>
      </c>
    </row>
    <row r="379" spans="1:16" x14ac:dyDescent="0.3">
      <c r="A379" t="s">
        <v>776</v>
      </c>
      <c r="B379" s="45">
        <v>45564</v>
      </c>
      <c r="C379" t="s">
        <v>320</v>
      </c>
      <c r="D379" t="s">
        <v>191</v>
      </c>
      <c r="E379" t="s">
        <v>204</v>
      </c>
      <c r="F379">
        <v>8</v>
      </c>
      <c r="G379">
        <v>5100</v>
      </c>
      <c r="H379">
        <v>4.5999999999999996</v>
      </c>
      <c r="I379">
        <v>38923.199999999997</v>
      </c>
      <c r="J379" t="s">
        <v>87</v>
      </c>
      <c r="K379" t="s">
        <v>133</v>
      </c>
      <c r="L379" t="s">
        <v>133</v>
      </c>
      <c r="M379" t="s">
        <v>2828</v>
      </c>
      <c r="N379" t="s">
        <v>2862</v>
      </c>
      <c r="O379">
        <v>2237</v>
      </c>
      <c r="P379">
        <v>5100</v>
      </c>
    </row>
    <row r="380" spans="1:16" x14ac:dyDescent="0.3">
      <c r="A380" t="s">
        <v>783</v>
      </c>
      <c r="B380" s="45">
        <v>45590</v>
      </c>
      <c r="C380" t="s">
        <v>272</v>
      </c>
      <c r="D380" t="s">
        <v>259</v>
      </c>
      <c r="E380" t="s">
        <v>343</v>
      </c>
      <c r="F380">
        <v>8</v>
      </c>
      <c r="G380">
        <v>1540</v>
      </c>
      <c r="H380">
        <v>27.8</v>
      </c>
      <c r="I380">
        <v>8895.0400000000009</v>
      </c>
      <c r="J380" t="s">
        <v>87</v>
      </c>
      <c r="K380" t="s">
        <v>94</v>
      </c>
      <c r="L380" t="s">
        <v>94</v>
      </c>
      <c r="M380" t="s">
        <v>2828</v>
      </c>
      <c r="N380" t="s">
        <v>2879</v>
      </c>
      <c r="O380">
        <v>647</v>
      </c>
      <c r="P380">
        <v>1540</v>
      </c>
    </row>
    <row r="381" spans="1:16" x14ac:dyDescent="0.3">
      <c r="A381" t="s">
        <v>794</v>
      </c>
      <c r="B381" s="45">
        <v>45358</v>
      </c>
      <c r="C381" t="s">
        <v>795</v>
      </c>
      <c r="D381" t="s">
        <v>179</v>
      </c>
      <c r="E381" t="s">
        <v>103</v>
      </c>
      <c r="F381">
        <v>10</v>
      </c>
      <c r="G381">
        <v>3350</v>
      </c>
      <c r="H381">
        <v>3.2</v>
      </c>
      <c r="I381">
        <v>32428</v>
      </c>
      <c r="J381" t="s">
        <v>87</v>
      </c>
      <c r="K381" t="s">
        <v>94</v>
      </c>
      <c r="L381" t="s">
        <v>94</v>
      </c>
      <c r="M381" t="s">
        <v>2828</v>
      </c>
      <c r="N381" t="s">
        <v>2855</v>
      </c>
      <c r="O381">
        <v>1728</v>
      </c>
      <c r="P381">
        <v>3350</v>
      </c>
    </row>
    <row r="382" spans="1:16" x14ac:dyDescent="0.3">
      <c r="A382" t="s">
        <v>796</v>
      </c>
      <c r="B382" s="45">
        <v>45387</v>
      </c>
      <c r="C382" t="s">
        <v>797</v>
      </c>
      <c r="D382" t="s">
        <v>259</v>
      </c>
      <c r="E382" t="s">
        <v>201</v>
      </c>
      <c r="F382">
        <v>7</v>
      </c>
      <c r="G382">
        <v>1540</v>
      </c>
      <c r="H382">
        <v>0.5</v>
      </c>
      <c r="I382">
        <v>10726.1</v>
      </c>
      <c r="J382" t="s">
        <v>87</v>
      </c>
      <c r="K382" t="s">
        <v>99</v>
      </c>
      <c r="L382" t="s">
        <v>99</v>
      </c>
      <c r="M382" t="s">
        <v>2828</v>
      </c>
      <c r="N382" t="s">
        <v>2879</v>
      </c>
      <c r="O382">
        <v>647</v>
      </c>
      <c r="P382">
        <v>1540</v>
      </c>
    </row>
    <row r="383" spans="1:16" x14ac:dyDescent="0.3">
      <c r="A383" t="s">
        <v>804</v>
      </c>
      <c r="B383" s="45">
        <v>45397</v>
      </c>
      <c r="C383" t="s">
        <v>580</v>
      </c>
      <c r="D383" t="s">
        <v>386</v>
      </c>
      <c r="E383" t="s">
        <v>92</v>
      </c>
      <c r="F383">
        <v>8</v>
      </c>
      <c r="G383">
        <v>2290</v>
      </c>
      <c r="H383">
        <v>27.9</v>
      </c>
      <c r="I383">
        <v>13208.72</v>
      </c>
      <c r="J383" t="s">
        <v>87</v>
      </c>
      <c r="K383" t="s">
        <v>88</v>
      </c>
      <c r="L383" t="s">
        <v>88</v>
      </c>
      <c r="M383" t="s">
        <v>2828</v>
      </c>
      <c r="N383" t="s">
        <v>2855</v>
      </c>
      <c r="O383">
        <v>1219</v>
      </c>
      <c r="P383">
        <v>2290</v>
      </c>
    </row>
    <row r="384" spans="1:16" x14ac:dyDescent="0.3">
      <c r="A384" t="s">
        <v>811</v>
      </c>
      <c r="B384" s="45">
        <v>45622</v>
      </c>
      <c r="C384" t="s">
        <v>301</v>
      </c>
      <c r="D384" t="s">
        <v>184</v>
      </c>
      <c r="E384" t="s">
        <v>128</v>
      </c>
      <c r="F384">
        <v>5</v>
      </c>
      <c r="G384">
        <v>4880</v>
      </c>
      <c r="H384">
        <v>8.5</v>
      </c>
      <c r="I384">
        <v>22326</v>
      </c>
      <c r="J384" t="s">
        <v>87</v>
      </c>
      <c r="K384" t="s">
        <v>94</v>
      </c>
      <c r="L384" t="s">
        <v>94</v>
      </c>
      <c r="M384" t="s">
        <v>2828</v>
      </c>
      <c r="N384" t="s">
        <v>2879</v>
      </c>
      <c r="O384">
        <v>2768</v>
      </c>
      <c r="P384">
        <v>4880</v>
      </c>
    </row>
    <row r="385" spans="1:16" x14ac:dyDescent="0.3">
      <c r="A385" t="s">
        <v>838</v>
      </c>
      <c r="B385" s="45">
        <v>45524</v>
      </c>
      <c r="C385" t="s">
        <v>413</v>
      </c>
      <c r="D385" t="s">
        <v>157</v>
      </c>
      <c r="E385" t="s">
        <v>346</v>
      </c>
      <c r="F385">
        <v>6</v>
      </c>
      <c r="G385">
        <v>3450</v>
      </c>
      <c r="H385">
        <v>10.7</v>
      </c>
      <c r="I385">
        <v>18485.099999999999</v>
      </c>
      <c r="J385" t="s">
        <v>87</v>
      </c>
      <c r="K385" t="s">
        <v>88</v>
      </c>
      <c r="L385" t="s">
        <v>88</v>
      </c>
      <c r="M385" t="s">
        <v>2828</v>
      </c>
      <c r="N385" t="s">
        <v>2862</v>
      </c>
      <c r="O385">
        <v>2420</v>
      </c>
      <c r="P385">
        <v>3450</v>
      </c>
    </row>
    <row r="386" spans="1:16" x14ac:dyDescent="0.3">
      <c r="A386" t="s">
        <v>843</v>
      </c>
      <c r="B386" s="45">
        <v>45489</v>
      </c>
      <c r="C386" t="s">
        <v>316</v>
      </c>
      <c r="D386" t="s">
        <v>176</v>
      </c>
      <c r="E386" t="s">
        <v>98</v>
      </c>
      <c r="F386">
        <v>9</v>
      </c>
      <c r="G386">
        <v>1650</v>
      </c>
      <c r="H386">
        <v>24.3</v>
      </c>
      <c r="I386">
        <v>11241.45</v>
      </c>
      <c r="J386" t="s">
        <v>87</v>
      </c>
      <c r="K386" t="s">
        <v>88</v>
      </c>
      <c r="L386" t="s">
        <v>88</v>
      </c>
      <c r="M386" t="s">
        <v>2828</v>
      </c>
      <c r="N386" t="s">
        <v>2862</v>
      </c>
      <c r="O386">
        <v>1222</v>
      </c>
      <c r="P386">
        <v>1650</v>
      </c>
    </row>
    <row r="387" spans="1:16" x14ac:dyDescent="0.3">
      <c r="A387" t="s">
        <v>847</v>
      </c>
      <c r="B387" s="45">
        <v>45322</v>
      </c>
      <c r="C387" t="s">
        <v>703</v>
      </c>
      <c r="D387" t="s">
        <v>259</v>
      </c>
      <c r="E387" t="s">
        <v>132</v>
      </c>
      <c r="F387">
        <v>1</v>
      </c>
      <c r="G387">
        <v>1540</v>
      </c>
      <c r="H387">
        <v>24</v>
      </c>
      <c r="I387">
        <v>1170.4000000000001</v>
      </c>
      <c r="J387" t="s">
        <v>140</v>
      </c>
      <c r="K387" t="s">
        <v>88</v>
      </c>
      <c r="L387" t="s">
        <v>88</v>
      </c>
      <c r="M387" t="s">
        <v>2828</v>
      </c>
      <c r="N387" t="s">
        <v>2862</v>
      </c>
      <c r="O387">
        <v>647</v>
      </c>
      <c r="P387">
        <v>1540</v>
      </c>
    </row>
    <row r="388" spans="1:16" x14ac:dyDescent="0.3">
      <c r="A388" t="s">
        <v>861</v>
      </c>
      <c r="B388" s="45">
        <v>45597</v>
      </c>
      <c r="C388" t="s">
        <v>376</v>
      </c>
      <c r="D388" t="s">
        <v>276</v>
      </c>
      <c r="E388" t="s">
        <v>303</v>
      </c>
      <c r="F388">
        <v>9</v>
      </c>
      <c r="G388">
        <v>3020</v>
      </c>
      <c r="H388">
        <v>15</v>
      </c>
      <c r="I388">
        <v>23103</v>
      </c>
      <c r="J388" t="s">
        <v>87</v>
      </c>
      <c r="K388" t="s">
        <v>117</v>
      </c>
      <c r="L388" t="s">
        <v>117</v>
      </c>
      <c r="M388" t="s">
        <v>2828</v>
      </c>
      <c r="N388" t="s">
        <v>2871</v>
      </c>
      <c r="O388">
        <v>1626</v>
      </c>
      <c r="P388">
        <v>3020</v>
      </c>
    </row>
    <row r="389" spans="1:16" x14ac:dyDescent="0.3">
      <c r="A389" t="s">
        <v>865</v>
      </c>
      <c r="B389" s="45">
        <v>45330</v>
      </c>
      <c r="C389" t="s">
        <v>197</v>
      </c>
      <c r="D389" t="s">
        <v>179</v>
      </c>
      <c r="E389" t="s">
        <v>132</v>
      </c>
      <c r="F389">
        <v>4</v>
      </c>
      <c r="G389">
        <v>3350</v>
      </c>
      <c r="H389">
        <v>28.1</v>
      </c>
      <c r="I389">
        <v>9634.6</v>
      </c>
      <c r="J389" t="s">
        <v>87</v>
      </c>
      <c r="K389" t="s">
        <v>88</v>
      </c>
      <c r="L389" t="s">
        <v>88</v>
      </c>
      <c r="M389" t="s">
        <v>2828</v>
      </c>
      <c r="N389" t="s">
        <v>2862</v>
      </c>
      <c r="O389">
        <v>1728</v>
      </c>
      <c r="P389">
        <v>3350</v>
      </c>
    </row>
    <row r="390" spans="1:16" x14ac:dyDescent="0.3">
      <c r="A390" t="s">
        <v>873</v>
      </c>
      <c r="B390" s="45">
        <v>45496</v>
      </c>
      <c r="C390" t="s">
        <v>874</v>
      </c>
      <c r="D390" t="s">
        <v>386</v>
      </c>
      <c r="E390" t="s">
        <v>215</v>
      </c>
      <c r="F390">
        <v>3</v>
      </c>
      <c r="G390">
        <v>2290</v>
      </c>
      <c r="H390">
        <v>8.9</v>
      </c>
      <c r="I390">
        <v>6258.57</v>
      </c>
      <c r="J390" t="s">
        <v>87</v>
      </c>
      <c r="K390" t="s">
        <v>112</v>
      </c>
      <c r="L390" t="s">
        <v>112</v>
      </c>
      <c r="M390" t="s">
        <v>2828</v>
      </c>
      <c r="N390" t="s">
        <v>2855</v>
      </c>
      <c r="O390">
        <v>1219</v>
      </c>
      <c r="P390">
        <v>2290</v>
      </c>
    </row>
    <row r="391" spans="1:16" x14ac:dyDescent="0.3">
      <c r="A391" t="s">
        <v>875</v>
      </c>
      <c r="B391" s="45">
        <v>45369</v>
      </c>
      <c r="C391" t="s">
        <v>714</v>
      </c>
      <c r="D391" t="s">
        <v>157</v>
      </c>
      <c r="E391" t="s">
        <v>215</v>
      </c>
      <c r="F391">
        <v>9</v>
      </c>
      <c r="G391">
        <v>3450</v>
      </c>
      <c r="H391">
        <v>24.3</v>
      </c>
      <c r="I391">
        <v>23504.85</v>
      </c>
      <c r="J391" t="s">
        <v>87</v>
      </c>
      <c r="K391" t="s">
        <v>99</v>
      </c>
      <c r="L391" t="s">
        <v>99</v>
      </c>
      <c r="M391" t="s">
        <v>2828</v>
      </c>
      <c r="N391" t="s">
        <v>2855</v>
      </c>
      <c r="O391">
        <v>2420</v>
      </c>
      <c r="P391">
        <v>3450</v>
      </c>
    </row>
    <row r="392" spans="1:16" x14ac:dyDescent="0.3">
      <c r="A392" t="s">
        <v>880</v>
      </c>
      <c r="B392" s="45">
        <v>45375</v>
      </c>
      <c r="C392" t="s">
        <v>872</v>
      </c>
      <c r="D392" t="s">
        <v>176</v>
      </c>
      <c r="E392" t="s">
        <v>158</v>
      </c>
      <c r="F392">
        <v>3</v>
      </c>
      <c r="G392">
        <v>1650</v>
      </c>
      <c r="H392">
        <v>9.4</v>
      </c>
      <c r="I392">
        <v>4484.7</v>
      </c>
      <c r="J392" t="s">
        <v>140</v>
      </c>
      <c r="K392" t="s">
        <v>112</v>
      </c>
      <c r="L392" t="s">
        <v>112</v>
      </c>
      <c r="M392" t="s">
        <v>2828</v>
      </c>
      <c r="N392" t="s">
        <v>2871</v>
      </c>
      <c r="O392">
        <v>1222</v>
      </c>
      <c r="P392">
        <v>1650</v>
      </c>
    </row>
    <row r="393" spans="1:16" x14ac:dyDescent="0.3">
      <c r="A393" t="s">
        <v>896</v>
      </c>
      <c r="B393" s="45">
        <v>45414</v>
      </c>
      <c r="C393" t="s">
        <v>119</v>
      </c>
      <c r="D393" t="s">
        <v>179</v>
      </c>
      <c r="E393" t="s">
        <v>188</v>
      </c>
      <c r="F393">
        <v>2</v>
      </c>
      <c r="G393">
        <v>3350</v>
      </c>
      <c r="H393">
        <v>23.4</v>
      </c>
      <c r="I393">
        <v>5132.2</v>
      </c>
      <c r="J393" t="s">
        <v>87</v>
      </c>
      <c r="K393" t="s">
        <v>117</v>
      </c>
      <c r="L393" t="s">
        <v>117</v>
      </c>
      <c r="M393" t="s">
        <v>2828</v>
      </c>
      <c r="N393" t="s">
        <v>2862</v>
      </c>
      <c r="O393">
        <v>1728</v>
      </c>
      <c r="P393">
        <v>3350</v>
      </c>
    </row>
    <row r="394" spans="1:16" x14ac:dyDescent="0.3">
      <c r="A394" t="s">
        <v>897</v>
      </c>
      <c r="B394" s="45">
        <v>45393</v>
      </c>
      <c r="C394" t="s">
        <v>823</v>
      </c>
      <c r="D394" t="s">
        <v>276</v>
      </c>
      <c r="E394" t="s">
        <v>103</v>
      </c>
      <c r="F394">
        <v>7</v>
      </c>
      <c r="G394">
        <v>3020</v>
      </c>
      <c r="H394">
        <v>23.7</v>
      </c>
      <c r="I394">
        <v>16129.82</v>
      </c>
      <c r="J394" t="s">
        <v>87</v>
      </c>
      <c r="K394" t="s">
        <v>94</v>
      </c>
      <c r="L394" t="s">
        <v>94</v>
      </c>
      <c r="M394" t="s">
        <v>2828</v>
      </c>
      <c r="N394" t="s">
        <v>2855</v>
      </c>
      <c r="O394">
        <v>1626</v>
      </c>
      <c r="P394">
        <v>3020</v>
      </c>
    </row>
    <row r="395" spans="1:16" x14ac:dyDescent="0.3">
      <c r="A395" t="s">
        <v>906</v>
      </c>
      <c r="B395" s="45">
        <v>45469</v>
      </c>
      <c r="C395" t="s">
        <v>703</v>
      </c>
      <c r="D395" t="s">
        <v>191</v>
      </c>
      <c r="E395" t="s">
        <v>103</v>
      </c>
      <c r="F395">
        <v>10</v>
      </c>
      <c r="G395">
        <v>5100</v>
      </c>
      <c r="H395">
        <v>26.3</v>
      </c>
      <c r="I395">
        <v>37587</v>
      </c>
      <c r="J395" t="s">
        <v>93</v>
      </c>
      <c r="K395" t="s">
        <v>88</v>
      </c>
      <c r="L395" t="s">
        <v>88</v>
      </c>
      <c r="M395" t="s">
        <v>2828</v>
      </c>
      <c r="N395" t="s">
        <v>2855</v>
      </c>
      <c r="O395">
        <v>2237</v>
      </c>
      <c r="P395">
        <v>5100</v>
      </c>
    </row>
    <row r="396" spans="1:16" x14ac:dyDescent="0.3">
      <c r="A396" t="s">
        <v>907</v>
      </c>
      <c r="B396" s="45">
        <v>45552</v>
      </c>
      <c r="C396" t="s">
        <v>908</v>
      </c>
      <c r="D396" t="s">
        <v>179</v>
      </c>
      <c r="E396" t="s">
        <v>128</v>
      </c>
      <c r="F396">
        <v>1</v>
      </c>
      <c r="G396">
        <v>3350</v>
      </c>
      <c r="H396">
        <v>8.5</v>
      </c>
      <c r="I396">
        <v>3065.25</v>
      </c>
      <c r="J396" t="s">
        <v>140</v>
      </c>
      <c r="K396" t="s">
        <v>133</v>
      </c>
      <c r="L396" t="s">
        <v>133</v>
      </c>
      <c r="M396" t="s">
        <v>2828</v>
      </c>
      <c r="N396" t="s">
        <v>2879</v>
      </c>
      <c r="O396">
        <v>1728</v>
      </c>
      <c r="P396">
        <v>3350</v>
      </c>
    </row>
    <row r="397" spans="1:16" x14ac:dyDescent="0.3">
      <c r="A397" t="s">
        <v>915</v>
      </c>
      <c r="B397" s="45">
        <v>45330</v>
      </c>
      <c r="C397" t="s">
        <v>479</v>
      </c>
      <c r="D397" t="s">
        <v>179</v>
      </c>
      <c r="E397" t="s">
        <v>121</v>
      </c>
      <c r="F397">
        <v>3</v>
      </c>
      <c r="G397">
        <v>3350</v>
      </c>
      <c r="H397">
        <v>18.8</v>
      </c>
      <c r="I397">
        <v>8160.6</v>
      </c>
      <c r="J397" t="s">
        <v>144</v>
      </c>
      <c r="K397" t="s">
        <v>88</v>
      </c>
      <c r="L397" t="s">
        <v>88</v>
      </c>
      <c r="M397" t="s">
        <v>2828</v>
      </c>
      <c r="N397" t="s">
        <v>2871</v>
      </c>
      <c r="O397">
        <v>1728</v>
      </c>
      <c r="P397">
        <v>3350</v>
      </c>
    </row>
    <row r="398" spans="1:16" x14ac:dyDescent="0.3">
      <c r="A398" t="s">
        <v>918</v>
      </c>
      <c r="B398" s="45">
        <v>45514</v>
      </c>
      <c r="C398" t="s">
        <v>795</v>
      </c>
      <c r="D398" t="s">
        <v>259</v>
      </c>
      <c r="E398" t="s">
        <v>201</v>
      </c>
      <c r="F398">
        <v>5</v>
      </c>
      <c r="G398">
        <v>1540</v>
      </c>
      <c r="H398">
        <v>24.9</v>
      </c>
      <c r="I398">
        <v>5782.7</v>
      </c>
      <c r="J398" t="s">
        <v>87</v>
      </c>
      <c r="K398" t="s">
        <v>94</v>
      </c>
      <c r="L398" t="s">
        <v>94</v>
      </c>
      <c r="M398" t="s">
        <v>2828</v>
      </c>
      <c r="N398" t="s">
        <v>2879</v>
      </c>
      <c r="O398">
        <v>647</v>
      </c>
      <c r="P398">
        <v>1540</v>
      </c>
    </row>
    <row r="399" spans="1:16" x14ac:dyDescent="0.3">
      <c r="A399" t="s">
        <v>926</v>
      </c>
      <c r="B399" s="45">
        <v>45406</v>
      </c>
      <c r="C399" t="s">
        <v>703</v>
      </c>
      <c r="D399" t="s">
        <v>157</v>
      </c>
      <c r="E399" t="s">
        <v>346</v>
      </c>
      <c r="F399">
        <v>9</v>
      </c>
      <c r="G399">
        <v>3450</v>
      </c>
      <c r="H399">
        <v>6</v>
      </c>
      <c r="I399">
        <v>29187</v>
      </c>
      <c r="J399" t="s">
        <v>140</v>
      </c>
      <c r="K399" t="s">
        <v>88</v>
      </c>
      <c r="L399" t="s">
        <v>88</v>
      </c>
      <c r="M399" t="s">
        <v>2828</v>
      </c>
      <c r="N399" t="s">
        <v>2862</v>
      </c>
      <c r="O399">
        <v>2420</v>
      </c>
      <c r="P399">
        <v>3450</v>
      </c>
    </row>
    <row r="400" spans="1:16" x14ac:dyDescent="0.3">
      <c r="A400" t="s">
        <v>927</v>
      </c>
      <c r="B400" s="45">
        <v>45457</v>
      </c>
      <c r="C400" t="s">
        <v>403</v>
      </c>
      <c r="D400" t="s">
        <v>179</v>
      </c>
      <c r="E400" t="s">
        <v>325</v>
      </c>
      <c r="F400">
        <v>7</v>
      </c>
      <c r="G400">
        <v>3350</v>
      </c>
      <c r="H400">
        <v>14</v>
      </c>
      <c r="I400">
        <v>20167</v>
      </c>
      <c r="J400" t="s">
        <v>140</v>
      </c>
      <c r="K400" t="s">
        <v>117</v>
      </c>
      <c r="L400" t="s">
        <v>117</v>
      </c>
      <c r="M400" t="s">
        <v>2828</v>
      </c>
      <c r="N400" t="s">
        <v>2862</v>
      </c>
      <c r="O400">
        <v>1728</v>
      </c>
      <c r="P400">
        <v>3350</v>
      </c>
    </row>
    <row r="401" spans="1:16" x14ac:dyDescent="0.3">
      <c r="A401" t="s">
        <v>928</v>
      </c>
      <c r="B401" s="45">
        <v>45298</v>
      </c>
      <c r="C401" t="s">
        <v>291</v>
      </c>
      <c r="D401" t="s">
        <v>380</v>
      </c>
      <c r="E401" t="s">
        <v>139</v>
      </c>
      <c r="F401">
        <v>6</v>
      </c>
      <c r="G401">
        <v>960</v>
      </c>
      <c r="H401">
        <v>10.1</v>
      </c>
      <c r="I401">
        <v>5178.24</v>
      </c>
      <c r="J401" t="s">
        <v>87</v>
      </c>
      <c r="K401" t="s">
        <v>99</v>
      </c>
      <c r="L401" t="s">
        <v>99</v>
      </c>
      <c r="M401" t="s">
        <v>2828</v>
      </c>
      <c r="N401" t="s">
        <v>2855</v>
      </c>
      <c r="O401">
        <v>675</v>
      </c>
      <c r="P401">
        <v>960</v>
      </c>
    </row>
    <row r="402" spans="1:16" x14ac:dyDescent="0.3">
      <c r="A402" t="s">
        <v>933</v>
      </c>
      <c r="B402" s="45">
        <v>45355</v>
      </c>
      <c r="C402" t="s">
        <v>217</v>
      </c>
      <c r="D402" t="s">
        <v>259</v>
      </c>
      <c r="E402" t="s">
        <v>192</v>
      </c>
      <c r="F402">
        <v>4</v>
      </c>
      <c r="G402">
        <v>1540</v>
      </c>
      <c r="H402">
        <v>14.2</v>
      </c>
      <c r="I402">
        <v>5285.28</v>
      </c>
      <c r="J402" t="s">
        <v>140</v>
      </c>
      <c r="K402" t="s">
        <v>94</v>
      </c>
      <c r="L402" t="s">
        <v>94</v>
      </c>
      <c r="M402" t="s">
        <v>2828</v>
      </c>
      <c r="N402" t="s">
        <v>2871</v>
      </c>
      <c r="O402">
        <v>647</v>
      </c>
      <c r="P402">
        <v>1540</v>
      </c>
    </row>
    <row r="403" spans="1:16" x14ac:dyDescent="0.3">
      <c r="A403" t="s">
        <v>937</v>
      </c>
      <c r="B403" s="45">
        <v>45525</v>
      </c>
      <c r="C403" t="s">
        <v>101</v>
      </c>
      <c r="D403" t="s">
        <v>184</v>
      </c>
      <c r="E403" t="s">
        <v>285</v>
      </c>
      <c r="F403">
        <v>8</v>
      </c>
      <c r="G403">
        <v>4880</v>
      </c>
      <c r="H403">
        <v>9.1999999999999993</v>
      </c>
      <c r="I403">
        <v>35448.32</v>
      </c>
      <c r="J403" t="s">
        <v>140</v>
      </c>
      <c r="K403" t="s">
        <v>99</v>
      </c>
      <c r="L403" t="s">
        <v>99</v>
      </c>
      <c r="M403" t="s">
        <v>2828</v>
      </c>
      <c r="N403" t="s">
        <v>2871</v>
      </c>
      <c r="O403">
        <v>2768</v>
      </c>
      <c r="P403">
        <v>4880</v>
      </c>
    </row>
    <row r="404" spans="1:16" x14ac:dyDescent="0.3">
      <c r="A404" t="s">
        <v>938</v>
      </c>
      <c r="B404" s="45">
        <v>45586</v>
      </c>
      <c r="C404" t="s">
        <v>613</v>
      </c>
      <c r="D404" t="s">
        <v>191</v>
      </c>
      <c r="E404" t="s">
        <v>121</v>
      </c>
      <c r="F404">
        <v>9</v>
      </c>
      <c r="G404">
        <v>5100</v>
      </c>
      <c r="H404">
        <v>11.1</v>
      </c>
      <c r="I404">
        <v>40805.1</v>
      </c>
      <c r="J404" t="s">
        <v>140</v>
      </c>
      <c r="K404" t="s">
        <v>112</v>
      </c>
      <c r="L404" t="s">
        <v>112</v>
      </c>
      <c r="M404" t="s">
        <v>2828</v>
      </c>
      <c r="N404" t="s">
        <v>2871</v>
      </c>
      <c r="O404">
        <v>2237</v>
      </c>
      <c r="P404">
        <v>5100</v>
      </c>
    </row>
    <row r="405" spans="1:16" x14ac:dyDescent="0.3">
      <c r="A405" t="s">
        <v>941</v>
      </c>
      <c r="B405" s="45">
        <v>45569</v>
      </c>
      <c r="C405" t="s">
        <v>105</v>
      </c>
      <c r="D405" t="s">
        <v>176</v>
      </c>
      <c r="E405" t="s">
        <v>154</v>
      </c>
      <c r="F405">
        <v>10</v>
      </c>
      <c r="G405">
        <v>1650</v>
      </c>
      <c r="H405">
        <v>22.9</v>
      </c>
      <c r="I405">
        <v>12721.5</v>
      </c>
      <c r="J405" t="s">
        <v>144</v>
      </c>
      <c r="K405" t="s">
        <v>94</v>
      </c>
      <c r="L405" t="s">
        <v>94</v>
      </c>
      <c r="M405" t="s">
        <v>2828</v>
      </c>
      <c r="N405" t="s">
        <v>2871</v>
      </c>
      <c r="O405">
        <v>1222</v>
      </c>
      <c r="P405">
        <v>1650</v>
      </c>
    </row>
    <row r="406" spans="1:16" x14ac:dyDescent="0.3">
      <c r="A406" t="s">
        <v>953</v>
      </c>
      <c r="B406" s="45">
        <v>45432</v>
      </c>
      <c r="C406" t="s">
        <v>153</v>
      </c>
      <c r="D406" t="s">
        <v>176</v>
      </c>
      <c r="E406" t="s">
        <v>303</v>
      </c>
      <c r="F406">
        <v>3</v>
      </c>
      <c r="G406">
        <v>1650</v>
      </c>
      <c r="H406">
        <v>10.7</v>
      </c>
      <c r="I406">
        <v>4420.3500000000004</v>
      </c>
      <c r="J406" t="s">
        <v>87</v>
      </c>
      <c r="K406" t="s">
        <v>117</v>
      </c>
      <c r="L406" t="s">
        <v>117</v>
      </c>
      <c r="M406" t="s">
        <v>2828</v>
      </c>
      <c r="N406" t="s">
        <v>2871</v>
      </c>
      <c r="O406">
        <v>1222</v>
      </c>
      <c r="P406">
        <v>1650</v>
      </c>
    </row>
    <row r="407" spans="1:16" x14ac:dyDescent="0.3">
      <c r="A407" t="s">
        <v>955</v>
      </c>
      <c r="B407" s="45">
        <v>45443</v>
      </c>
      <c r="C407" t="s">
        <v>956</v>
      </c>
      <c r="D407" t="s">
        <v>386</v>
      </c>
      <c r="E407" t="s">
        <v>229</v>
      </c>
      <c r="F407">
        <v>7</v>
      </c>
      <c r="G407">
        <v>2290</v>
      </c>
      <c r="H407">
        <v>12.5</v>
      </c>
      <c r="I407">
        <v>14026.25</v>
      </c>
      <c r="J407" t="s">
        <v>87</v>
      </c>
      <c r="K407" t="s">
        <v>112</v>
      </c>
      <c r="L407" t="s">
        <v>112</v>
      </c>
      <c r="M407" t="s">
        <v>2828</v>
      </c>
      <c r="N407" t="s">
        <v>2879</v>
      </c>
      <c r="O407">
        <v>1219</v>
      </c>
      <c r="P407">
        <v>2290</v>
      </c>
    </row>
    <row r="408" spans="1:16" x14ac:dyDescent="0.3">
      <c r="A408" t="s">
        <v>969</v>
      </c>
      <c r="B408" s="45">
        <v>45549</v>
      </c>
      <c r="C408" t="s">
        <v>970</v>
      </c>
      <c r="D408" t="s">
        <v>157</v>
      </c>
      <c r="E408" t="s">
        <v>215</v>
      </c>
      <c r="F408">
        <v>7</v>
      </c>
      <c r="G408">
        <v>3450</v>
      </c>
      <c r="H408">
        <v>8.6</v>
      </c>
      <c r="I408">
        <v>22073.1</v>
      </c>
      <c r="J408" t="s">
        <v>87</v>
      </c>
      <c r="K408" t="s">
        <v>112</v>
      </c>
      <c r="L408" t="s">
        <v>112</v>
      </c>
      <c r="M408" t="s">
        <v>2828</v>
      </c>
      <c r="N408" t="s">
        <v>2855</v>
      </c>
      <c r="O408">
        <v>2420</v>
      </c>
      <c r="P408">
        <v>3450</v>
      </c>
    </row>
    <row r="409" spans="1:16" x14ac:dyDescent="0.3">
      <c r="A409" t="s">
        <v>975</v>
      </c>
      <c r="B409" s="45">
        <v>45548</v>
      </c>
      <c r="C409" t="s">
        <v>291</v>
      </c>
      <c r="D409" t="s">
        <v>184</v>
      </c>
      <c r="E409" t="s">
        <v>132</v>
      </c>
      <c r="F409">
        <v>7</v>
      </c>
      <c r="G409">
        <v>4880</v>
      </c>
      <c r="H409">
        <v>25.6</v>
      </c>
      <c r="I409">
        <v>25415.040000000001</v>
      </c>
      <c r="J409" t="s">
        <v>144</v>
      </c>
      <c r="K409" t="s">
        <v>99</v>
      </c>
      <c r="L409" t="s">
        <v>99</v>
      </c>
      <c r="M409" t="s">
        <v>2828</v>
      </c>
      <c r="N409" t="s">
        <v>2862</v>
      </c>
      <c r="O409">
        <v>2768</v>
      </c>
      <c r="P409">
        <v>4880</v>
      </c>
    </row>
    <row r="410" spans="1:16" x14ac:dyDescent="0.3">
      <c r="A410" t="s">
        <v>978</v>
      </c>
      <c r="B410" s="45">
        <v>45539</v>
      </c>
      <c r="C410" t="s">
        <v>835</v>
      </c>
      <c r="D410" t="s">
        <v>386</v>
      </c>
      <c r="E410" t="s">
        <v>285</v>
      </c>
      <c r="F410">
        <v>6</v>
      </c>
      <c r="G410">
        <v>2290</v>
      </c>
      <c r="H410">
        <v>8.9</v>
      </c>
      <c r="I410">
        <v>12517.14</v>
      </c>
      <c r="J410" t="s">
        <v>87</v>
      </c>
      <c r="K410" t="s">
        <v>117</v>
      </c>
      <c r="L410" t="s">
        <v>117</v>
      </c>
      <c r="M410" t="s">
        <v>2828</v>
      </c>
      <c r="N410" t="s">
        <v>2871</v>
      </c>
      <c r="O410">
        <v>1219</v>
      </c>
      <c r="P410">
        <v>2290</v>
      </c>
    </row>
    <row r="411" spans="1:16" x14ac:dyDescent="0.3">
      <c r="A411" t="s">
        <v>1010</v>
      </c>
      <c r="B411" s="45">
        <v>45467</v>
      </c>
      <c r="C411" t="s">
        <v>700</v>
      </c>
      <c r="D411" t="s">
        <v>259</v>
      </c>
      <c r="E411" t="s">
        <v>229</v>
      </c>
      <c r="F411">
        <v>10</v>
      </c>
      <c r="G411">
        <v>1540</v>
      </c>
      <c r="H411">
        <v>16.5</v>
      </c>
      <c r="I411">
        <v>12859</v>
      </c>
      <c r="J411" t="s">
        <v>87</v>
      </c>
      <c r="K411" t="s">
        <v>94</v>
      </c>
      <c r="L411" t="s">
        <v>94</v>
      </c>
      <c r="M411" t="s">
        <v>2828</v>
      </c>
      <c r="N411" t="s">
        <v>2879</v>
      </c>
      <c r="O411">
        <v>647</v>
      </c>
      <c r="P411">
        <v>1540</v>
      </c>
    </row>
    <row r="412" spans="1:16" x14ac:dyDescent="0.3">
      <c r="A412" t="s">
        <v>1013</v>
      </c>
      <c r="B412" s="45">
        <v>45418</v>
      </c>
      <c r="C412" t="s">
        <v>567</v>
      </c>
      <c r="D412" t="s">
        <v>276</v>
      </c>
      <c r="E412" t="s">
        <v>188</v>
      </c>
      <c r="F412">
        <v>8</v>
      </c>
      <c r="G412">
        <v>3020</v>
      </c>
      <c r="H412">
        <v>1.2</v>
      </c>
      <c r="I412">
        <v>23870.080000000002</v>
      </c>
      <c r="J412" t="s">
        <v>87</v>
      </c>
      <c r="K412" t="s">
        <v>117</v>
      </c>
      <c r="L412" t="s">
        <v>117</v>
      </c>
      <c r="M412" t="s">
        <v>2828</v>
      </c>
      <c r="N412" t="s">
        <v>2862</v>
      </c>
      <c r="O412">
        <v>1626</v>
      </c>
      <c r="P412">
        <v>3020</v>
      </c>
    </row>
    <row r="413" spans="1:16" x14ac:dyDescent="0.3">
      <c r="A413" t="s">
        <v>1023</v>
      </c>
      <c r="B413" s="45">
        <v>45480</v>
      </c>
      <c r="C413" t="s">
        <v>451</v>
      </c>
      <c r="D413" t="s">
        <v>191</v>
      </c>
      <c r="E413" t="s">
        <v>111</v>
      </c>
      <c r="F413">
        <v>5</v>
      </c>
      <c r="G413">
        <v>5100</v>
      </c>
      <c r="H413">
        <v>9.6999999999999993</v>
      </c>
      <c r="I413">
        <v>23026.5</v>
      </c>
      <c r="J413" t="s">
        <v>87</v>
      </c>
      <c r="K413" t="s">
        <v>99</v>
      </c>
      <c r="L413" t="s">
        <v>99</v>
      </c>
      <c r="M413" t="s">
        <v>2828</v>
      </c>
      <c r="N413" t="s">
        <v>2879</v>
      </c>
      <c r="O413">
        <v>2237</v>
      </c>
      <c r="P413">
        <v>5100</v>
      </c>
    </row>
    <row r="414" spans="1:16" x14ac:dyDescent="0.3">
      <c r="A414" t="s">
        <v>1024</v>
      </c>
      <c r="B414" s="45">
        <v>45402</v>
      </c>
      <c r="C414" t="s">
        <v>166</v>
      </c>
      <c r="D414" t="s">
        <v>380</v>
      </c>
      <c r="E414" t="s">
        <v>201</v>
      </c>
      <c r="F414">
        <v>9</v>
      </c>
      <c r="G414">
        <v>960</v>
      </c>
      <c r="H414">
        <v>17.7</v>
      </c>
      <c r="I414">
        <v>7110.72</v>
      </c>
      <c r="J414" t="s">
        <v>87</v>
      </c>
      <c r="K414" t="s">
        <v>133</v>
      </c>
      <c r="L414" t="s">
        <v>133</v>
      </c>
      <c r="M414" t="s">
        <v>2828</v>
      </c>
      <c r="N414" t="s">
        <v>2879</v>
      </c>
      <c r="O414">
        <v>675</v>
      </c>
      <c r="P414">
        <v>960</v>
      </c>
    </row>
    <row r="415" spans="1:16" x14ac:dyDescent="0.3">
      <c r="A415" t="s">
        <v>1029</v>
      </c>
      <c r="B415" s="45">
        <v>45507</v>
      </c>
      <c r="C415" t="s">
        <v>802</v>
      </c>
      <c r="D415" t="s">
        <v>184</v>
      </c>
      <c r="E415" t="s">
        <v>303</v>
      </c>
      <c r="F415">
        <v>4</v>
      </c>
      <c r="G415">
        <v>4880</v>
      </c>
      <c r="H415">
        <v>27.5</v>
      </c>
      <c r="I415">
        <v>14152</v>
      </c>
      <c r="J415" t="s">
        <v>93</v>
      </c>
      <c r="K415" t="s">
        <v>94</v>
      </c>
      <c r="L415" t="s">
        <v>94</v>
      </c>
      <c r="M415" t="s">
        <v>2828</v>
      </c>
      <c r="N415" t="s">
        <v>2871</v>
      </c>
      <c r="O415">
        <v>2768</v>
      </c>
      <c r="P415">
        <v>4880</v>
      </c>
    </row>
    <row r="416" spans="1:16" x14ac:dyDescent="0.3">
      <c r="A416" t="s">
        <v>1037</v>
      </c>
      <c r="B416" s="45">
        <v>45544</v>
      </c>
      <c r="C416" t="s">
        <v>1038</v>
      </c>
      <c r="D416" t="s">
        <v>241</v>
      </c>
      <c r="E416" t="s">
        <v>238</v>
      </c>
      <c r="F416">
        <v>3</v>
      </c>
      <c r="G416">
        <v>6080</v>
      </c>
      <c r="H416">
        <v>14.5</v>
      </c>
      <c r="I416">
        <v>15595.2</v>
      </c>
      <c r="J416" t="s">
        <v>87</v>
      </c>
      <c r="K416" t="s">
        <v>117</v>
      </c>
      <c r="L416" t="s">
        <v>117</v>
      </c>
      <c r="M416" t="s">
        <v>2828</v>
      </c>
      <c r="N416" t="s">
        <v>2871</v>
      </c>
      <c r="O416">
        <v>2617</v>
      </c>
      <c r="P416">
        <v>6080</v>
      </c>
    </row>
    <row r="417" spans="1:16" x14ac:dyDescent="0.3">
      <c r="A417" t="s">
        <v>1053</v>
      </c>
      <c r="B417" s="45">
        <v>45375</v>
      </c>
      <c r="C417" t="s">
        <v>559</v>
      </c>
      <c r="D417" t="s">
        <v>259</v>
      </c>
      <c r="E417" t="s">
        <v>148</v>
      </c>
      <c r="F417">
        <v>5</v>
      </c>
      <c r="G417">
        <v>1540</v>
      </c>
      <c r="H417">
        <v>6.1</v>
      </c>
      <c r="I417">
        <v>7230.3</v>
      </c>
      <c r="J417" t="s">
        <v>87</v>
      </c>
      <c r="K417" t="s">
        <v>88</v>
      </c>
      <c r="L417" t="s">
        <v>88</v>
      </c>
      <c r="M417" t="s">
        <v>2828</v>
      </c>
      <c r="N417" t="s">
        <v>2855</v>
      </c>
      <c r="O417">
        <v>647</v>
      </c>
      <c r="P417">
        <v>1540</v>
      </c>
    </row>
    <row r="418" spans="1:16" x14ac:dyDescent="0.3">
      <c r="A418" t="s">
        <v>1058</v>
      </c>
      <c r="B418" s="45">
        <v>45588</v>
      </c>
      <c r="C418" t="s">
        <v>299</v>
      </c>
      <c r="D418" t="s">
        <v>157</v>
      </c>
      <c r="E418" t="s">
        <v>103</v>
      </c>
      <c r="F418">
        <v>10</v>
      </c>
      <c r="G418">
        <v>3450</v>
      </c>
      <c r="H418">
        <v>19.100000000000001</v>
      </c>
      <c r="I418">
        <v>27910.5</v>
      </c>
      <c r="J418" t="s">
        <v>87</v>
      </c>
      <c r="K418" t="s">
        <v>133</v>
      </c>
      <c r="L418" t="s">
        <v>133</v>
      </c>
      <c r="M418" t="s">
        <v>2828</v>
      </c>
      <c r="N418" t="s">
        <v>2855</v>
      </c>
      <c r="O418">
        <v>2420</v>
      </c>
      <c r="P418">
        <v>3450</v>
      </c>
    </row>
    <row r="419" spans="1:16" x14ac:dyDescent="0.3">
      <c r="A419" t="s">
        <v>1061</v>
      </c>
      <c r="B419" s="45">
        <v>45593</v>
      </c>
      <c r="C419" t="s">
        <v>1062</v>
      </c>
      <c r="D419" t="s">
        <v>179</v>
      </c>
      <c r="E419" t="s">
        <v>238</v>
      </c>
      <c r="F419">
        <v>6</v>
      </c>
      <c r="G419">
        <v>3350</v>
      </c>
      <c r="H419">
        <v>11.8</v>
      </c>
      <c r="I419">
        <v>17728.2</v>
      </c>
      <c r="J419" t="s">
        <v>93</v>
      </c>
      <c r="K419" t="s">
        <v>112</v>
      </c>
      <c r="L419" t="s">
        <v>112</v>
      </c>
      <c r="M419" t="s">
        <v>2828</v>
      </c>
      <c r="N419" t="s">
        <v>2871</v>
      </c>
      <c r="O419">
        <v>1728</v>
      </c>
      <c r="P419">
        <v>3350</v>
      </c>
    </row>
    <row r="420" spans="1:16" x14ac:dyDescent="0.3">
      <c r="A420" t="s">
        <v>1063</v>
      </c>
      <c r="B420" s="45">
        <v>45570</v>
      </c>
      <c r="C420" t="s">
        <v>250</v>
      </c>
      <c r="D420" t="s">
        <v>191</v>
      </c>
      <c r="E420" t="s">
        <v>252</v>
      </c>
      <c r="F420">
        <v>6</v>
      </c>
      <c r="G420">
        <v>5100</v>
      </c>
      <c r="H420">
        <v>13.2</v>
      </c>
      <c r="I420">
        <v>26560.799999999999</v>
      </c>
      <c r="J420" t="s">
        <v>87</v>
      </c>
      <c r="K420" t="s">
        <v>117</v>
      </c>
      <c r="L420" t="s">
        <v>117</v>
      </c>
      <c r="M420" t="s">
        <v>2828</v>
      </c>
      <c r="N420" t="s">
        <v>2862</v>
      </c>
      <c r="O420">
        <v>2237</v>
      </c>
      <c r="P420">
        <v>5100</v>
      </c>
    </row>
    <row r="421" spans="1:16" x14ac:dyDescent="0.3">
      <c r="A421" t="s">
        <v>1070</v>
      </c>
      <c r="B421" s="45">
        <v>45610</v>
      </c>
      <c r="C421" t="s">
        <v>626</v>
      </c>
      <c r="D421" t="s">
        <v>386</v>
      </c>
      <c r="E421" t="s">
        <v>92</v>
      </c>
      <c r="F421">
        <v>3</v>
      </c>
      <c r="G421">
        <v>2290</v>
      </c>
      <c r="H421">
        <v>20.8</v>
      </c>
      <c r="I421">
        <v>5441.04</v>
      </c>
      <c r="J421" t="s">
        <v>87</v>
      </c>
      <c r="K421" t="s">
        <v>99</v>
      </c>
      <c r="L421" t="s">
        <v>99</v>
      </c>
      <c r="M421" t="s">
        <v>2828</v>
      </c>
      <c r="N421" t="s">
        <v>2855</v>
      </c>
      <c r="O421">
        <v>1219</v>
      </c>
      <c r="P421">
        <v>2290</v>
      </c>
    </row>
    <row r="422" spans="1:16" x14ac:dyDescent="0.3">
      <c r="A422" t="s">
        <v>1085</v>
      </c>
      <c r="B422" s="45">
        <v>45316</v>
      </c>
      <c r="C422" t="s">
        <v>537</v>
      </c>
      <c r="D422" t="s">
        <v>191</v>
      </c>
      <c r="E422" t="s">
        <v>273</v>
      </c>
      <c r="F422">
        <v>9</v>
      </c>
      <c r="G422">
        <v>5100</v>
      </c>
      <c r="H422">
        <v>26.4</v>
      </c>
      <c r="I422">
        <v>33782.400000000001</v>
      </c>
      <c r="J422" t="s">
        <v>87</v>
      </c>
      <c r="K422" t="s">
        <v>133</v>
      </c>
      <c r="L422" t="s">
        <v>133</v>
      </c>
      <c r="M422" t="s">
        <v>2828</v>
      </c>
      <c r="N422" t="s">
        <v>2862</v>
      </c>
      <c r="O422">
        <v>2237</v>
      </c>
      <c r="P422">
        <v>5100</v>
      </c>
    </row>
    <row r="423" spans="1:16" x14ac:dyDescent="0.3">
      <c r="A423" t="s">
        <v>1118</v>
      </c>
      <c r="B423" s="45">
        <v>45581</v>
      </c>
      <c r="C423" t="s">
        <v>886</v>
      </c>
      <c r="D423" t="s">
        <v>191</v>
      </c>
      <c r="E423" t="s">
        <v>98</v>
      </c>
      <c r="F423">
        <v>2</v>
      </c>
      <c r="G423">
        <v>5100</v>
      </c>
      <c r="H423">
        <v>8.6</v>
      </c>
      <c r="I423">
        <v>9322.7999999999993</v>
      </c>
      <c r="J423" t="s">
        <v>87</v>
      </c>
      <c r="K423" t="s">
        <v>94</v>
      </c>
      <c r="L423" t="s">
        <v>94</v>
      </c>
      <c r="M423" t="s">
        <v>2828</v>
      </c>
      <c r="N423" t="s">
        <v>2862</v>
      </c>
      <c r="O423">
        <v>2237</v>
      </c>
      <c r="P423">
        <v>5100</v>
      </c>
    </row>
    <row r="424" spans="1:16" x14ac:dyDescent="0.3">
      <c r="A424" t="s">
        <v>1126</v>
      </c>
      <c r="B424" s="45">
        <v>45301</v>
      </c>
      <c r="C424" t="s">
        <v>266</v>
      </c>
      <c r="D424" t="s">
        <v>259</v>
      </c>
      <c r="E424" t="s">
        <v>154</v>
      </c>
      <c r="F424">
        <v>2</v>
      </c>
      <c r="G424">
        <v>1540</v>
      </c>
      <c r="H424">
        <v>1.8</v>
      </c>
      <c r="I424">
        <v>3024.56</v>
      </c>
      <c r="J424" t="s">
        <v>140</v>
      </c>
      <c r="K424" t="s">
        <v>99</v>
      </c>
      <c r="L424" t="s">
        <v>99</v>
      </c>
      <c r="M424" t="s">
        <v>2828</v>
      </c>
      <c r="N424" t="s">
        <v>2871</v>
      </c>
      <c r="O424">
        <v>647</v>
      </c>
      <c r="P424">
        <v>1540</v>
      </c>
    </row>
    <row r="425" spans="1:16" x14ac:dyDescent="0.3">
      <c r="A425" t="s">
        <v>1128</v>
      </c>
      <c r="B425" s="45">
        <v>45531</v>
      </c>
      <c r="C425" t="s">
        <v>378</v>
      </c>
      <c r="D425" t="s">
        <v>259</v>
      </c>
      <c r="E425" t="s">
        <v>252</v>
      </c>
      <c r="F425">
        <v>5</v>
      </c>
      <c r="G425">
        <v>1540</v>
      </c>
      <c r="H425">
        <v>28.8</v>
      </c>
      <c r="I425">
        <v>5482.4</v>
      </c>
      <c r="J425" t="s">
        <v>87</v>
      </c>
      <c r="K425" t="s">
        <v>94</v>
      </c>
      <c r="L425" t="s">
        <v>94</v>
      </c>
      <c r="M425" t="s">
        <v>2828</v>
      </c>
      <c r="N425" t="s">
        <v>2862</v>
      </c>
      <c r="O425">
        <v>647</v>
      </c>
      <c r="P425">
        <v>1540</v>
      </c>
    </row>
    <row r="426" spans="1:16" x14ac:dyDescent="0.3">
      <c r="A426" t="s">
        <v>1137</v>
      </c>
      <c r="B426" s="45">
        <v>45318</v>
      </c>
      <c r="C426" t="s">
        <v>669</v>
      </c>
      <c r="D426" t="s">
        <v>386</v>
      </c>
      <c r="E426" t="s">
        <v>343</v>
      </c>
      <c r="F426">
        <v>8</v>
      </c>
      <c r="G426">
        <v>2290</v>
      </c>
      <c r="H426">
        <v>18.3</v>
      </c>
      <c r="I426">
        <v>14967.44</v>
      </c>
      <c r="J426" t="s">
        <v>87</v>
      </c>
      <c r="K426" t="s">
        <v>133</v>
      </c>
      <c r="L426" t="s">
        <v>133</v>
      </c>
      <c r="M426" t="s">
        <v>2828</v>
      </c>
      <c r="N426" t="s">
        <v>2879</v>
      </c>
      <c r="O426">
        <v>1219</v>
      </c>
      <c r="P426">
        <v>2290</v>
      </c>
    </row>
    <row r="427" spans="1:16" x14ac:dyDescent="0.3">
      <c r="A427" t="s">
        <v>1149</v>
      </c>
      <c r="B427" s="45">
        <v>45515</v>
      </c>
      <c r="C427" t="s">
        <v>394</v>
      </c>
      <c r="D427" t="s">
        <v>386</v>
      </c>
      <c r="E427" t="s">
        <v>170</v>
      </c>
      <c r="F427">
        <v>4</v>
      </c>
      <c r="G427">
        <v>2290</v>
      </c>
      <c r="H427">
        <v>24.4</v>
      </c>
      <c r="I427">
        <v>6924.96</v>
      </c>
      <c r="J427" t="s">
        <v>87</v>
      </c>
      <c r="K427" t="s">
        <v>117</v>
      </c>
      <c r="L427" t="s">
        <v>117</v>
      </c>
      <c r="M427" t="s">
        <v>2828</v>
      </c>
      <c r="N427" t="s">
        <v>2879</v>
      </c>
      <c r="O427">
        <v>1219</v>
      </c>
      <c r="P427">
        <v>2290</v>
      </c>
    </row>
    <row r="428" spans="1:16" x14ac:dyDescent="0.3">
      <c r="A428" t="s">
        <v>1156</v>
      </c>
      <c r="B428" s="45">
        <v>45521</v>
      </c>
      <c r="C428" t="s">
        <v>807</v>
      </c>
      <c r="D428" t="s">
        <v>386</v>
      </c>
      <c r="E428" t="s">
        <v>139</v>
      </c>
      <c r="F428">
        <v>2</v>
      </c>
      <c r="G428">
        <v>2290</v>
      </c>
      <c r="H428">
        <v>28.2</v>
      </c>
      <c r="I428">
        <v>3288.44</v>
      </c>
      <c r="J428" t="s">
        <v>87</v>
      </c>
      <c r="K428" t="s">
        <v>88</v>
      </c>
      <c r="L428" t="s">
        <v>88</v>
      </c>
      <c r="M428" t="s">
        <v>2828</v>
      </c>
      <c r="N428" t="s">
        <v>2855</v>
      </c>
      <c r="O428">
        <v>1219</v>
      </c>
      <c r="P428">
        <v>2290</v>
      </c>
    </row>
    <row r="429" spans="1:16" x14ac:dyDescent="0.3">
      <c r="A429" t="s">
        <v>1178</v>
      </c>
      <c r="B429" s="45">
        <v>45461</v>
      </c>
      <c r="C429" t="s">
        <v>669</v>
      </c>
      <c r="D429" t="s">
        <v>380</v>
      </c>
      <c r="E429" t="s">
        <v>98</v>
      </c>
      <c r="F429">
        <v>10</v>
      </c>
      <c r="G429">
        <v>960</v>
      </c>
      <c r="H429">
        <v>0.3</v>
      </c>
      <c r="I429">
        <v>9571.2000000000007</v>
      </c>
      <c r="J429" t="s">
        <v>87</v>
      </c>
      <c r="K429" t="s">
        <v>133</v>
      </c>
      <c r="L429" t="s">
        <v>133</v>
      </c>
      <c r="M429" t="s">
        <v>2828</v>
      </c>
      <c r="N429" t="s">
        <v>2862</v>
      </c>
      <c r="O429">
        <v>675</v>
      </c>
      <c r="P429">
        <v>960</v>
      </c>
    </row>
    <row r="430" spans="1:16" x14ac:dyDescent="0.3">
      <c r="A430" t="s">
        <v>1184</v>
      </c>
      <c r="B430" s="45">
        <v>45448</v>
      </c>
      <c r="C430" t="s">
        <v>501</v>
      </c>
      <c r="D430" t="s">
        <v>179</v>
      </c>
      <c r="E430" t="s">
        <v>121</v>
      </c>
      <c r="F430">
        <v>8</v>
      </c>
      <c r="G430">
        <v>3350</v>
      </c>
      <c r="H430">
        <v>18.399999999999999</v>
      </c>
      <c r="I430">
        <v>21868.799999999999</v>
      </c>
      <c r="J430" t="s">
        <v>87</v>
      </c>
      <c r="K430" t="s">
        <v>133</v>
      </c>
      <c r="L430" t="s">
        <v>133</v>
      </c>
      <c r="M430" t="s">
        <v>2828</v>
      </c>
      <c r="N430" t="s">
        <v>2871</v>
      </c>
      <c r="O430">
        <v>1728</v>
      </c>
      <c r="P430">
        <v>3350</v>
      </c>
    </row>
    <row r="431" spans="1:16" x14ac:dyDescent="0.3">
      <c r="A431" t="s">
        <v>1188</v>
      </c>
      <c r="B431" s="45">
        <v>45548</v>
      </c>
      <c r="C431" t="s">
        <v>244</v>
      </c>
      <c r="D431" t="s">
        <v>386</v>
      </c>
      <c r="E431" t="s">
        <v>201</v>
      </c>
      <c r="F431">
        <v>3</v>
      </c>
      <c r="G431">
        <v>2290</v>
      </c>
      <c r="H431">
        <v>2.4</v>
      </c>
      <c r="I431">
        <v>6705.12</v>
      </c>
      <c r="J431" t="s">
        <v>87</v>
      </c>
      <c r="K431" t="s">
        <v>94</v>
      </c>
      <c r="L431" t="s">
        <v>94</v>
      </c>
      <c r="M431" t="s">
        <v>2828</v>
      </c>
      <c r="N431" t="s">
        <v>2879</v>
      </c>
      <c r="O431">
        <v>1219</v>
      </c>
      <c r="P431">
        <v>2290</v>
      </c>
    </row>
    <row r="432" spans="1:16" x14ac:dyDescent="0.3">
      <c r="A432" t="s">
        <v>1189</v>
      </c>
      <c r="B432" s="45">
        <v>45403</v>
      </c>
      <c r="C432" t="s">
        <v>986</v>
      </c>
      <c r="D432" t="s">
        <v>184</v>
      </c>
      <c r="E432" t="s">
        <v>98</v>
      </c>
      <c r="F432">
        <v>6</v>
      </c>
      <c r="G432">
        <v>4880</v>
      </c>
      <c r="H432">
        <v>11.1</v>
      </c>
      <c r="I432">
        <v>26029.919999999998</v>
      </c>
      <c r="J432" t="s">
        <v>93</v>
      </c>
      <c r="K432" t="s">
        <v>94</v>
      </c>
      <c r="L432" t="s">
        <v>94</v>
      </c>
      <c r="M432" t="s">
        <v>2828</v>
      </c>
      <c r="N432" t="s">
        <v>2862</v>
      </c>
      <c r="O432">
        <v>2768</v>
      </c>
      <c r="P432">
        <v>4880</v>
      </c>
    </row>
    <row r="433" spans="1:16" x14ac:dyDescent="0.3">
      <c r="A433" t="s">
        <v>1199</v>
      </c>
      <c r="B433" s="45">
        <v>45554</v>
      </c>
      <c r="C433" t="s">
        <v>1200</v>
      </c>
      <c r="D433" t="s">
        <v>241</v>
      </c>
      <c r="E433" t="s">
        <v>158</v>
      </c>
      <c r="F433">
        <v>7</v>
      </c>
      <c r="G433">
        <v>6080</v>
      </c>
      <c r="H433">
        <v>23.6</v>
      </c>
      <c r="I433">
        <v>32515.84</v>
      </c>
      <c r="J433" t="s">
        <v>87</v>
      </c>
      <c r="K433" t="s">
        <v>112</v>
      </c>
      <c r="L433" t="s">
        <v>112</v>
      </c>
      <c r="M433" t="s">
        <v>2828</v>
      </c>
      <c r="N433" t="s">
        <v>2871</v>
      </c>
      <c r="O433">
        <v>2617</v>
      </c>
      <c r="P433">
        <v>6080</v>
      </c>
    </row>
    <row r="434" spans="1:16" x14ac:dyDescent="0.3">
      <c r="A434" t="s">
        <v>1204</v>
      </c>
      <c r="B434" s="45">
        <v>45440</v>
      </c>
      <c r="C434" t="s">
        <v>485</v>
      </c>
      <c r="D434" t="s">
        <v>241</v>
      </c>
      <c r="E434" t="s">
        <v>303</v>
      </c>
      <c r="F434">
        <v>5</v>
      </c>
      <c r="G434">
        <v>6080</v>
      </c>
      <c r="H434">
        <v>6</v>
      </c>
      <c r="I434">
        <v>28576</v>
      </c>
      <c r="J434" t="s">
        <v>144</v>
      </c>
      <c r="K434" t="s">
        <v>88</v>
      </c>
      <c r="L434" t="s">
        <v>88</v>
      </c>
      <c r="M434" t="s">
        <v>2828</v>
      </c>
      <c r="N434" t="s">
        <v>2871</v>
      </c>
      <c r="O434">
        <v>2617</v>
      </c>
      <c r="P434">
        <v>6080</v>
      </c>
    </row>
    <row r="435" spans="1:16" x14ac:dyDescent="0.3">
      <c r="A435" t="s">
        <v>1207</v>
      </c>
      <c r="B435" s="45">
        <v>45300</v>
      </c>
      <c r="C435" t="s">
        <v>233</v>
      </c>
      <c r="D435" t="s">
        <v>179</v>
      </c>
      <c r="E435" t="s">
        <v>188</v>
      </c>
      <c r="F435">
        <v>8</v>
      </c>
      <c r="G435">
        <v>3350</v>
      </c>
      <c r="H435">
        <v>19.5</v>
      </c>
      <c r="I435">
        <v>21574</v>
      </c>
      <c r="J435" t="s">
        <v>87</v>
      </c>
      <c r="K435" t="s">
        <v>88</v>
      </c>
      <c r="L435" t="s">
        <v>88</v>
      </c>
      <c r="M435" t="s">
        <v>2828</v>
      </c>
      <c r="N435" t="s">
        <v>2862</v>
      </c>
      <c r="O435">
        <v>1728</v>
      </c>
      <c r="P435">
        <v>3350</v>
      </c>
    </row>
    <row r="436" spans="1:16" x14ac:dyDescent="0.3">
      <c r="A436" t="s">
        <v>1210</v>
      </c>
      <c r="B436" s="45">
        <v>45644</v>
      </c>
      <c r="C436" t="s">
        <v>807</v>
      </c>
      <c r="D436" t="s">
        <v>179</v>
      </c>
      <c r="E436" t="s">
        <v>252</v>
      </c>
      <c r="F436">
        <v>7</v>
      </c>
      <c r="G436">
        <v>3350</v>
      </c>
      <c r="H436">
        <v>10.6</v>
      </c>
      <c r="I436">
        <v>20964.3</v>
      </c>
      <c r="J436" t="s">
        <v>93</v>
      </c>
      <c r="K436" t="s">
        <v>88</v>
      </c>
      <c r="L436" t="s">
        <v>88</v>
      </c>
      <c r="M436" t="s">
        <v>2828</v>
      </c>
      <c r="N436" t="s">
        <v>2862</v>
      </c>
      <c r="O436">
        <v>1728</v>
      </c>
      <c r="P436">
        <v>3350</v>
      </c>
    </row>
    <row r="437" spans="1:16" x14ac:dyDescent="0.3">
      <c r="A437" t="s">
        <v>1212</v>
      </c>
      <c r="B437" s="45">
        <v>45329</v>
      </c>
      <c r="C437" t="s">
        <v>460</v>
      </c>
      <c r="D437" t="s">
        <v>157</v>
      </c>
      <c r="E437" t="s">
        <v>252</v>
      </c>
      <c r="F437">
        <v>1</v>
      </c>
      <c r="G437">
        <v>3450</v>
      </c>
      <c r="H437">
        <v>19.100000000000001</v>
      </c>
      <c r="I437">
        <v>2791.05</v>
      </c>
      <c r="J437" t="s">
        <v>93</v>
      </c>
      <c r="K437" t="s">
        <v>88</v>
      </c>
      <c r="L437" t="s">
        <v>88</v>
      </c>
      <c r="M437" t="s">
        <v>2828</v>
      </c>
      <c r="N437" t="s">
        <v>2862</v>
      </c>
      <c r="O437">
        <v>2420</v>
      </c>
      <c r="P437">
        <v>3450</v>
      </c>
    </row>
    <row r="438" spans="1:16" x14ac:dyDescent="0.3">
      <c r="A438" t="s">
        <v>1213</v>
      </c>
      <c r="B438" s="45">
        <v>45587</v>
      </c>
      <c r="C438" t="s">
        <v>539</v>
      </c>
      <c r="D438" t="s">
        <v>191</v>
      </c>
      <c r="E438" t="s">
        <v>128</v>
      </c>
      <c r="F438">
        <v>5</v>
      </c>
      <c r="G438">
        <v>5100</v>
      </c>
      <c r="H438">
        <v>2.8</v>
      </c>
      <c r="I438">
        <v>24786</v>
      </c>
      <c r="J438" t="s">
        <v>87</v>
      </c>
      <c r="K438" t="s">
        <v>133</v>
      </c>
      <c r="L438" t="s">
        <v>133</v>
      </c>
      <c r="M438" t="s">
        <v>2828</v>
      </c>
      <c r="N438" t="s">
        <v>2879</v>
      </c>
      <c r="O438">
        <v>2237</v>
      </c>
      <c r="P438">
        <v>5100</v>
      </c>
    </row>
    <row r="439" spans="1:16" x14ac:dyDescent="0.3">
      <c r="A439" t="s">
        <v>1214</v>
      </c>
      <c r="B439" s="45">
        <v>45423</v>
      </c>
      <c r="C439" t="s">
        <v>299</v>
      </c>
      <c r="D439" t="s">
        <v>191</v>
      </c>
      <c r="E439" t="s">
        <v>148</v>
      </c>
      <c r="F439">
        <v>9</v>
      </c>
      <c r="G439">
        <v>5100</v>
      </c>
      <c r="H439">
        <v>24.4</v>
      </c>
      <c r="I439">
        <v>34700.400000000001</v>
      </c>
      <c r="J439" t="s">
        <v>87</v>
      </c>
      <c r="K439" t="s">
        <v>133</v>
      </c>
      <c r="L439" t="s">
        <v>133</v>
      </c>
      <c r="M439" t="s">
        <v>2828</v>
      </c>
      <c r="N439" t="s">
        <v>2855</v>
      </c>
      <c r="O439">
        <v>2237</v>
      </c>
      <c r="P439">
        <v>5100</v>
      </c>
    </row>
    <row r="440" spans="1:16" x14ac:dyDescent="0.3">
      <c r="A440" t="s">
        <v>1228</v>
      </c>
      <c r="B440" s="45">
        <v>45597</v>
      </c>
      <c r="C440" t="s">
        <v>397</v>
      </c>
      <c r="D440" t="s">
        <v>179</v>
      </c>
      <c r="E440" t="s">
        <v>297</v>
      </c>
      <c r="F440">
        <v>7</v>
      </c>
      <c r="G440">
        <v>3350</v>
      </c>
      <c r="H440">
        <v>23.7</v>
      </c>
      <c r="I440">
        <v>17892.349999999999</v>
      </c>
      <c r="J440" t="s">
        <v>87</v>
      </c>
      <c r="K440" t="s">
        <v>99</v>
      </c>
      <c r="L440" t="s">
        <v>99</v>
      </c>
      <c r="M440" t="s">
        <v>2828</v>
      </c>
      <c r="N440" t="s">
        <v>2855</v>
      </c>
      <c r="O440">
        <v>1728</v>
      </c>
      <c r="P440">
        <v>3350</v>
      </c>
    </row>
    <row r="441" spans="1:16" x14ac:dyDescent="0.3">
      <c r="A441" t="s">
        <v>1240</v>
      </c>
      <c r="B441" s="45">
        <v>45489</v>
      </c>
      <c r="C441" t="s">
        <v>874</v>
      </c>
      <c r="D441" t="s">
        <v>386</v>
      </c>
      <c r="E441" t="s">
        <v>128</v>
      </c>
      <c r="F441">
        <v>10</v>
      </c>
      <c r="G441">
        <v>2290</v>
      </c>
      <c r="H441">
        <v>2.4</v>
      </c>
      <c r="I441">
        <v>22350.400000000001</v>
      </c>
      <c r="J441" t="s">
        <v>93</v>
      </c>
      <c r="K441" t="s">
        <v>112</v>
      </c>
      <c r="L441" t="s">
        <v>112</v>
      </c>
      <c r="M441" t="s">
        <v>2828</v>
      </c>
      <c r="N441" t="s">
        <v>2879</v>
      </c>
      <c r="O441">
        <v>1219</v>
      </c>
      <c r="P441">
        <v>2290</v>
      </c>
    </row>
    <row r="442" spans="1:16" x14ac:dyDescent="0.3">
      <c r="A442" t="s">
        <v>1241</v>
      </c>
      <c r="B442" s="45">
        <v>45416</v>
      </c>
      <c r="C442" t="s">
        <v>1231</v>
      </c>
      <c r="D442" t="s">
        <v>179</v>
      </c>
      <c r="E442" t="s">
        <v>238</v>
      </c>
      <c r="F442">
        <v>5</v>
      </c>
      <c r="G442">
        <v>3350</v>
      </c>
      <c r="H442">
        <v>18.5</v>
      </c>
      <c r="I442">
        <v>13651.25</v>
      </c>
      <c r="J442" t="s">
        <v>140</v>
      </c>
      <c r="K442" t="s">
        <v>88</v>
      </c>
      <c r="L442" t="s">
        <v>88</v>
      </c>
      <c r="M442" t="s">
        <v>2828</v>
      </c>
      <c r="N442" t="s">
        <v>2871</v>
      </c>
      <c r="O442">
        <v>1728</v>
      </c>
      <c r="P442">
        <v>3350</v>
      </c>
    </row>
    <row r="443" spans="1:16" x14ac:dyDescent="0.3">
      <c r="A443" t="s">
        <v>1254</v>
      </c>
      <c r="B443" s="45">
        <v>45444</v>
      </c>
      <c r="C443" t="s">
        <v>559</v>
      </c>
      <c r="D443" t="s">
        <v>241</v>
      </c>
      <c r="E443" t="s">
        <v>346</v>
      </c>
      <c r="F443">
        <v>9</v>
      </c>
      <c r="G443">
        <v>6080</v>
      </c>
      <c r="H443">
        <v>16.3</v>
      </c>
      <c r="I443">
        <v>45800.639999999999</v>
      </c>
      <c r="J443" t="s">
        <v>140</v>
      </c>
      <c r="K443" t="s">
        <v>88</v>
      </c>
      <c r="L443" t="s">
        <v>88</v>
      </c>
      <c r="M443" t="s">
        <v>2828</v>
      </c>
      <c r="N443" t="s">
        <v>2862</v>
      </c>
      <c r="O443">
        <v>2617</v>
      </c>
      <c r="P443">
        <v>6080</v>
      </c>
    </row>
    <row r="444" spans="1:16" x14ac:dyDescent="0.3">
      <c r="A444" t="s">
        <v>1260</v>
      </c>
      <c r="B444" s="45">
        <v>45389</v>
      </c>
      <c r="C444" t="s">
        <v>1261</v>
      </c>
      <c r="D444" t="s">
        <v>179</v>
      </c>
      <c r="E444" t="s">
        <v>229</v>
      </c>
      <c r="F444">
        <v>6</v>
      </c>
      <c r="G444">
        <v>3350</v>
      </c>
      <c r="H444">
        <v>0.9</v>
      </c>
      <c r="I444">
        <v>19919.099999999999</v>
      </c>
      <c r="J444" t="s">
        <v>93</v>
      </c>
      <c r="K444" t="s">
        <v>117</v>
      </c>
      <c r="L444" t="s">
        <v>117</v>
      </c>
      <c r="M444" t="s">
        <v>2828</v>
      </c>
      <c r="N444" t="s">
        <v>2879</v>
      </c>
      <c r="O444">
        <v>1728</v>
      </c>
      <c r="P444">
        <v>3350</v>
      </c>
    </row>
    <row r="445" spans="1:16" x14ac:dyDescent="0.3">
      <c r="A445" t="s">
        <v>1262</v>
      </c>
      <c r="B445" s="45">
        <v>45506</v>
      </c>
      <c r="C445" t="s">
        <v>945</v>
      </c>
      <c r="D445" t="s">
        <v>176</v>
      </c>
      <c r="E445" t="s">
        <v>229</v>
      </c>
      <c r="F445">
        <v>7</v>
      </c>
      <c r="G445">
        <v>1650</v>
      </c>
      <c r="H445">
        <v>5.6</v>
      </c>
      <c r="I445">
        <v>10903.2</v>
      </c>
      <c r="J445" t="s">
        <v>144</v>
      </c>
      <c r="K445" t="s">
        <v>88</v>
      </c>
      <c r="L445" t="s">
        <v>88</v>
      </c>
      <c r="M445" t="s">
        <v>2828</v>
      </c>
      <c r="N445" t="s">
        <v>2879</v>
      </c>
      <c r="O445">
        <v>1222</v>
      </c>
      <c r="P445">
        <v>1650</v>
      </c>
    </row>
    <row r="446" spans="1:16" x14ac:dyDescent="0.3">
      <c r="A446" t="s">
        <v>1268</v>
      </c>
      <c r="B446" s="45">
        <v>45582</v>
      </c>
      <c r="C446" t="s">
        <v>567</v>
      </c>
      <c r="D446" t="s">
        <v>259</v>
      </c>
      <c r="E446" t="s">
        <v>121</v>
      </c>
      <c r="F446">
        <v>8</v>
      </c>
      <c r="G446">
        <v>1540</v>
      </c>
      <c r="H446">
        <v>9</v>
      </c>
      <c r="I446">
        <v>11211.2</v>
      </c>
      <c r="J446" t="s">
        <v>140</v>
      </c>
      <c r="K446" t="s">
        <v>117</v>
      </c>
      <c r="L446" t="s">
        <v>117</v>
      </c>
      <c r="M446" t="s">
        <v>2828</v>
      </c>
      <c r="N446" t="s">
        <v>2871</v>
      </c>
      <c r="O446">
        <v>647</v>
      </c>
      <c r="P446">
        <v>1540</v>
      </c>
    </row>
    <row r="447" spans="1:16" x14ac:dyDescent="0.3">
      <c r="A447" t="s">
        <v>1270</v>
      </c>
      <c r="B447" s="45">
        <v>45344</v>
      </c>
      <c r="C447" t="s">
        <v>399</v>
      </c>
      <c r="D447" t="s">
        <v>157</v>
      </c>
      <c r="E447" t="s">
        <v>92</v>
      </c>
      <c r="F447">
        <v>3</v>
      </c>
      <c r="G447">
        <v>3450</v>
      </c>
      <c r="H447">
        <v>17.899999999999999</v>
      </c>
      <c r="I447">
        <v>8497.35</v>
      </c>
      <c r="J447" t="s">
        <v>87</v>
      </c>
      <c r="K447" t="s">
        <v>99</v>
      </c>
      <c r="L447" t="s">
        <v>99</v>
      </c>
      <c r="M447" t="s">
        <v>2828</v>
      </c>
      <c r="N447" t="s">
        <v>2855</v>
      </c>
      <c r="O447">
        <v>2420</v>
      </c>
      <c r="P447">
        <v>3450</v>
      </c>
    </row>
    <row r="448" spans="1:16" x14ac:dyDescent="0.3">
      <c r="A448" t="s">
        <v>1276</v>
      </c>
      <c r="B448" s="45">
        <v>45652</v>
      </c>
      <c r="C448" t="s">
        <v>872</v>
      </c>
      <c r="D448" t="s">
        <v>241</v>
      </c>
      <c r="E448" t="s">
        <v>229</v>
      </c>
      <c r="F448">
        <v>1</v>
      </c>
      <c r="G448">
        <v>6080</v>
      </c>
      <c r="H448">
        <v>22.3</v>
      </c>
      <c r="I448">
        <v>4724.16</v>
      </c>
      <c r="J448" t="s">
        <v>87</v>
      </c>
      <c r="K448" t="s">
        <v>112</v>
      </c>
      <c r="L448" t="s">
        <v>112</v>
      </c>
      <c r="M448" t="s">
        <v>2828</v>
      </c>
      <c r="N448" t="s">
        <v>2879</v>
      </c>
      <c r="O448">
        <v>2617</v>
      </c>
      <c r="P448">
        <v>6080</v>
      </c>
    </row>
    <row r="449" spans="1:16" x14ac:dyDescent="0.3">
      <c r="A449" t="s">
        <v>1280</v>
      </c>
      <c r="B449" s="45">
        <v>45397</v>
      </c>
      <c r="C449" t="s">
        <v>454</v>
      </c>
      <c r="D449" t="s">
        <v>276</v>
      </c>
      <c r="E449" t="s">
        <v>103</v>
      </c>
      <c r="F449">
        <v>8</v>
      </c>
      <c r="G449">
        <v>3020</v>
      </c>
      <c r="H449">
        <v>6.9</v>
      </c>
      <c r="I449">
        <v>22492.959999999999</v>
      </c>
      <c r="J449" t="s">
        <v>87</v>
      </c>
      <c r="K449" t="s">
        <v>133</v>
      </c>
      <c r="L449" t="s">
        <v>133</v>
      </c>
      <c r="M449" t="s">
        <v>2828</v>
      </c>
      <c r="N449" t="s">
        <v>2855</v>
      </c>
      <c r="O449">
        <v>1626</v>
      </c>
      <c r="P449">
        <v>3020</v>
      </c>
    </row>
    <row r="450" spans="1:16" x14ac:dyDescent="0.3">
      <c r="A450" t="s">
        <v>1302</v>
      </c>
      <c r="B450" s="45">
        <v>45372</v>
      </c>
      <c r="C450" t="s">
        <v>689</v>
      </c>
      <c r="D450" t="s">
        <v>380</v>
      </c>
      <c r="E450" t="s">
        <v>116</v>
      </c>
      <c r="F450">
        <v>2</v>
      </c>
      <c r="G450">
        <v>960</v>
      </c>
      <c r="H450">
        <v>17.5</v>
      </c>
      <c r="I450">
        <v>1584</v>
      </c>
      <c r="J450" t="s">
        <v>87</v>
      </c>
      <c r="K450" t="s">
        <v>133</v>
      </c>
      <c r="L450" t="s">
        <v>133</v>
      </c>
      <c r="M450" t="s">
        <v>2828</v>
      </c>
      <c r="N450" t="s">
        <v>2879</v>
      </c>
      <c r="O450">
        <v>675</v>
      </c>
      <c r="P450">
        <v>960</v>
      </c>
    </row>
    <row r="451" spans="1:16" x14ac:dyDescent="0.3">
      <c r="A451" t="s">
        <v>1303</v>
      </c>
      <c r="B451" s="45">
        <v>45405</v>
      </c>
      <c r="C451" t="s">
        <v>1055</v>
      </c>
      <c r="D451" t="s">
        <v>184</v>
      </c>
      <c r="E451" t="s">
        <v>215</v>
      </c>
      <c r="F451">
        <v>4</v>
      </c>
      <c r="G451">
        <v>4880</v>
      </c>
      <c r="H451">
        <v>12.2</v>
      </c>
      <c r="I451">
        <v>17138.560000000001</v>
      </c>
      <c r="J451" t="s">
        <v>140</v>
      </c>
      <c r="K451" t="s">
        <v>112</v>
      </c>
      <c r="L451" t="s">
        <v>112</v>
      </c>
      <c r="M451" t="s">
        <v>2828</v>
      </c>
      <c r="N451" t="s">
        <v>2855</v>
      </c>
      <c r="O451">
        <v>2768</v>
      </c>
      <c r="P451">
        <v>4880</v>
      </c>
    </row>
    <row r="452" spans="1:16" x14ac:dyDescent="0.3">
      <c r="A452" t="s">
        <v>1312</v>
      </c>
      <c r="B452" s="45">
        <v>45532</v>
      </c>
      <c r="C452" t="s">
        <v>501</v>
      </c>
      <c r="D452" t="s">
        <v>259</v>
      </c>
      <c r="E452" t="s">
        <v>154</v>
      </c>
      <c r="F452">
        <v>2</v>
      </c>
      <c r="G452">
        <v>1540</v>
      </c>
      <c r="H452">
        <v>12.7</v>
      </c>
      <c r="I452">
        <v>2688.84</v>
      </c>
      <c r="J452" t="s">
        <v>87</v>
      </c>
      <c r="K452" t="s">
        <v>133</v>
      </c>
      <c r="L452" t="s">
        <v>133</v>
      </c>
      <c r="M452" t="s">
        <v>2828</v>
      </c>
      <c r="N452" t="s">
        <v>2871</v>
      </c>
      <c r="O452">
        <v>647</v>
      </c>
      <c r="P452">
        <v>1540</v>
      </c>
    </row>
    <row r="453" spans="1:16" x14ac:dyDescent="0.3">
      <c r="A453" t="s">
        <v>1319</v>
      </c>
      <c r="B453" s="45">
        <v>45328</v>
      </c>
      <c r="C453" t="s">
        <v>563</v>
      </c>
      <c r="D453" t="s">
        <v>176</v>
      </c>
      <c r="E453" t="s">
        <v>325</v>
      </c>
      <c r="F453">
        <v>4</v>
      </c>
      <c r="G453">
        <v>1650</v>
      </c>
      <c r="H453">
        <v>4.0999999999999996</v>
      </c>
      <c r="I453">
        <v>6329.4</v>
      </c>
      <c r="J453" t="s">
        <v>87</v>
      </c>
      <c r="K453" t="s">
        <v>88</v>
      </c>
      <c r="L453" t="s">
        <v>88</v>
      </c>
      <c r="M453" t="s">
        <v>2828</v>
      </c>
      <c r="N453" t="s">
        <v>2862</v>
      </c>
      <c r="O453">
        <v>1222</v>
      </c>
      <c r="P453">
        <v>1650</v>
      </c>
    </row>
    <row r="454" spans="1:16" x14ac:dyDescent="0.3">
      <c r="A454" t="s">
        <v>1322</v>
      </c>
      <c r="B454" s="45">
        <v>45429</v>
      </c>
      <c r="C454" t="s">
        <v>301</v>
      </c>
      <c r="D454" t="s">
        <v>179</v>
      </c>
      <c r="E454" t="s">
        <v>303</v>
      </c>
      <c r="F454">
        <v>6</v>
      </c>
      <c r="G454">
        <v>3350</v>
      </c>
      <c r="H454">
        <v>24.8</v>
      </c>
      <c r="I454">
        <v>15115.2</v>
      </c>
      <c r="J454" t="s">
        <v>87</v>
      </c>
      <c r="K454" t="s">
        <v>94</v>
      </c>
      <c r="L454" t="s">
        <v>94</v>
      </c>
      <c r="M454" t="s">
        <v>2828</v>
      </c>
      <c r="N454" t="s">
        <v>2871</v>
      </c>
      <c r="O454">
        <v>1728</v>
      </c>
      <c r="P454">
        <v>3350</v>
      </c>
    </row>
    <row r="455" spans="1:16" x14ac:dyDescent="0.3">
      <c r="A455" t="s">
        <v>1324</v>
      </c>
      <c r="B455" s="45">
        <v>45444</v>
      </c>
      <c r="C455" t="s">
        <v>638</v>
      </c>
      <c r="D455" t="s">
        <v>184</v>
      </c>
      <c r="E455" t="s">
        <v>103</v>
      </c>
      <c r="F455">
        <v>10</v>
      </c>
      <c r="G455">
        <v>4880</v>
      </c>
      <c r="H455">
        <v>0.7</v>
      </c>
      <c r="I455">
        <v>48458.400000000001</v>
      </c>
      <c r="J455" t="s">
        <v>87</v>
      </c>
      <c r="K455" t="s">
        <v>99</v>
      </c>
      <c r="L455" t="s">
        <v>99</v>
      </c>
      <c r="M455" t="s">
        <v>2828</v>
      </c>
      <c r="N455" t="s">
        <v>2855</v>
      </c>
      <c r="O455">
        <v>2768</v>
      </c>
      <c r="P455">
        <v>4880</v>
      </c>
    </row>
    <row r="456" spans="1:16" x14ac:dyDescent="0.3">
      <c r="A456" t="s">
        <v>1333</v>
      </c>
      <c r="B456" s="45">
        <v>45438</v>
      </c>
      <c r="C456" t="s">
        <v>744</v>
      </c>
      <c r="D456" t="s">
        <v>157</v>
      </c>
      <c r="E456" t="s">
        <v>139</v>
      </c>
      <c r="F456">
        <v>2</v>
      </c>
      <c r="G456">
        <v>3450</v>
      </c>
      <c r="H456">
        <v>11.3</v>
      </c>
      <c r="I456">
        <v>6120.3</v>
      </c>
      <c r="J456" t="s">
        <v>93</v>
      </c>
      <c r="K456" t="s">
        <v>133</v>
      </c>
      <c r="L456" t="s">
        <v>133</v>
      </c>
      <c r="M456" t="s">
        <v>2828</v>
      </c>
      <c r="N456" t="s">
        <v>2855</v>
      </c>
      <c r="O456">
        <v>2420</v>
      </c>
      <c r="P456">
        <v>3450</v>
      </c>
    </row>
    <row r="457" spans="1:16" x14ac:dyDescent="0.3">
      <c r="A457" t="s">
        <v>1334</v>
      </c>
      <c r="B457" s="45">
        <v>45486</v>
      </c>
      <c r="C457" t="s">
        <v>301</v>
      </c>
      <c r="D457" t="s">
        <v>380</v>
      </c>
      <c r="E457" t="s">
        <v>154</v>
      </c>
      <c r="F457">
        <v>7</v>
      </c>
      <c r="G457">
        <v>960</v>
      </c>
      <c r="H457">
        <v>17.100000000000001</v>
      </c>
      <c r="I457">
        <v>5570.88</v>
      </c>
      <c r="J457" t="s">
        <v>87</v>
      </c>
      <c r="K457" t="s">
        <v>94</v>
      </c>
      <c r="L457" t="s">
        <v>94</v>
      </c>
      <c r="M457" t="s">
        <v>2828</v>
      </c>
      <c r="N457" t="s">
        <v>2871</v>
      </c>
      <c r="O457">
        <v>675</v>
      </c>
      <c r="P457">
        <v>960</v>
      </c>
    </row>
    <row r="458" spans="1:16" x14ac:dyDescent="0.3">
      <c r="A458" t="s">
        <v>1354</v>
      </c>
      <c r="B458" s="45">
        <v>45654</v>
      </c>
      <c r="C458" t="s">
        <v>1308</v>
      </c>
      <c r="D458" t="s">
        <v>157</v>
      </c>
      <c r="E458" t="s">
        <v>229</v>
      </c>
      <c r="F458">
        <v>5</v>
      </c>
      <c r="G458">
        <v>3450</v>
      </c>
      <c r="H458">
        <v>13.4</v>
      </c>
      <c r="I458">
        <v>14938.5</v>
      </c>
      <c r="J458" t="s">
        <v>93</v>
      </c>
      <c r="K458" t="s">
        <v>94</v>
      </c>
      <c r="L458" t="s">
        <v>94</v>
      </c>
      <c r="M458" t="s">
        <v>2828</v>
      </c>
      <c r="N458" t="s">
        <v>2879</v>
      </c>
      <c r="O458">
        <v>2420</v>
      </c>
      <c r="P458">
        <v>3450</v>
      </c>
    </row>
    <row r="459" spans="1:16" x14ac:dyDescent="0.3">
      <c r="A459" t="s">
        <v>1364</v>
      </c>
      <c r="B459" s="45">
        <v>45293</v>
      </c>
      <c r="C459" t="s">
        <v>126</v>
      </c>
      <c r="D459" t="s">
        <v>184</v>
      </c>
      <c r="E459" t="s">
        <v>170</v>
      </c>
      <c r="F459">
        <v>1</v>
      </c>
      <c r="G459">
        <v>4880</v>
      </c>
      <c r="H459">
        <v>28.2</v>
      </c>
      <c r="I459">
        <v>3503.84</v>
      </c>
      <c r="J459" t="s">
        <v>87</v>
      </c>
      <c r="K459" t="s">
        <v>88</v>
      </c>
      <c r="L459" t="s">
        <v>88</v>
      </c>
      <c r="M459" t="s">
        <v>2828</v>
      </c>
      <c r="N459" t="s">
        <v>2879</v>
      </c>
      <c r="O459">
        <v>2768</v>
      </c>
      <c r="P459">
        <v>4880</v>
      </c>
    </row>
    <row r="460" spans="1:16" x14ac:dyDescent="0.3">
      <c r="A460" t="s">
        <v>1367</v>
      </c>
      <c r="B460" s="45">
        <v>45408</v>
      </c>
      <c r="C460" t="s">
        <v>606</v>
      </c>
      <c r="D460" t="s">
        <v>191</v>
      </c>
      <c r="E460" t="s">
        <v>148</v>
      </c>
      <c r="F460">
        <v>9</v>
      </c>
      <c r="G460">
        <v>5100</v>
      </c>
      <c r="H460">
        <v>9.6999999999999993</v>
      </c>
      <c r="I460">
        <v>41447.699999999997</v>
      </c>
      <c r="J460" t="s">
        <v>87</v>
      </c>
      <c r="K460" t="s">
        <v>112</v>
      </c>
      <c r="L460" t="s">
        <v>112</v>
      </c>
      <c r="M460" t="s">
        <v>2828</v>
      </c>
      <c r="N460" t="s">
        <v>2855</v>
      </c>
      <c r="O460">
        <v>2237</v>
      </c>
      <c r="P460">
        <v>5100</v>
      </c>
    </row>
    <row r="461" spans="1:16" x14ac:dyDescent="0.3">
      <c r="A461" t="s">
        <v>1369</v>
      </c>
      <c r="B461" s="45">
        <v>45649</v>
      </c>
      <c r="C461" t="s">
        <v>371</v>
      </c>
      <c r="D461" t="s">
        <v>241</v>
      </c>
      <c r="E461" t="s">
        <v>201</v>
      </c>
      <c r="F461">
        <v>1</v>
      </c>
      <c r="G461">
        <v>6080</v>
      </c>
      <c r="H461">
        <v>5.6</v>
      </c>
      <c r="I461">
        <v>5739.52</v>
      </c>
      <c r="J461" t="s">
        <v>87</v>
      </c>
      <c r="K461" t="s">
        <v>112</v>
      </c>
      <c r="L461" t="s">
        <v>112</v>
      </c>
      <c r="M461" t="s">
        <v>2828</v>
      </c>
      <c r="N461" t="s">
        <v>2879</v>
      </c>
      <c r="O461">
        <v>2617</v>
      </c>
      <c r="P461">
        <v>6080</v>
      </c>
    </row>
    <row r="462" spans="1:16" x14ac:dyDescent="0.3">
      <c r="A462" t="s">
        <v>1371</v>
      </c>
      <c r="B462" s="45">
        <v>45316</v>
      </c>
      <c r="C462" t="s">
        <v>533</v>
      </c>
      <c r="D462" t="s">
        <v>259</v>
      </c>
      <c r="E462" t="s">
        <v>139</v>
      </c>
      <c r="F462">
        <v>7</v>
      </c>
      <c r="G462">
        <v>1540</v>
      </c>
      <c r="H462">
        <v>7.1</v>
      </c>
      <c r="I462">
        <v>10014.620000000001</v>
      </c>
      <c r="J462" t="s">
        <v>87</v>
      </c>
      <c r="K462" t="s">
        <v>99</v>
      </c>
      <c r="L462" t="s">
        <v>99</v>
      </c>
      <c r="M462" t="s">
        <v>2828</v>
      </c>
      <c r="N462" t="s">
        <v>2855</v>
      </c>
      <c r="O462">
        <v>647</v>
      </c>
      <c r="P462">
        <v>1540</v>
      </c>
    </row>
    <row r="463" spans="1:16" x14ac:dyDescent="0.3">
      <c r="A463" t="s">
        <v>1373</v>
      </c>
      <c r="B463" s="45">
        <v>45456</v>
      </c>
      <c r="C463" t="s">
        <v>537</v>
      </c>
      <c r="D463" t="s">
        <v>184</v>
      </c>
      <c r="E463" t="s">
        <v>273</v>
      </c>
      <c r="F463">
        <v>4</v>
      </c>
      <c r="G463">
        <v>4880</v>
      </c>
      <c r="H463">
        <v>26.5</v>
      </c>
      <c r="I463">
        <v>14347.2</v>
      </c>
      <c r="J463" t="s">
        <v>87</v>
      </c>
      <c r="K463" t="s">
        <v>133</v>
      </c>
      <c r="L463" t="s">
        <v>133</v>
      </c>
      <c r="M463" t="s">
        <v>2828</v>
      </c>
      <c r="N463" t="s">
        <v>2862</v>
      </c>
      <c r="O463">
        <v>2768</v>
      </c>
      <c r="P463">
        <v>4880</v>
      </c>
    </row>
    <row r="464" spans="1:16" x14ac:dyDescent="0.3">
      <c r="A464" t="s">
        <v>1379</v>
      </c>
      <c r="B464" s="45">
        <v>45478</v>
      </c>
      <c r="C464" t="s">
        <v>301</v>
      </c>
      <c r="D464" t="s">
        <v>184</v>
      </c>
      <c r="E464" t="s">
        <v>170</v>
      </c>
      <c r="F464">
        <v>10</v>
      </c>
      <c r="G464">
        <v>4880</v>
      </c>
      <c r="H464">
        <v>25.5</v>
      </c>
      <c r="I464">
        <v>36356</v>
      </c>
      <c r="J464" t="s">
        <v>140</v>
      </c>
      <c r="K464" t="s">
        <v>94</v>
      </c>
      <c r="L464" t="s">
        <v>94</v>
      </c>
      <c r="M464" t="s">
        <v>2828</v>
      </c>
      <c r="N464" t="s">
        <v>2879</v>
      </c>
      <c r="O464">
        <v>2768</v>
      </c>
      <c r="P464">
        <v>4880</v>
      </c>
    </row>
    <row r="465" spans="1:16" x14ac:dyDescent="0.3">
      <c r="A465" t="s">
        <v>1380</v>
      </c>
      <c r="B465" s="45">
        <v>45518</v>
      </c>
      <c r="C465" t="s">
        <v>966</v>
      </c>
      <c r="D465" t="s">
        <v>241</v>
      </c>
      <c r="E465" t="s">
        <v>128</v>
      </c>
      <c r="F465">
        <v>6</v>
      </c>
      <c r="G465">
        <v>6080</v>
      </c>
      <c r="H465">
        <v>21.6</v>
      </c>
      <c r="I465">
        <v>28600.32</v>
      </c>
      <c r="J465" t="s">
        <v>87</v>
      </c>
      <c r="K465" t="s">
        <v>133</v>
      </c>
      <c r="L465" t="s">
        <v>133</v>
      </c>
      <c r="M465" t="s">
        <v>2828</v>
      </c>
      <c r="N465" t="s">
        <v>2879</v>
      </c>
      <c r="O465">
        <v>2617</v>
      </c>
      <c r="P465">
        <v>6080</v>
      </c>
    </row>
    <row r="466" spans="1:16" x14ac:dyDescent="0.3">
      <c r="A466" t="s">
        <v>1381</v>
      </c>
      <c r="B466" s="45">
        <v>45319</v>
      </c>
      <c r="C466" t="s">
        <v>541</v>
      </c>
      <c r="D466" t="s">
        <v>276</v>
      </c>
      <c r="E466" t="s">
        <v>252</v>
      </c>
      <c r="F466">
        <v>3</v>
      </c>
      <c r="G466">
        <v>3020</v>
      </c>
      <c r="H466">
        <v>20.7</v>
      </c>
      <c r="I466">
        <v>7184.58</v>
      </c>
      <c r="J466" t="s">
        <v>87</v>
      </c>
      <c r="K466" t="s">
        <v>94</v>
      </c>
      <c r="L466" t="s">
        <v>94</v>
      </c>
      <c r="M466" t="s">
        <v>2828</v>
      </c>
      <c r="N466" t="s">
        <v>2862</v>
      </c>
      <c r="O466">
        <v>1626</v>
      </c>
      <c r="P466">
        <v>3020</v>
      </c>
    </row>
    <row r="467" spans="1:16" x14ac:dyDescent="0.3">
      <c r="A467" t="s">
        <v>1398</v>
      </c>
      <c r="B467" s="45">
        <v>45455</v>
      </c>
      <c r="C467" t="s">
        <v>178</v>
      </c>
      <c r="D467" t="s">
        <v>157</v>
      </c>
      <c r="E467" t="s">
        <v>201</v>
      </c>
      <c r="F467">
        <v>4</v>
      </c>
      <c r="G467">
        <v>3450</v>
      </c>
      <c r="H467">
        <v>9.8000000000000007</v>
      </c>
      <c r="I467">
        <v>12447.6</v>
      </c>
      <c r="J467" t="s">
        <v>140</v>
      </c>
      <c r="K467" t="s">
        <v>94</v>
      </c>
      <c r="L467" t="s">
        <v>94</v>
      </c>
      <c r="M467" t="s">
        <v>2828</v>
      </c>
      <c r="N467" t="s">
        <v>2879</v>
      </c>
      <c r="O467">
        <v>2420</v>
      </c>
      <c r="P467">
        <v>3450</v>
      </c>
    </row>
    <row r="468" spans="1:16" x14ac:dyDescent="0.3">
      <c r="A468" t="s">
        <v>1401</v>
      </c>
      <c r="B468" s="45">
        <v>45315</v>
      </c>
      <c r="C468" t="s">
        <v>342</v>
      </c>
      <c r="D468" t="s">
        <v>176</v>
      </c>
      <c r="E468" t="s">
        <v>154</v>
      </c>
      <c r="F468">
        <v>7</v>
      </c>
      <c r="G468">
        <v>1650</v>
      </c>
      <c r="H468">
        <v>8.6</v>
      </c>
      <c r="I468">
        <v>10556.7</v>
      </c>
      <c r="J468" t="s">
        <v>87</v>
      </c>
      <c r="K468" t="s">
        <v>94</v>
      </c>
      <c r="L468" t="s">
        <v>94</v>
      </c>
      <c r="M468" t="s">
        <v>2828</v>
      </c>
      <c r="N468" t="s">
        <v>2871</v>
      </c>
      <c r="O468">
        <v>1222</v>
      </c>
      <c r="P468">
        <v>1650</v>
      </c>
    </row>
    <row r="469" spans="1:16" x14ac:dyDescent="0.3">
      <c r="A469" t="s">
        <v>1406</v>
      </c>
      <c r="B469" s="45">
        <v>45323</v>
      </c>
      <c r="C469" t="s">
        <v>528</v>
      </c>
      <c r="D469" t="s">
        <v>276</v>
      </c>
      <c r="E469" t="s">
        <v>128</v>
      </c>
      <c r="F469">
        <v>7</v>
      </c>
      <c r="G469">
        <v>3020</v>
      </c>
      <c r="H469">
        <v>18.8</v>
      </c>
      <c r="I469">
        <v>17165.68</v>
      </c>
      <c r="J469" t="s">
        <v>87</v>
      </c>
      <c r="K469" t="s">
        <v>112</v>
      </c>
      <c r="L469" t="s">
        <v>112</v>
      </c>
      <c r="M469" t="s">
        <v>2828</v>
      </c>
      <c r="N469" t="s">
        <v>2879</v>
      </c>
      <c r="O469">
        <v>1626</v>
      </c>
      <c r="P469">
        <v>3020</v>
      </c>
    </row>
    <row r="470" spans="1:16" x14ac:dyDescent="0.3">
      <c r="A470" t="s">
        <v>1409</v>
      </c>
      <c r="B470" s="45">
        <v>45347</v>
      </c>
      <c r="C470" t="s">
        <v>528</v>
      </c>
      <c r="D470" t="s">
        <v>380</v>
      </c>
      <c r="E470" t="s">
        <v>128</v>
      </c>
      <c r="F470">
        <v>5</v>
      </c>
      <c r="G470">
        <v>960</v>
      </c>
      <c r="H470">
        <v>8</v>
      </c>
      <c r="I470">
        <v>4416</v>
      </c>
      <c r="J470" t="s">
        <v>87</v>
      </c>
      <c r="K470" t="s">
        <v>112</v>
      </c>
      <c r="L470" t="s">
        <v>112</v>
      </c>
      <c r="M470" t="s">
        <v>2828</v>
      </c>
      <c r="N470" t="s">
        <v>2879</v>
      </c>
      <c r="O470">
        <v>675</v>
      </c>
      <c r="P470">
        <v>960</v>
      </c>
    </row>
    <row r="471" spans="1:16" x14ac:dyDescent="0.3">
      <c r="A471" t="s">
        <v>1424</v>
      </c>
      <c r="B471" s="45">
        <v>45567</v>
      </c>
      <c r="C471" t="s">
        <v>250</v>
      </c>
      <c r="D471" t="s">
        <v>259</v>
      </c>
      <c r="E471" t="s">
        <v>170</v>
      </c>
      <c r="F471">
        <v>2</v>
      </c>
      <c r="G471">
        <v>1540</v>
      </c>
      <c r="H471">
        <v>17.7</v>
      </c>
      <c r="I471">
        <v>2534.84</v>
      </c>
      <c r="J471" t="s">
        <v>87</v>
      </c>
      <c r="K471" t="s">
        <v>117</v>
      </c>
      <c r="L471" t="s">
        <v>117</v>
      </c>
      <c r="M471" t="s">
        <v>2828</v>
      </c>
      <c r="N471" t="s">
        <v>2879</v>
      </c>
      <c r="O471">
        <v>647</v>
      </c>
      <c r="P471">
        <v>1540</v>
      </c>
    </row>
    <row r="472" spans="1:16" x14ac:dyDescent="0.3">
      <c r="A472" t="s">
        <v>1432</v>
      </c>
      <c r="B472" s="45">
        <v>45327</v>
      </c>
      <c r="C472" t="s">
        <v>460</v>
      </c>
      <c r="D472" t="s">
        <v>157</v>
      </c>
      <c r="E472" t="s">
        <v>132</v>
      </c>
      <c r="F472">
        <v>6</v>
      </c>
      <c r="G472">
        <v>3450</v>
      </c>
      <c r="H472">
        <v>1.8</v>
      </c>
      <c r="I472">
        <v>20327.400000000001</v>
      </c>
      <c r="J472" t="s">
        <v>140</v>
      </c>
      <c r="K472" t="s">
        <v>88</v>
      </c>
      <c r="L472" t="s">
        <v>88</v>
      </c>
      <c r="M472" t="s">
        <v>2828</v>
      </c>
      <c r="N472" t="s">
        <v>2862</v>
      </c>
      <c r="O472">
        <v>2420</v>
      </c>
      <c r="P472">
        <v>3450</v>
      </c>
    </row>
    <row r="473" spans="1:16" x14ac:dyDescent="0.3">
      <c r="A473" t="s">
        <v>1440</v>
      </c>
      <c r="B473" s="45">
        <v>45350</v>
      </c>
      <c r="C473" t="s">
        <v>1308</v>
      </c>
      <c r="D473" t="s">
        <v>176</v>
      </c>
      <c r="E473" t="s">
        <v>273</v>
      </c>
      <c r="F473">
        <v>10</v>
      </c>
      <c r="G473">
        <v>1650</v>
      </c>
      <c r="H473">
        <v>7.1</v>
      </c>
      <c r="I473">
        <v>15328.5</v>
      </c>
      <c r="J473" t="s">
        <v>87</v>
      </c>
      <c r="K473" t="s">
        <v>94</v>
      </c>
      <c r="L473" t="s">
        <v>94</v>
      </c>
      <c r="M473" t="s">
        <v>2828</v>
      </c>
      <c r="N473" t="s">
        <v>2862</v>
      </c>
      <c r="O473">
        <v>1222</v>
      </c>
      <c r="P473">
        <v>1650</v>
      </c>
    </row>
    <row r="474" spans="1:16" x14ac:dyDescent="0.3">
      <c r="A474" t="s">
        <v>1443</v>
      </c>
      <c r="B474" s="45">
        <v>45509</v>
      </c>
      <c r="C474" t="s">
        <v>479</v>
      </c>
      <c r="D474" t="s">
        <v>241</v>
      </c>
      <c r="E474" t="s">
        <v>132</v>
      </c>
      <c r="F474">
        <v>2</v>
      </c>
      <c r="G474">
        <v>6080</v>
      </c>
      <c r="H474">
        <v>23.8</v>
      </c>
      <c r="I474">
        <v>9265.92</v>
      </c>
      <c r="J474" t="s">
        <v>87</v>
      </c>
      <c r="K474" t="s">
        <v>88</v>
      </c>
      <c r="L474" t="s">
        <v>88</v>
      </c>
      <c r="M474" t="s">
        <v>2828</v>
      </c>
      <c r="N474" t="s">
        <v>2862</v>
      </c>
      <c r="O474">
        <v>2617</v>
      </c>
      <c r="P474">
        <v>6080</v>
      </c>
    </row>
    <row r="475" spans="1:16" x14ac:dyDescent="0.3">
      <c r="A475" t="s">
        <v>1446</v>
      </c>
      <c r="B475" s="45">
        <v>45378</v>
      </c>
      <c r="C475" t="s">
        <v>342</v>
      </c>
      <c r="D475" t="s">
        <v>191</v>
      </c>
      <c r="E475" t="s">
        <v>252</v>
      </c>
      <c r="F475">
        <v>4</v>
      </c>
      <c r="G475">
        <v>5100</v>
      </c>
      <c r="H475">
        <v>2.1</v>
      </c>
      <c r="I475">
        <v>19971.599999999999</v>
      </c>
      <c r="J475" t="s">
        <v>87</v>
      </c>
      <c r="K475" t="s">
        <v>94</v>
      </c>
      <c r="L475" t="s">
        <v>94</v>
      </c>
      <c r="M475" t="s">
        <v>2828</v>
      </c>
      <c r="N475" t="s">
        <v>2862</v>
      </c>
      <c r="O475">
        <v>2237</v>
      </c>
      <c r="P475">
        <v>5100</v>
      </c>
    </row>
    <row r="476" spans="1:16" x14ac:dyDescent="0.3">
      <c r="A476" t="s">
        <v>1447</v>
      </c>
      <c r="B476" s="45">
        <v>45428</v>
      </c>
      <c r="C476" t="s">
        <v>314</v>
      </c>
      <c r="D476" t="s">
        <v>276</v>
      </c>
      <c r="E476" t="s">
        <v>116</v>
      </c>
      <c r="F476">
        <v>5</v>
      </c>
      <c r="G476">
        <v>3020</v>
      </c>
      <c r="H476">
        <v>17.3</v>
      </c>
      <c r="I476">
        <v>12487.7</v>
      </c>
      <c r="J476" t="s">
        <v>87</v>
      </c>
      <c r="K476" t="s">
        <v>88</v>
      </c>
      <c r="L476" t="s">
        <v>88</v>
      </c>
      <c r="M476" t="s">
        <v>2828</v>
      </c>
      <c r="N476" t="s">
        <v>2879</v>
      </c>
      <c r="O476">
        <v>1626</v>
      </c>
      <c r="P476">
        <v>3020</v>
      </c>
    </row>
    <row r="477" spans="1:16" x14ac:dyDescent="0.3">
      <c r="A477" t="s">
        <v>1457</v>
      </c>
      <c r="B477" s="45">
        <v>45505</v>
      </c>
      <c r="C477" t="s">
        <v>816</v>
      </c>
      <c r="D477" t="s">
        <v>259</v>
      </c>
      <c r="E477" t="s">
        <v>139</v>
      </c>
      <c r="F477">
        <v>10</v>
      </c>
      <c r="G477">
        <v>1540</v>
      </c>
      <c r="H477">
        <v>17.5</v>
      </c>
      <c r="I477">
        <v>12705</v>
      </c>
      <c r="J477" t="s">
        <v>87</v>
      </c>
      <c r="K477" t="s">
        <v>88</v>
      </c>
      <c r="L477" t="s">
        <v>88</v>
      </c>
      <c r="M477" t="s">
        <v>2828</v>
      </c>
      <c r="N477" t="s">
        <v>2855</v>
      </c>
      <c r="O477">
        <v>647</v>
      </c>
      <c r="P477">
        <v>1540</v>
      </c>
    </row>
    <row r="478" spans="1:16" x14ac:dyDescent="0.3">
      <c r="A478" t="s">
        <v>1460</v>
      </c>
      <c r="B478" s="45">
        <v>45628</v>
      </c>
      <c r="C478" t="s">
        <v>1350</v>
      </c>
      <c r="D478" t="s">
        <v>157</v>
      </c>
      <c r="E478" t="s">
        <v>285</v>
      </c>
      <c r="F478">
        <v>8</v>
      </c>
      <c r="G478">
        <v>3450</v>
      </c>
      <c r="H478">
        <v>3.7</v>
      </c>
      <c r="I478">
        <v>26578.799999999999</v>
      </c>
      <c r="J478" t="s">
        <v>87</v>
      </c>
      <c r="K478" t="s">
        <v>112</v>
      </c>
      <c r="L478" t="s">
        <v>112</v>
      </c>
      <c r="M478" t="s">
        <v>2828</v>
      </c>
      <c r="N478" t="s">
        <v>2871</v>
      </c>
      <c r="O478">
        <v>2420</v>
      </c>
      <c r="P478">
        <v>3450</v>
      </c>
    </row>
    <row r="479" spans="1:16" x14ac:dyDescent="0.3">
      <c r="A479" t="s">
        <v>1465</v>
      </c>
      <c r="B479" s="45">
        <v>45327</v>
      </c>
      <c r="C479" t="s">
        <v>785</v>
      </c>
      <c r="D479" t="s">
        <v>259</v>
      </c>
      <c r="E479" t="s">
        <v>229</v>
      </c>
      <c r="F479">
        <v>4</v>
      </c>
      <c r="G479">
        <v>1540</v>
      </c>
      <c r="H479">
        <v>13.9</v>
      </c>
      <c r="I479">
        <v>5303.76</v>
      </c>
      <c r="J479" t="s">
        <v>87</v>
      </c>
      <c r="K479" t="s">
        <v>88</v>
      </c>
      <c r="L479" t="s">
        <v>88</v>
      </c>
      <c r="M479" t="s">
        <v>2828</v>
      </c>
      <c r="N479" t="s">
        <v>2879</v>
      </c>
      <c r="O479">
        <v>647</v>
      </c>
      <c r="P479">
        <v>1540</v>
      </c>
    </row>
    <row r="480" spans="1:16" x14ac:dyDescent="0.3">
      <c r="A480" t="s">
        <v>1469</v>
      </c>
      <c r="B480" s="45">
        <v>45544</v>
      </c>
      <c r="C480" t="s">
        <v>615</v>
      </c>
      <c r="D480" t="s">
        <v>386</v>
      </c>
      <c r="E480" t="s">
        <v>285</v>
      </c>
      <c r="F480">
        <v>9</v>
      </c>
      <c r="G480">
        <v>2290</v>
      </c>
      <c r="H480">
        <v>8.3000000000000007</v>
      </c>
      <c r="I480">
        <v>18899.37</v>
      </c>
      <c r="J480" t="s">
        <v>93</v>
      </c>
      <c r="K480" t="s">
        <v>112</v>
      </c>
      <c r="L480" t="s">
        <v>112</v>
      </c>
      <c r="M480" t="s">
        <v>2828</v>
      </c>
      <c r="N480" t="s">
        <v>2871</v>
      </c>
      <c r="O480">
        <v>1219</v>
      </c>
      <c r="P480">
        <v>2290</v>
      </c>
    </row>
    <row r="481" spans="1:16" x14ac:dyDescent="0.3">
      <c r="A481" t="s">
        <v>1473</v>
      </c>
      <c r="B481" s="45">
        <v>45309</v>
      </c>
      <c r="C481" t="s">
        <v>362</v>
      </c>
      <c r="D481" t="s">
        <v>386</v>
      </c>
      <c r="E481" t="s">
        <v>139</v>
      </c>
      <c r="F481">
        <v>10</v>
      </c>
      <c r="G481">
        <v>2290</v>
      </c>
      <c r="H481">
        <v>16.8</v>
      </c>
      <c r="I481">
        <v>19052.8</v>
      </c>
      <c r="J481" t="s">
        <v>140</v>
      </c>
      <c r="K481" t="s">
        <v>94</v>
      </c>
      <c r="L481" t="s">
        <v>94</v>
      </c>
      <c r="M481" t="s">
        <v>2828</v>
      </c>
      <c r="N481" t="s">
        <v>2855</v>
      </c>
      <c r="O481">
        <v>1219</v>
      </c>
      <c r="P481">
        <v>2290</v>
      </c>
    </row>
    <row r="482" spans="1:16" x14ac:dyDescent="0.3">
      <c r="A482" t="s">
        <v>1476</v>
      </c>
      <c r="B482" s="45">
        <v>45367</v>
      </c>
      <c r="C482" t="s">
        <v>643</v>
      </c>
      <c r="D482" t="s">
        <v>276</v>
      </c>
      <c r="E482" t="s">
        <v>204</v>
      </c>
      <c r="F482">
        <v>1</v>
      </c>
      <c r="G482">
        <v>3020</v>
      </c>
      <c r="H482">
        <v>26.7</v>
      </c>
      <c r="I482">
        <v>2213.66</v>
      </c>
      <c r="J482" t="s">
        <v>87</v>
      </c>
      <c r="K482" t="s">
        <v>112</v>
      </c>
      <c r="L482" t="s">
        <v>112</v>
      </c>
      <c r="M482" t="s">
        <v>2828</v>
      </c>
      <c r="N482" t="s">
        <v>2862</v>
      </c>
      <c r="O482">
        <v>1626</v>
      </c>
      <c r="P482">
        <v>3020</v>
      </c>
    </row>
    <row r="483" spans="1:16" x14ac:dyDescent="0.3">
      <c r="A483" t="s">
        <v>1486</v>
      </c>
      <c r="B483" s="45">
        <v>45416</v>
      </c>
      <c r="C483" t="s">
        <v>247</v>
      </c>
      <c r="D483" t="s">
        <v>380</v>
      </c>
      <c r="E483" t="s">
        <v>273</v>
      </c>
      <c r="F483">
        <v>1</v>
      </c>
      <c r="G483">
        <v>960</v>
      </c>
      <c r="H483">
        <v>11.9</v>
      </c>
      <c r="I483">
        <v>845.76</v>
      </c>
      <c r="J483" t="s">
        <v>87</v>
      </c>
      <c r="K483" t="s">
        <v>117</v>
      </c>
      <c r="L483" t="s">
        <v>117</v>
      </c>
      <c r="M483" t="s">
        <v>2828</v>
      </c>
      <c r="N483" t="s">
        <v>2862</v>
      </c>
      <c r="O483">
        <v>675</v>
      </c>
      <c r="P483">
        <v>960</v>
      </c>
    </row>
    <row r="484" spans="1:16" x14ac:dyDescent="0.3">
      <c r="A484" t="s">
        <v>1528</v>
      </c>
      <c r="B484" s="45">
        <v>45640</v>
      </c>
      <c r="C484" t="s">
        <v>1529</v>
      </c>
      <c r="D484" t="s">
        <v>184</v>
      </c>
      <c r="E484" t="s">
        <v>107</v>
      </c>
      <c r="F484">
        <v>10</v>
      </c>
      <c r="G484">
        <v>4880</v>
      </c>
      <c r="H484">
        <v>7.3</v>
      </c>
      <c r="I484">
        <v>45237.599999999999</v>
      </c>
      <c r="J484" t="s">
        <v>87</v>
      </c>
      <c r="K484" t="s">
        <v>94</v>
      </c>
      <c r="L484" t="s">
        <v>94</v>
      </c>
      <c r="M484" t="s">
        <v>2828</v>
      </c>
      <c r="N484" t="s">
        <v>2855</v>
      </c>
      <c r="O484">
        <v>2768</v>
      </c>
      <c r="P484">
        <v>4880</v>
      </c>
    </row>
    <row r="485" spans="1:16" x14ac:dyDescent="0.3">
      <c r="A485" t="s">
        <v>1536</v>
      </c>
      <c r="B485" s="45">
        <v>45578</v>
      </c>
      <c r="C485" t="s">
        <v>454</v>
      </c>
      <c r="D485" t="s">
        <v>191</v>
      </c>
      <c r="E485" t="s">
        <v>201</v>
      </c>
      <c r="F485">
        <v>8</v>
      </c>
      <c r="G485">
        <v>5100</v>
      </c>
      <c r="H485">
        <v>26.9</v>
      </c>
      <c r="I485">
        <v>29824.799999999999</v>
      </c>
      <c r="J485" t="s">
        <v>87</v>
      </c>
      <c r="K485" t="s">
        <v>133</v>
      </c>
      <c r="L485" t="s">
        <v>133</v>
      </c>
      <c r="M485" t="s">
        <v>2828</v>
      </c>
      <c r="N485" t="s">
        <v>2879</v>
      </c>
      <c r="O485">
        <v>2237</v>
      </c>
      <c r="P485">
        <v>5100</v>
      </c>
    </row>
    <row r="486" spans="1:16" x14ac:dyDescent="0.3">
      <c r="A486" t="s">
        <v>1288</v>
      </c>
      <c r="B486" s="45">
        <v>45296</v>
      </c>
      <c r="C486" t="s">
        <v>872</v>
      </c>
      <c r="D486" t="s">
        <v>276</v>
      </c>
      <c r="E486" t="s">
        <v>238</v>
      </c>
      <c r="F486">
        <v>3</v>
      </c>
      <c r="G486">
        <v>3020</v>
      </c>
      <c r="H486">
        <v>18.5</v>
      </c>
      <c r="I486">
        <v>7383.9</v>
      </c>
      <c r="J486" t="s">
        <v>140</v>
      </c>
      <c r="K486" t="s">
        <v>112</v>
      </c>
      <c r="L486" t="s">
        <v>112</v>
      </c>
      <c r="M486" t="s">
        <v>2828</v>
      </c>
      <c r="N486" t="s">
        <v>2871</v>
      </c>
      <c r="O486">
        <v>1626</v>
      </c>
      <c r="P486">
        <v>3020</v>
      </c>
    </row>
    <row r="487" spans="1:16" x14ac:dyDescent="0.3">
      <c r="A487" t="s">
        <v>1537</v>
      </c>
      <c r="B487" s="45">
        <v>45564</v>
      </c>
      <c r="C487" t="s">
        <v>1096</v>
      </c>
      <c r="D487" t="s">
        <v>380</v>
      </c>
      <c r="E487" t="s">
        <v>297</v>
      </c>
      <c r="F487">
        <v>8</v>
      </c>
      <c r="G487">
        <v>960</v>
      </c>
      <c r="H487">
        <v>7.1</v>
      </c>
      <c r="I487">
        <v>7134.72</v>
      </c>
      <c r="J487" t="s">
        <v>87</v>
      </c>
      <c r="K487" t="s">
        <v>88</v>
      </c>
      <c r="L487" t="s">
        <v>88</v>
      </c>
      <c r="M487" t="s">
        <v>2828</v>
      </c>
      <c r="N487" t="s">
        <v>2855</v>
      </c>
      <c r="O487">
        <v>675</v>
      </c>
      <c r="P487">
        <v>960</v>
      </c>
    </row>
    <row r="488" spans="1:16" x14ac:dyDescent="0.3">
      <c r="A488" t="s">
        <v>1539</v>
      </c>
      <c r="B488" s="45">
        <v>45436</v>
      </c>
      <c r="C488" t="s">
        <v>541</v>
      </c>
      <c r="D488" t="s">
        <v>241</v>
      </c>
      <c r="E488" t="s">
        <v>132</v>
      </c>
      <c r="F488">
        <v>6</v>
      </c>
      <c r="G488">
        <v>6080</v>
      </c>
      <c r="H488">
        <v>25.8</v>
      </c>
      <c r="I488">
        <v>27068.16</v>
      </c>
      <c r="J488" t="s">
        <v>87</v>
      </c>
      <c r="K488" t="s">
        <v>94</v>
      </c>
      <c r="L488" t="s">
        <v>94</v>
      </c>
      <c r="M488" t="s">
        <v>2828</v>
      </c>
      <c r="N488" t="s">
        <v>2862</v>
      </c>
      <c r="O488">
        <v>2617</v>
      </c>
      <c r="P488">
        <v>6080</v>
      </c>
    </row>
    <row r="489" spans="1:16" x14ac:dyDescent="0.3">
      <c r="A489" t="s">
        <v>1540</v>
      </c>
      <c r="B489" s="45">
        <v>45544</v>
      </c>
      <c r="C489" t="s">
        <v>539</v>
      </c>
      <c r="D489" t="s">
        <v>259</v>
      </c>
      <c r="E489" t="s">
        <v>132</v>
      </c>
      <c r="F489">
        <v>5</v>
      </c>
      <c r="G489">
        <v>1540</v>
      </c>
      <c r="H489">
        <v>24.6</v>
      </c>
      <c r="I489">
        <v>5805.8</v>
      </c>
      <c r="J489" t="s">
        <v>87</v>
      </c>
      <c r="K489" t="s">
        <v>133</v>
      </c>
      <c r="L489" t="s">
        <v>133</v>
      </c>
      <c r="M489" t="s">
        <v>2828</v>
      </c>
      <c r="N489" t="s">
        <v>2862</v>
      </c>
      <c r="O489">
        <v>647</v>
      </c>
      <c r="P489">
        <v>1540</v>
      </c>
    </row>
    <row r="490" spans="1:16" x14ac:dyDescent="0.3">
      <c r="A490" t="s">
        <v>1542</v>
      </c>
      <c r="B490" s="45">
        <v>45586</v>
      </c>
      <c r="C490" t="s">
        <v>533</v>
      </c>
      <c r="D490" t="s">
        <v>380</v>
      </c>
      <c r="E490" t="s">
        <v>201</v>
      </c>
      <c r="F490">
        <v>5</v>
      </c>
      <c r="G490">
        <v>960</v>
      </c>
      <c r="H490">
        <v>11.4</v>
      </c>
      <c r="I490">
        <v>4252.8</v>
      </c>
      <c r="J490" t="s">
        <v>87</v>
      </c>
      <c r="K490" t="s">
        <v>99</v>
      </c>
      <c r="L490" t="s">
        <v>99</v>
      </c>
      <c r="M490" t="s">
        <v>2828</v>
      </c>
      <c r="N490" t="s">
        <v>2879</v>
      </c>
      <c r="O490">
        <v>675</v>
      </c>
      <c r="P490">
        <v>960</v>
      </c>
    </row>
    <row r="491" spans="1:16" x14ac:dyDescent="0.3">
      <c r="A491" t="s">
        <v>1543</v>
      </c>
      <c r="B491" s="45">
        <v>45524</v>
      </c>
      <c r="C491" t="s">
        <v>231</v>
      </c>
      <c r="D491" t="s">
        <v>259</v>
      </c>
      <c r="E491" t="s">
        <v>132</v>
      </c>
      <c r="F491">
        <v>1</v>
      </c>
      <c r="G491">
        <v>1540</v>
      </c>
      <c r="H491">
        <v>5.6</v>
      </c>
      <c r="I491">
        <v>1453.76</v>
      </c>
      <c r="J491" t="s">
        <v>87</v>
      </c>
      <c r="K491" t="s">
        <v>117</v>
      </c>
      <c r="L491" t="s">
        <v>117</v>
      </c>
      <c r="M491" t="s">
        <v>2828</v>
      </c>
      <c r="N491" t="s">
        <v>2862</v>
      </c>
      <c r="O491">
        <v>647</v>
      </c>
      <c r="P491">
        <v>1540</v>
      </c>
    </row>
    <row r="492" spans="1:16" x14ac:dyDescent="0.3">
      <c r="A492" t="s">
        <v>1544</v>
      </c>
      <c r="B492" s="45">
        <v>45397</v>
      </c>
      <c r="C492" t="s">
        <v>1003</v>
      </c>
      <c r="D492" t="s">
        <v>179</v>
      </c>
      <c r="E492" t="s">
        <v>121</v>
      </c>
      <c r="F492">
        <v>9</v>
      </c>
      <c r="G492">
        <v>3350</v>
      </c>
      <c r="H492">
        <v>2.1</v>
      </c>
      <c r="I492">
        <v>29516.85</v>
      </c>
      <c r="J492" t="s">
        <v>87</v>
      </c>
      <c r="K492" t="s">
        <v>99</v>
      </c>
      <c r="L492" t="s">
        <v>99</v>
      </c>
      <c r="M492" t="s">
        <v>2828</v>
      </c>
      <c r="N492" t="s">
        <v>2871</v>
      </c>
      <c r="O492">
        <v>1728</v>
      </c>
      <c r="P492">
        <v>3350</v>
      </c>
    </row>
    <row r="493" spans="1:16" x14ac:dyDescent="0.3">
      <c r="A493" t="s">
        <v>1557</v>
      </c>
      <c r="B493" s="45">
        <v>45292</v>
      </c>
      <c r="C493" t="s">
        <v>802</v>
      </c>
      <c r="D493" t="s">
        <v>241</v>
      </c>
      <c r="E493" t="s">
        <v>98</v>
      </c>
      <c r="F493">
        <v>1</v>
      </c>
      <c r="G493">
        <v>6080</v>
      </c>
      <c r="H493">
        <v>27.8</v>
      </c>
      <c r="I493">
        <v>4389.76</v>
      </c>
      <c r="J493" t="s">
        <v>87</v>
      </c>
      <c r="K493" t="s">
        <v>94</v>
      </c>
      <c r="L493" t="s">
        <v>94</v>
      </c>
      <c r="M493" t="s">
        <v>2828</v>
      </c>
      <c r="N493" t="s">
        <v>2862</v>
      </c>
      <c r="O493">
        <v>2617</v>
      </c>
      <c r="P493">
        <v>6080</v>
      </c>
    </row>
    <row r="494" spans="1:16" x14ac:dyDescent="0.3">
      <c r="A494" t="s">
        <v>1558</v>
      </c>
      <c r="B494" s="45">
        <v>45347</v>
      </c>
      <c r="C494" t="s">
        <v>206</v>
      </c>
      <c r="D494" t="s">
        <v>179</v>
      </c>
      <c r="E494" t="s">
        <v>116</v>
      </c>
      <c r="F494">
        <v>6</v>
      </c>
      <c r="G494">
        <v>3350</v>
      </c>
      <c r="H494">
        <v>12</v>
      </c>
      <c r="I494">
        <v>17688</v>
      </c>
      <c r="J494" t="s">
        <v>87</v>
      </c>
      <c r="K494" t="s">
        <v>133</v>
      </c>
      <c r="L494" t="s">
        <v>133</v>
      </c>
      <c r="M494" t="s">
        <v>2828</v>
      </c>
      <c r="N494" t="s">
        <v>2879</v>
      </c>
      <c r="O494">
        <v>1728</v>
      </c>
      <c r="P494">
        <v>3350</v>
      </c>
    </row>
    <row r="495" spans="1:16" x14ac:dyDescent="0.3">
      <c r="A495" t="s">
        <v>1566</v>
      </c>
      <c r="B495" s="45">
        <v>45537</v>
      </c>
      <c r="C495" t="s">
        <v>90</v>
      </c>
      <c r="D495" t="s">
        <v>380</v>
      </c>
      <c r="E495" t="s">
        <v>98</v>
      </c>
      <c r="F495">
        <v>6</v>
      </c>
      <c r="G495">
        <v>960</v>
      </c>
      <c r="H495">
        <v>29.3</v>
      </c>
      <c r="I495">
        <v>4072.32</v>
      </c>
      <c r="J495" t="s">
        <v>140</v>
      </c>
      <c r="K495" t="s">
        <v>94</v>
      </c>
      <c r="L495" t="s">
        <v>94</v>
      </c>
      <c r="M495" t="s">
        <v>2828</v>
      </c>
      <c r="N495" t="s">
        <v>2862</v>
      </c>
      <c r="O495">
        <v>675</v>
      </c>
      <c r="P495">
        <v>960</v>
      </c>
    </row>
    <row r="496" spans="1:16" x14ac:dyDescent="0.3">
      <c r="A496" t="s">
        <v>1578</v>
      </c>
      <c r="B496" s="45">
        <v>45469</v>
      </c>
      <c r="C496" t="s">
        <v>1006</v>
      </c>
      <c r="D496" t="s">
        <v>191</v>
      </c>
      <c r="E496" t="s">
        <v>325</v>
      </c>
      <c r="F496">
        <v>2</v>
      </c>
      <c r="G496">
        <v>5100</v>
      </c>
      <c r="H496">
        <v>19.899999999999999</v>
      </c>
      <c r="I496">
        <v>8170.2</v>
      </c>
      <c r="J496" t="s">
        <v>87</v>
      </c>
      <c r="K496" t="s">
        <v>117</v>
      </c>
      <c r="L496" t="s">
        <v>117</v>
      </c>
      <c r="M496" t="s">
        <v>2828</v>
      </c>
      <c r="N496" t="s">
        <v>2862</v>
      </c>
      <c r="O496">
        <v>2237</v>
      </c>
      <c r="P496">
        <v>5100</v>
      </c>
    </row>
    <row r="497" spans="1:16" x14ac:dyDescent="0.3">
      <c r="A497" t="s">
        <v>1579</v>
      </c>
      <c r="B497" s="45">
        <v>45656</v>
      </c>
      <c r="C497" t="s">
        <v>493</v>
      </c>
      <c r="D497" t="s">
        <v>157</v>
      </c>
      <c r="E497" t="s">
        <v>215</v>
      </c>
      <c r="F497">
        <v>6</v>
      </c>
      <c r="G497">
        <v>3450</v>
      </c>
      <c r="H497">
        <v>13</v>
      </c>
      <c r="I497">
        <v>18009</v>
      </c>
      <c r="J497" t="s">
        <v>87</v>
      </c>
      <c r="K497" t="s">
        <v>88</v>
      </c>
      <c r="L497" t="s">
        <v>88</v>
      </c>
      <c r="M497" t="s">
        <v>2828</v>
      </c>
      <c r="N497" t="s">
        <v>2855</v>
      </c>
      <c r="O497">
        <v>2420</v>
      </c>
      <c r="P497">
        <v>3450</v>
      </c>
    </row>
    <row r="498" spans="1:16" x14ac:dyDescent="0.3">
      <c r="A498" t="s">
        <v>1581</v>
      </c>
      <c r="B498" s="45">
        <v>45440</v>
      </c>
      <c r="C498" t="s">
        <v>1575</v>
      </c>
      <c r="D498" t="s">
        <v>380</v>
      </c>
      <c r="E498" t="s">
        <v>192</v>
      </c>
      <c r="F498">
        <v>5</v>
      </c>
      <c r="G498">
        <v>960</v>
      </c>
      <c r="H498">
        <v>9.3000000000000007</v>
      </c>
      <c r="I498">
        <v>4353.6000000000004</v>
      </c>
      <c r="J498" t="s">
        <v>87</v>
      </c>
      <c r="K498" t="s">
        <v>133</v>
      </c>
      <c r="L498" t="s">
        <v>133</v>
      </c>
      <c r="M498" t="s">
        <v>2828</v>
      </c>
      <c r="N498" t="s">
        <v>2871</v>
      </c>
      <c r="O498">
        <v>675</v>
      </c>
      <c r="P498">
        <v>960</v>
      </c>
    </row>
    <row r="499" spans="1:16" x14ac:dyDescent="0.3">
      <c r="A499" t="s">
        <v>1588</v>
      </c>
      <c r="B499" s="45">
        <v>45627</v>
      </c>
      <c r="C499" t="s">
        <v>886</v>
      </c>
      <c r="D499" t="s">
        <v>259</v>
      </c>
      <c r="E499" t="s">
        <v>238</v>
      </c>
      <c r="F499">
        <v>5</v>
      </c>
      <c r="G499">
        <v>1540</v>
      </c>
      <c r="H499">
        <v>18.100000000000001</v>
      </c>
      <c r="I499">
        <v>6306.3</v>
      </c>
      <c r="J499" t="s">
        <v>87</v>
      </c>
      <c r="K499" t="s">
        <v>94</v>
      </c>
      <c r="L499" t="s">
        <v>94</v>
      </c>
      <c r="M499" t="s">
        <v>2828</v>
      </c>
      <c r="N499" t="s">
        <v>2871</v>
      </c>
      <c r="O499">
        <v>647</v>
      </c>
      <c r="P499">
        <v>1540</v>
      </c>
    </row>
    <row r="500" spans="1:16" x14ac:dyDescent="0.3">
      <c r="A500" t="s">
        <v>1592</v>
      </c>
      <c r="B500" s="45">
        <v>45569</v>
      </c>
      <c r="C500" t="s">
        <v>369</v>
      </c>
      <c r="D500" t="s">
        <v>179</v>
      </c>
      <c r="E500" t="s">
        <v>238</v>
      </c>
      <c r="F500">
        <v>1</v>
      </c>
      <c r="G500">
        <v>3350</v>
      </c>
      <c r="H500">
        <v>14.9</v>
      </c>
      <c r="I500">
        <v>2850.85</v>
      </c>
      <c r="J500" t="s">
        <v>87</v>
      </c>
      <c r="K500" t="s">
        <v>94</v>
      </c>
      <c r="L500" t="s">
        <v>94</v>
      </c>
      <c r="M500" t="s">
        <v>2828</v>
      </c>
      <c r="N500" t="s">
        <v>2871</v>
      </c>
      <c r="O500">
        <v>1728</v>
      </c>
      <c r="P500">
        <v>3350</v>
      </c>
    </row>
    <row r="501" spans="1:16" x14ac:dyDescent="0.3">
      <c r="A501" t="s">
        <v>1606</v>
      </c>
      <c r="B501" s="45">
        <v>45489</v>
      </c>
      <c r="C501" t="s">
        <v>1308</v>
      </c>
      <c r="D501" t="s">
        <v>386</v>
      </c>
      <c r="E501" t="s">
        <v>285</v>
      </c>
      <c r="F501">
        <v>6</v>
      </c>
      <c r="G501">
        <v>2290</v>
      </c>
      <c r="H501">
        <v>18.8</v>
      </c>
      <c r="I501">
        <v>11156.88</v>
      </c>
      <c r="J501" t="s">
        <v>87</v>
      </c>
      <c r="K501" t="s">
        <v>94</v>
      </c>
      <c r="L501" t="s">
        <v>94</v>
      </c>
      <c r="M501" t="s">
        <v>2828</v>
      </c>
      <c r="N501" t="s">
        <v>2871</v>
      </c>
      <c r="O501">
        <v>1219</v>
      </c>
      <c r="P501">
        <v>2290</v>
      </c>
    </row>
    <row r="502" spans="1:16" x14ac:dyDescent="0.3">
      <c r="A502" t="s">
        <v>1607</v>
      </c>
      <c r="B502" s="45">
        <v>45394</v>
      </c>
      <c r="C502" t="s">
        <v>689</v>
      </c>
      <c r="D502" t="s">
        <v>157</v>
      </c>
      <c r="E502" t="s">
        <v>158</v>
      </c>
      <c r="F502">
        <v>6</v>
      </c>
      <c r="G502">
        <v>3450</v>
      </c>
      <c r="H502">
        <v>28.4</v>
      </c>
      <c r="I502">
        <v>14821.2</v>
      </c>
      <c r="J502" t="s">
        <v>87</v>
      </c>
      <c r="K502" t="s">
        <v>133</v>
      </c>
      <c r="L502" t="s">
        <v>133</v>
      </c>
      <c r="M502" t="s">
        <v>2828</v>
      </c>
      <c r="N502" t="s">
        <v>2871</v>
      </c>
      <c r="O502">
        <v>2420</v>
      </c>
      <c r="P502">
        <v>3450</v>
      </c>
    </row>
    <row r="503" spans="1:16" x14ac:dyDescent="0.3">
      <c r="A503" t="s">
        <v>1613</v>
      </c>
      <c r="B503" s="45">
        <v>45529</v>
      </c>
      <c r="C503" t="s">
        <v>738</v>
      </c>
      <c r="D503" t="s">
        <v>179</v>
      </c>
      <c r="E503" t="s">
        <v>98</v>
      </c>
      <c r="F503">
        <v>1</v>
      </c>
      <c r="G503">
        <v>3350</v>
      </c>
      <c r="H503">
        <v>23.2</v>
      </c>
      <c r="I503">
        <v>2572.8000000000002</v>
      </c>
      <c r="J503" t="s">
        <v>144</v>
      </c>
      <c r="K503" t="s">
        <v>88</v>
      </c>
      <c r="L503" t="s">
        <v>88</v>
      </c>
      <c r="M503" t="s">
        <v>2828</v>
      </c>
      <c r="N503" t="s">
        <v>2862</v>
      </c>
      <c r="O503">
        <v>1728</v>
      </c>
      <c r="P503">
        <v>3350</v>
      </c>
    </row>
    <row r="504" spans="1:16" x14ac:dyDescent="0.3">
      <c r="A504" t="s">
        <v>1615</v>
      </c>
      <c r="B504" s="45">
        <v>45441</v>
      </c>
      <c r="C504" t="s">
        <v>261</v>
      </c>
      <c r="D504" t="s">
        <v>276</v>
      </c>
      <c r="E504" t="s">
        <v>98</v>
      </c>
      <c r="F504">
        <v>3</v>
      </c>
      <c r="G504">
        <v>3020</v>
      </c>
      <c r="H504">
        <v>7.2</v>
      </c>
      <c r="I504">
        <v>8407.68</v>
      </c>
      <c r="J504" t="s">
        <v>87</v>
      </c>
      <c r="K504" t="s">
        <v>99</v>
      </c>
      <c r="L504" t="s">
        <v>99</v>
      </c>
      <c r="M504" t="s">
        <v>2828</v>
      </c>
      <c r="N504" t="s">
        <v>2862</v>
      </c>
      <c r="O504">
        <v>1626</v>
      </c>
      <c r="P504">
        <v>3020</v>
      </c>
    </row>
    <row r="505" spans="1:16" x14ac:dyDescent="0.3">
      <c r="A505" t="s">
        <v>1625</v>
      </c>
      <c r="B505" s="45">
        <v>45648</v>
      </c>
      <c r="C505" t="s">
        <v>247</v>
      </c>
      <c r="D505" t="s">
        <v>184</v>
      </c>
      <c r="E505" t="s">
        <v>103</v>
      </c>
      <c r="F505">
        <v>3</v>
      </c>
      <c r="G505">
        <v>4880</v>
      </c>
      <c r="H505">
        <v>6.1</v>
      </c>
      <c r="I505">
        <v>13746.96</v>
      </c>
      <c r="J505" t="s">
        <v>87</v>
      </c>
      <c r="K505" t="s">
        <v>117</v>
      </c>
      <c r="L505" t="s">
        <v>117</v>
      </c>
      <c r="M505" t="s">
        <v>2828</v>
      </c>
      <c r="N505" t="s">
        <v>2855</v>
      </c>
      <c r="O505">
        <v>2768</v>
      </c>
      <c r="P505">
        <v>4880</v>
      </c>
    </row>
    <row r="506" spans="1:16" x14ac:dyDescent="0.3">
      <c r="A506" t="s">
        <v>1626</v>
      </c>
      <c r="B506" s="45">
        <v>45355</v>
      </c>
      <c r="C506" t="s">
        <v>764</v>
      </c>
      <c r="D506" t="s">
        <v>179</v>
      </c>
      <c r="E506" t="s">
        <v>204</v>
      </c>
      <c r="F506">
        <v>2</v>
      </c>
      <c r="G506">
        <v>3350</v>
      </c>
      <c r="H506">
        <v>17.2</v>
      </c>
      <c r="I506">
        <v>5547.6</v>
      </c>
      <c r="J506" t="s">
        <v>87</v>
      </c>
      <c r="K506" t="s">
        <v>94</v>
      </c>
      <c r="L506" t="s">
        <v>94</v>
      </c>
      <c r="M506" t="s">
        <v>2828</v>
      </c>
      <c r="N506" t="s">
        <v>2862</v>
      </c>
      <c r="O506">
        <v>1728</v>
      </c>
      <c r="P506">
        <v>3350</v>
      </c>
    </row>
    <row r="507" spans="1:16" x14ac:dyDescent="0.3">
      <c r="A507" t="s">
        <v>1633</v>
      </c>
      <c r="B507" s="45">
        <v>45479</v>
      </c>
      <c r="C507" t="s">
        <v>178</v>
      </c>
      <c r="D507" t="s">
        <v>259</v>
      </c>
      <c r="E507" t="s">
        <v>116</v>
      </c>
      <c r="F507">
        <v>2</v>
      </c>
      <c r="G507">
        <v>1540</v>
      </c>
      <c r="H507">
        <v>2.2000000000000002</v>
      </c>
      <c r="I507">
        <v>3012.24</v>
      </c>
      <c r="J507" t="s">
        <v>93</v>
      </c>
      <c r="K507" t="s">
        <v>94</v>
      </c>
      <c r="L507" t="s">
        <v>94</v>
      </c>
      <c r="M507" t="s">
        <v>2828</v>
      </c>
      <c r="N507" t="s">
        <v>2879</v>
      </c>
      <c r="O507">
        <v>647</v>
      </c>
      <c r="P507">
        <v>1540</v>
      </c>
    </row>
    <row r="508" spans="1:16" x14ac:dyDescent="0.3">
      <c r="A508" t="s">
        <v>1634</v>
      </c>
      <c r="B508" s="45">
        <v>45534</v>
      </c>
      <c r="C508" t="s">
        <v>312</v>
      </c>
      <c r="D508" t="s">
        <v>386</v>
      </c>
      <c r="E508" t="s">
        <v>201</v>
      </c>
      <c r="F508">
        <v>1</v>
      </c>
      <c r="G508">
        <v>2290</v>
      </c>
      <c r="H508">
        <v>24.4</v>
      </c>
      <c r="I508">
        <v>1731.24</v>
      </c>
      <c r="J508" t="s">
        <v>140</v>
      </c>
      <c r="K508" t="s">
        <v>133</v>
      </c>
      <c r="L508" t="s">
        <v>133</v>
      </c>
      <c r="M508" t="s">
        <v>2828</v>
      </c>
      <c r="N508" t="s">
        <v>2879</v>
      </c>
      <c r="O508">
        <v>1219</v>
      </c>
      <c r="P508">
        <v>2290</v>
      </c>
    </row>
    <row r="509" spans="1:16" x14ac:dyDescent="0.3">
      <c r="A509" t="s">
        <v>1643</v>
      </c>
      <c r="B509" s="45">
        <v>45563</v>
      </c>
      <c r="C509" t="s">
        <v>109</v>
      </c>
      <c r="D509" t="s">
        <v>191</v>
      </c>
      <c r="E509" t="s">
        <v>273</v>
      </c>
      <c r="F509">
        <v>9</v>
      </c>
      <c r="G509">
        <v>5100</v>
      </c>
      <c r="H509">
        <v>9.5</v>
      </c>
      <c r="I509">
        <v>41539.5</v>
      </c>
      <c r="J509" t="s">
        <v>87</v>
      </c>
      <c r="K509" t="s">
        <v>112</v>
      </c>
      <c r="L509" t="s">
        <v>112</v>
      </c>
      <c r="M509" t="s">
        <v>2828</v>
      </c>
      <c r="N509" t="s">
        <v>2862</v>
      </c>
      <c r="O509">
        <v>2237</v>
      </c>
      <c r="P509">
        <v>5100</v>
      </c>
    </row>
    <row r="510" spans="1:16" x14ac:dyDescent="0.3">
      <c r="A510" t="s">
        <v>1644</v>
      </c>
      <c r="B510" s="45">
        <v>45435</v>
      </c>
      <c r="C510" t="s">
        <v>764</v>
      </c>
      <c r="D510" t="s">
        <v>241</v>
      </c>
      <c r="E510" t="s">
        <v>107</v>
      </c>
      <c r="F510">
        <v>7</v>
      </c>
      <c r="G510">
        <v>6080</v>
      </c>
      <c r="H510">
        <v>17.5</v>
      </c>
      <c r="I510">
        <v>35112</v>
      </c>
      <c r="J510" t="s">
        <v>87</v>
      </c>
      <c r="K510" t="s">
        <v>94</v>
      </c>
      <c r="L510" t="s">
        <v>94</v>
      </c>
      <c r="M510" t="s">
        <v>2828</v>
      </c>
      <c r="N510" t="s">
        <v>2855</v>
      </c>
      <c r="O510">
        <v>2617</v>
      </c>
      <c r="P510">
        <v>6080</v>
      </c>
    </row>
    <row r="511" spans="1:16" x14ac:dyDescent="0.3">
      <c r="A511" t="s">
        <v>1646</v>
      </c>
      <c r="B511" s="45">
        <v>45650</v>
      </c>
      <c r="C511" t="s">
        <v>388</v>
      </c>
      <c r="D511" t="s">
        <v>276</v>
      </c>
      <c r="E511" t="s">
        <v>192</v>
      </c>
      <c r="F511">
        <v>6</v>
      </c>
      <c r="G511">
        <v>3020</v>
      </c>
      <c r="H511">
        <v>28.5</v>
      </c>
      <c r="I511">
        <v>12955.8</v>
      </c>
      <c r="J511" t="s">
        <v>87</v>
      </c>
      <c r="K511" t="s">
        <v>133</v>
      </c>
      <c r="L511" t="s">
        <v>133</v>
      </c>
      <c r="M511" t="s">
        <v>2828</v>
      </c>
      <c r="N511" t="s">
        <v>2871</v>
      </c>
      <c r="O511">
        <v>1626</v>
      </c>
      <c r="P511">
        <v>3020</v>
      </c>
    </row>
    <row r="512" spans="1:16" x14ac:dyDescent="0.3">
      <c r="A512" t="s">
        <v>1648</v>
      </c>
      <c r="B512" s="45">
        <v>45523</v>
      </c>
      <c r="C512" t="s">
        <v>837</v>
      </c>
      <c r="D512" t="s">
        <v>179</v>
      </c>
      <c r="E512" t="s">
        <v>273</v>
      </c>
      <c r="F512">
        <v>9</v>
      </c>
      <c r="G512">
        <v>3350</v>
      </c>
      <c r="H512">
        <v>0.6</v>
      </c>
      <c r="I512">
        <v>29969.1</v>
      </c>
      <c r="J512" t="s">
        <v>144</v>
      </c>
      <c r="K512" t="s">
        <v>117</v>
      </c>
      <c r="L512" t="s">
        <v>117</v>
      </c>
      <c r="M512" t="s">
        <v>2828</v>
      </c>
      <c r="N512" t="s">
        <v>2862</v>
      </c>
      <c r="O512">
        <v>1728</v>
      </c>
      <c r="P512">
        <v>3350</v>
      </c>
    </row>
    <row r="513" spans="1:16" x14ac:dyDescent="0.3">
      <c r="A513" t="s">
        <v>1655</v>
      </c>
      <c r="B513" s="45">
        <v>45567</v>
      </c>
      <c r="C513" t="s">
        <v>385</v>
      </c>
      <c r="D513" t="s">
        <v>176</v>
      </c>
      <c r="E513" t="s">
        <v>92</v>
      </c>
      <c r="F513">
        <v>9</v>
      </c>
      <c r="G513">
        <v>1650</v>
      </c>
      <c r="H513">
        <v>19.8</v>
      </c>
      <c r="I513">
        <v>11909.7</v>
      </c>
      <c r="J513" t="s">
        <v>144</v>
      </c>
      <c r="K513" t="s">
        <v>117</v>
      </c>
      <c r="L513" t="s">
        <v>117</v>
      </c>
      <c r="M513" t="s">
        <v>2828</v>
      </c>
      <c r="N513" t="s">
        <v>2855</v>
      </c>
      <c r="O513">
        <v>1222</v>
      </c>
      <c r="P513">
        <v>1650</v>
      </c>
    </row>
    <row r="514" spans="1:16" x14ac:dyDescent="0.3">
      <c r="A514" t="s">
        <v>1662</v>
      </c>
      <c r="B514" s="45">
        <v>45372</v>
      </c>
      <c r="C514" t="s">
        <v>422</v>
      </c>
      <c r="D514" t="s">
        <v>259</v>
      </c>
      <c r="E514" t="s">
        <v>92</v>
      </c>
      <c r="F514">
        <v>1</v>
      </c>
      <c r="G514">
        <v>1540</v>
      </c>
      <c r="H514">
        <v>0.9</v>
      </c>
      <c r="I514">
        <v>1526.14</v>
      </c>
      <c r="J514" t="s">
        <v>87</v>
      </c>
      <c r="K514" t="s">
        <v>94</v>
      </c>
      <c r="L514" t="s">
        <v>94</v>
      </c>
      <c r="M514" t="s">
        <v>2828</v>
      </c>
      <c r="N514" t="s">
        <v>2855</v>
      </c>
      <c r="O514">
        <v>647</v>
      </c>
      <c r="P514">
        <v>1540</v>
      </c>
    </row>
    <row r="515" spans="1:16" x14ac:dyDescent="0.3">
      <c r="A515" t="s">
        <v>1663</v>
      </c>
      <c r="B515" s="45">
        <v>45416</v>
      </c>
      <c r="C515" t="s">
        <v>1664</v>
      </c>
      <c r="D515" t="s">
        <v>191</v>
      </c>
      <c r="E515" t="s">
        <v>116</v>
      </c>
      <c r="F515">
        <v>10</v>
      </c>
      <c r="G515">
        <v>5100</v>
      </c>
      <c r="H515">
        <v>3</v>
      </c>
      <c r="I515">
        <v>49470</v>
      </c>
      <c r="J515" t="s">
        <v>87</v>
      </c>
      <c r="K515" t="s">
        <v>117</v>
      </c>
      <c r="L515" t="s">
        <v>117</v>
      </c>
      <c r="M515" t="s">
        <v>2828</v>
      </c>
      <c r="N515" t="s">
        <v>2855</v>
      </c>
      <c r="O515">
        <v>2237</v>
      </c>
      <c r="P515">
        <v>5100</v>
      </c>
    </row>
    <row r="516" spans="1:16" x14ac:dyDescent="0.3">
      <c r="A516" t="s">
        <v>1666</v>
      </c>
      <c r="B516" s="45">
        <v>45324</v>
      </c>
      <c r="C516" t="s">
        <v>126</v>
      </c>
      <c r="D516" t="s">
        <v>184</v>
      </c>
      <c r="E516" t="s">
        <v>148</v>
      </c>
      <c r="F516">
        <v>7</v>
      </c>
      <c r="G516">
        <v>4880</v>
      </c>
      <c r="H516">
        <v>5</v>
      </c>
      <c r="I516">
        <v>32452</v>
      </c>
      <c r="J516" t="s">
        <v>87</v>
      </c>
      <c r="K516" t="s">
        <v>88</v>
      </c>
      <c r="L516" t="s">
        <v>88</v>
      </c>
      <c r="M516" t="s">
        <v>2828</v>
      </c>
      <c r="N516" t="s">
        <v>2855</v>
      </c>
      <c r="O516">
        <v>2768</v>
      </c>
      <c r="P516">
        <v>4880</v>
      </c>
    </row>
    <row r="517" spans="1:16" x14ac:dyDescent="0.3">
      <c r="A517" t="s">
        <v>1670</v>
      </c>
      <c r="B517" s="45">
        <v>45470</v>
      </c>
      <c r="C517" t="s">
        <v>272</v>
      </c>
      <c r="D517" t="s">
        <v>179</v>
      </c>
      <c r="E517" t="s">
        <v>92</v>
      </c>
      <c r="F517">
        <v>10</v>
      </c>
      <c r="G517">
        <v>3350</v>
      </c>
      <c r="H517">
        <v>25.1</v>
      </c>
      <c r="I517">
        <v>25091.5</v>
      </c>
      <c r="J517" t="s">
        <v>140</v>
      </c>
      <c r="K517" t="s">
        <v>94</v>
      </c>
      <c r="L517" t="s">
        <v>94</v>
      </c>
      <c r="M517" t="s">
        <v>2828</v>
      </c>
      <c r="N517" t="s">
        <v>2871</v>
      </c>
      <c r="O517">
        <v>1728</v>
      </c>
      <c r="P517">
        <v>3350</v>
      </c>
    </row>
    <row r="518" spans="1:16" x14ac:dyDescent="0.3">
      <c r="A518" t="s">
        <v>1681</v>
      </c>
      <c r="B518" s="45">
        <v>45479</v>
      </c>
      <c r="C518" t="s">
        <v>425</v>
      </c>
      <c r="D518" t="s">
        <v>241</v>
      </c>
      <c r="E518" t="s">
        <v>148</v>
      </c>
      <c r="F518">
        <v>10</v>
      </c>
      <c r="G518">
        <v>6080</v>
      </c>
      <c r="H518">
        <v>3.9</v>
      </c>
      <c r="I518">
        <v>58428.800000000003</v>
      </c>
      <c r="J518" t="s">
        <v>87</v>
      </c>
      <c r="K518" t="s">
        <v>94</v>
      </c>
      <c r="L518" t="s">
        <v>94</v>
      </c>
      <c r="M518" t="s">
        <v>2828</v>
      </c>
      <c r="N518" t="s">
        <v>2871</v>
      </c>
      <c r="O518">
        <v>2617</v>
      </c>
      <c r="P518">
        <v>6080</v>
      </c>
    </row>
    <row r="519" spans="1:16" x14ac:dyDescent="0.3">
      <c r="A519" t="s">
        <v>909</v>
      </c>
      <c r="B519" s="45">
        <v>45539</v>
      </c>
      <c r="C519" t="s">
        <v>142</v>
      </c>
      <c r="D519" t="s">
        <v>191</v>
      </c>
      <c r="E519" t="s">
        <v>273</v>
      </c>
      <c r="F519">
        <v>2</v>
      </c>
      <c r="G519">
        <v>5100</v>
      </c>
      <c r="H519">
        <v>11</v>
      </c>
      <c r="I519">
        <v>9078</v>
      </c>
      <c r="J519" t="s">
        <v>87</v>
      </c>
      <c r="K519" t="s">
        <v>88</v>
      </c>
      <c r="L519" t="s">
        <v>88</v>
      </c>
      <c r="M519" t="s">
        <v>2828</v>
      </c>
      <c r="N519" t="s">
        <v>2855</v>
      </c>
      <c r="O519">
        <v>2237</v>
      </c>
      <c r="P519">
        <v>5100</v>
      </c>
    </row>
    <row r="520" spans="1:16" x14ac:dyDescent="0.3">
      <c r="A520" t="s">
        <v>1694</v>
      </c>
      <c r="B520" s="45">
        <v>45351</v>
      </c>
      <c r="C520" t="s">
        <v>310</v>
      </c>
      <c r="D520" t="s">
        <v>179</v>
      </c>
      <c r="E520" t="s">
        <v>98</v>
      </c>
      <c r="F520">
        <v>9</v>
      </c>
      <c r="G520">
        <v>3350</v>
      </c>
      <c r="H520">
        <v>6.2</v>
      </c>
      <c r="I520">
        <v>28280.7</v>
      </c>
      <c r="J520" t="s">
        <v>87</v>
      </c>
      <c r="K520" t="s">
        <v>117</v>
      </c>
      <c r="L520" t="s">
        <v>117</v>
      </c>
      <c r="M520" t="s">
        <v>2828</v>
      </c>
      <c r="N520" t="s">
        <v>2871</v>
      </c>
      <c r="O520">
        <v>1728</v>
      </c>
      <c r="P520">
        <v>3350</v>
      </c>
    </row>
    <row r="521" spans="1:16" x14ac:dyDescent="0.3">
      <c r="A521" t="s">
        <v>1695</v>
      </c>
      <c r="B521" s="45">
        <v>45560</v>
      </c>
      <c r="C521" t="s">
        <v>795</v>
      </c>
      <c r="D521" t="s">
        <v>259</v>
      </c>
      <c r="E521" t="s">
        <v>215</v>
      </c>
      <c r="F521">
        <v>4</v>
      </c>
      <c r="G521">
        <v>1540</v>
      </c>
      <c r="H521">
        <v>22.2</v>
      </c>
      <c r="I521">
        <v>4792.4799999999996</v>
      </c>
      <c r="J521" t="s">
        <v>87</v>
      </c>
      <c r="K521" t="s">
        <v>94</v>
      </c>
      <c r="L521" t="s">
        <v>94</v>
      </c>
      <c r="M521" t="s">
        <v>2828</v>
      </c>
      <c r="N521" t="s">
        <v>2871</v>
      </c>
      <c r="O521">
        <v>647</v>
      </c>
      <c r="P521">
        <v>1540</v>
      </c>
    </row>
    <row r="522" spans="1:16" x14ac:dyDescent="0.3">
      <c r="A522" t="s">
        <v>1701</v>
      </c>
      <c r="B522" s="45">
        <v>45348</v>
      </c>
      <c r="C522" t="s">
        <v>741</v>
      </c>
      <c r="D522" t="s">
        <v>386</v>
      </c>
      <c r="E522" t="s">
        <v>325</v>
      </c>
      <c r="F522">
        <v>9</v>
      </c>
      <c r="G522">
        <v>2290</v>
      </c>
      <c r="H522">
        <v>0.9</v>
      </c>
      <c r="I522">
        <v>20424.509999999998</v>
      </c>
      <c r="J522" t="s">
        <v>87</v>
      </c>
      <c r="K522" t="s">
        <v>133</v>
      </c>
      <c r="L522" t="s">
        <v>133</v>
      </c>
      <c r="M522" t="s">
        <v>2828</v>
      </c>
      <c r="N522" t="s">
        <v>2855</v>
      </c>
      <c r="O522">
        <v>1219</v>
      </c>
      <c r="P522">
        <v>2290</v>
      </c>
    </row>
    <row r="523" spans="1:16" x14ac:dyDescent="0.3">
      <c r="A523" t="s">
        <v>1703</v>
      </c>
      <c r="B523" s="45">
        <v>45569</v>
      </c>
      <c r="C523" t="s">
        <v>137</v>
      </c>
      <c r="D523" t="s">
        <v>157</v>
      </c>
      <c r="E523" t="s">
        <v>116</v>
      </c>
      <c r="F523">
        <v>9</v>
      </c>
      <c r="G523">
        <v>3450</v>
      </c>
      <c r="H523">
        <v>19.399999999999999</v>
      </c>
      <c r="I523">
        <v>25026.3</v>
      </c>
      <c r="J523" t="s">
        <v>87</v>
      </c>
      <c r="K523" t="s">
        <v>99</v>
      </c>
      <c r="L523" t="s">
        <v>99</v>
      </c>
      <c r="M523" t="s">
        <v>2828</v>
      </c>
      <c r="N523" t="s">
        <v>2871</v>
      </c>
      <c r="O523">
        <v>2420</v>
      </c>
      <c r="P523">
        <v>3450</v>
      </c>
    </row>
    <row r="524" spans="1:16" x14ac:dyDescent="0.3">
      <c r="A524" t="s">
        <v>1710</v>
      </c>
      <c r="B524" s="45">
        <v>45431</v>
      </c>
      <c r="C524" t="s">
        <v>983</v>
      </c>
      <c r="D524" t="s">
        <v>191</v>
      </c>
      <c r="E524" t="s">
        <v>170</v>
      </c>
      <c r="F524">
        <v>5</v>
      </c>
      <c r="G524">
        <v>5100</v>
      </c>
      <c r="H524">
        <v>9.5</v>
      </c>
      <c r="I524">
        <v>23077.5</v>
      </c>
      <c r="J524" t="s">
        <v>87</v>
      </c>
      <c r="K524" t="s">
        <v>117</v>
      </c>
      <c r="L524" t="s">
        <v>117</v>
      </c>
      <c r="M524" t="s">
        <v>2828</v>
      </c>
      <c r="N524" t="s">
        <v>2879</v>
      </c>
      <c r="O524">
        <v>2237</v>
      </c>
      <c r="P524">
        <v>5100</v>
      </c>
    </row>
    <row r="525" spans="1:16" x14ac:dyDescent="0.3">
      <c r="A525" t="s">
        <v>1717</v>
      </c>
      <c r="B525" s="45">
        <v>45376</v>
      </c>
      <c r="C525" t="s">
        <v>137</v>
      </c>
      <c r="D525" t="s">
        <v>259</v>
      </c>
      <c r="E525" t="s">
        <v>148</v>
      </c>
      <c r="F525">
        <v>3</v>
      </c>
      <c r="G525">
        <v>1540</v>
      </c>
      <c r="H525">
        <v>13.7</v>
      </c>
      <c r="I525">
        <v>3987.06</v>
      </c>
      <c r="J525" t="s">
        <v>93</v>
      </c>
      <c r="K525" t="s">
        <v>99</v>
      </c>
      <c r="L525" t="s">
        <v>99</v>
      </c>
      <c r="M525" t="s">
        <v>2828</v>
      </c>
      <c r="N525" t="s">
        <v>2871</v>
      </c>
      <c r="O525">
        <v>647</v>
      </c>
      <c r="P525">
        <v>1540</v>
      </c>
    </row>
    <row r="526" spans="1:16" x14ac:dyDescent="0.3">
      <c r="A526" t="s">
        <v>1718</v>
      </c>
      <c r="B526" s="45">
        <v>45313</v>
      </c>
      <c r="C526" t="s">
        <v>680</v>
      </c>
      <c r="D526" t="s">
        <v>191</v>
      </c>
      <c r="E526" t="s">
        <v>204</v>
      </c>
      <c r="F526">
        <v>10</v>
      </c>
      <c r="G526">
        <v>5100</v>
      </c>
      <c r="H526">
        <v>13.8</v>
      </c>
      <c r="I526">
        <v>43962</v>
      </c>
      <c r="J526" t="s">
        <v>87</v>
      </c>
      <c r="K526" t="s">
        <v>94</v>
      </c>
      <c r="L526" t="s">
        <v>94</v>
      </c>
      <c r="M526" t="s">
        <v>2828</v>
      </c>
      <c r="N526" t="s">
        <v>2855</v>
      </c>
      <c r="O526">
        <v>2237</v>
      </c>
      <c r="P526">
        <v>5100</v>
      </c>
    </row>
    <row r="527" spans="1:16" x14ac:dyDescent="0.3">
      <c r="A527" t="s">
        <v>1721</v>
      </c>
      <c r="B527" s="45">
        <v>45495</v>
      </c>
      <c r="C527" t="s">
        <v>418</v>
      </c>
      <c r="D527" t="s">
        <v>176</v>
      </c>
      <c r="E527" t="s">
        <v>107</v>
      </c>
      <c r="F527">
        <v>6</v>
      </c>
      <c r="G527">
        <v>1650</v>
      </c>
      <c r="H527">
        <v>16.8</v>
      </c>
      <c r="I527">
        <v>8236.7999999999993</v>
      </c>
      <c r="J527" t="s">
        <v>87</v>
      </c>
      <c r="K527" t="s">
        <v>133</v>
      </c>
      <c r="L527" t="s">
        <v>133</v>
      </c>
      <c r="M527" t="s">
        <v>2828</v>
      </c>
      <c r="N527" t="s">
        <v>2862</v>
      </c>
      <c r="O527">
        <v>1222</v>
      </c>
      <c r="P527">
        <v>1650</v>
      </c>
    </row>
    <row r="528" spans="1:16" x14ac:dyDescent="0.3">
      <c r="A528" t="s">
        <v>1722</v>
      </c>
      <c r="B528" s="45">
        <v>45460</v>
      </c>
      <c r="C528" t="s">
        <v>966</v>
      </c>
      <c r="D528" t="s">
        <v>276</v>
      </c>
      <c r="E528" t="s">
        <v>303</v>
      </c>
      <c r="F528">
        <v>3</v>
      </c>
      <c r="G528">
        <v>3020</v>
      </c>
      <c r="H528">
        <v>14.5</v>
      </c>
      <c r="I528">
        <v>7746.3</v>
      </c>
      <c r="J528" t="s">
        <v>87</v>
      </c>
      <c r="K528" t="s">
        <v>133</v>
      </c>
      <c r="L528" t="s">
        <v>133</v>
      </c>
      <c r="M528" t="s">
        <v>2828</v>
      </c>
      <c r="N528" t="s">
        <v>2855</v>
      </c>
      <c r="O528">
        <v>1626</v>
      </c>
      <c r="P528">
        <v>3020</v>
      </c>
    </row>
    <row r="529" spans="1:16" x14ac:dyDescent="0.3">
      <c r="A529" t="s">
        <v>1723</v>
      </c>
      <c r="B529" s="45">
        <v>45438</v>
      </c>
      <c r="C529" t="s">
        <v>1724</v>
      </c>
      <c r="D529" t="s">
        <v>259</v>
      </c>
      <c r="E529" t="s">
        <v>148</v>
      </c>
      <c r="F529">
        <v>5</v>
      </c>
      <c r="G529">
        <v>1540</v>
      </c>
      <c r="H529">
        <v>27.2</v>
      </c>
      <c r="I529">
        <v>5605.6</v>
      </c>
      <c r="J529" t="s">
        <v>87</v>
      </c>
      <c r="K529" t="s">
        <v>117</v>
      </c>
      <c r="L529" t="s">
        <v>117</v>
      </c>
      <c r="M529" t="s">
        <v>2828</v>
      </c>
      <c r="N529" t="s">
        <v>2871</v>
      </c>
      <c r="O529">
        <v>647</v>
      </c>
      <c r="P529">
        <v>1540</v>
      </c>
    </row>
    <row r="530" spans="1:16" x14ac:dyDescent="0.3">
      <c r="A530" t="s">
        <v>1725</v>
      </c>
      <c r="B530" s="45">
        <v>45517</v>
      </c>
      <c r="C530" t="s">
        <v>109</v>
      </c>
      <c r="D530" t="s">
        <v>191</v>
      </c>
      <c r="E530" t="s">
        <v>238</v>
      </c>
      <c r="F530">
        <v>2</v>
      </c>
      <c r="G530">
        <v>5100</v>
      </c>
      <c r="H530">
        <v>18.100000000000001</v>
      </c>
      <c r="I530">
        <v>8353.7999999999993</v>
      </c>
      <c r="J530" t="s">
        <v>87</v>
      </c>
      <c r="K530" t="s">
        <v>112</v>
      </c>
      <c r="L530" t="s">
        <v>112</v>
      </c>
      <c r="M530" t="s">
        <v>2828</v>
      </c>
      <c r="N530" t="s">
        <v>2871</v>
      </c>
      <c r="O530">
        <v>2237</v>
      </c>
      <c r="P530">
        <v>5100</v>
      </c>
    </row>
    <row r="531" spans="1:16" x14ac:dyDescent="0.3">
      <c r="A531" t="s">
        <v>1739</v>
      </c>
      <c r="B531" s="45">
        <v>45481</v>
      </c>
      <c r="C531" t="s">
        <v>757</v>
      </c>
      <c r="D531" t="s">
        <v>259</v>
      </c>
      <c r="E531" t="s">
        <v>111</v>
      </c>
      <c r="F531">
        <v>7</v>
      </c>
      <c r="G531">
        <v>1540</v>
      </c>
      <c r="H531">
        <v>27.5</v>
      </c>
      <c r="I531">
        <v>7815.5</v>
      </c>
      <c r="J531" t="s">
        <v>87</v>
      </c>
      <c r="K531" t="s">
        <v>117</v>
      </c>
      <c r="L531" t="s">
        <v>117</v>
      </c>
      <c r="M531" t="s">
        <v>2828</v>
      </c>
      <c r="N531" t="s">
        <v>2879</v>
      </c>
      <c r="O531">
        <v>647</v>
      </c>
      <c r="P531">
        <v>1540</v>
      </c>
    </row>
    <row r="532" spans="1:16" x14ac:dyDescent="0.3">
      <c r="A532" t="s">
        <v>1741</v>
      </c>
      <c r="B532" s="45">
        <v>45603</v>
      </c>
      <c r="C532" t="s">
        <v>968</v>
      </c>
      <c r="D532" t="s">
        <v>184</v>
      </c>
      <c r="E532" t="s">
        <v>297</v>
      </c>
      <c r="F532">
        <v>5</v>
      </c>
      <c r="G532">
        <v>4880</v>
      </c>
      <c r="H532">
        <v>27.4</v>
      </c>
      <c r="I532">
        <v>17714.400000000001</v>
      </c>
      <c r="J532" t="s">
        <v>87</v>
      </c>
      <c r="K532" t="s">
        <v>99</v>
      </c>
      <c r="L532" t="s">
        <v>99</v>
      </c>
      <c r="M532" t="s">
        <v>2828</v>
      </c>
      <c r="N532" t="s">
        <v>2855</v>
      </c>
      <c r="O532">
        <v>2768</v>
      </c>
      <c r="P532">
        <v>4880</v>
      </c>
    </row>
    <row r="533" spans="1:16" x14ac:dyDescent="0.3">
      <c r="A533" t="s">
        <v>1752</v>
      </c>
      <c r="B533" s="45">
        <v>45624</v>
      </c>
      <c r="C533" t="s">
        <v>328</v>
      </c>
      <c r="D533" t="s">
        <v>176</v>
      </c>
      <c r="E533" t="s">
        <v>132</v>
      </c>
      <c r="F533">
        <v>9</v>
      </c>
      <c r="G533">
        <v>1650</v>
      </c>
      <c r="H533">
        <v>2.5</v>
      </c>
      <c r="I533">
        <v>14478.75</v>
      </c>
      <c r="J533" t="s">
        <v>87</v>
      </c>
      <c r="K533" t="s">
        <v>94</v>
      </c>
      <c r="L533" t="s">
        <v>94</v>
      </c>
      <c r="M533" t="s">
        <v>2828</v>
      </c>
      <c r="N533" t="s">
        <v>2862</v>
      </c>
      <c r="O533">
        <v>1222</v>
      </c>
      <c r="P533">
        <v>1650</v>
      </c>
    </row>
    <row r="534" spans="1:16" x14ac:dyDescent="0.3">
      <c r="A534" t="s">
        <v>1757</v>
      </c>
      <c r="B534" s="45">
        <v>45391</v>
      </c>
      <c r="C534" t="s">
        <v>835</v>
      </c>
      <c r="D534" t="s">
        <v>241</v>
      </c>
      <c r="E534" t="s">
        <v>303</v>
      </c>
      <c r="F534">
        <v>9</v>
      </c>
      <c r="G534">
        <v>6080</v>
      </c>
      <c r="H534">
        <v>17.2</v>
      </c>
      <c r="I534">
        <v>45308.160000000003</v>
      </c>
      <c r="J534" t="s">
        <v>93</v>
      </c>
      <c r="K534" t="s">
        <v>117</v>
      </c>
      <c r="L534" t="s">
        <v>117</v>
      </c>
      <c r="M534" t="s">
        <v>2828</v>
      </c>
      <c r="N534" t="s">
        <v>2862</v>
      </c>
      <c r="O534">
        <v>2617</v>
      </c>
      <c r="P534">
        <v>6080</v>
      </c>
    </row>
    <row r="535" spans="1:16" x14ac:dyDescent="0.3">
      <c r="A535" t="s">
        <v>1761</v>
      </c>
      <c r="B535" s="45">
        <v>45525</v>
      </c>
      <c r="C535" t="s">
        <v>1016</v>
      </c>
      <c r="D535" t="s">
        <v>191</v>
      </c>
      <c r="E535" t="s">
        <v>103</v>
      </c>
      <c r="F535">
        <v>9</v>
      </c>
      <c r="G535">
        <v>5100</v>
      </c>
      <c r="H535">
        <v>25.2</v>
      </c>
      <c r="I535">
        <v>34333.199999999997</v>
      </c>
      <c r="J535" t="s">
        <v>140</v>
      </c>
      <c r="K535" t="s">
        <v>117</v>
      </c>
      <c r="L535" t="s">
        <v>117</v>
      </c>
      <c r="M535" t="s">
        <v>2828</v>
      </c>
      <c r="N535" t="s">
        <v>2879</v>
      </c>
      <c r="O535">
        <v>2237</v>
      </c>
      <c r="P535">
        <v>5100</v>
      </c>
    </row>
    <row r="536" spans="1:16" x14ac:dyDescent="0.3">
      <c r="A536" t="s">
        <v>1762</v>
      </c>
      <c r="B536" s="45">
        <v>45377</v>
      </c>
      <c r="C536" t="s">
        <v>403</v>
      </c>
      <c r="D536" t="s">
        <v>276</v>
      </c>
      <c r="E536" t="s">
        <v>121</v>
      </c>
      <c r="F536">
        <v>5</v>
      </c>
      <c r="G536">
        <v>3020</v>
      </c>
      <c r="H536">
        <v>23</v>
      </c>
      <c r="I536">
        <v>11627</v>
      </c>
      <c r="J536" t="s">
        <v>87</v>
      </c>
      <c r="K536" t="s">
        <v>117</v>
      </c>
      <c r="L536" t="s">
        <v>117</v>
      </c>
      <c r="M536" t="s">
        <v>2828</v>
      </c>
      <c r="N536" t="s">
        <v>2879</v>
      </c>
      <c r="O536">
        <v>1626</v>
      </c>
      <c r="P536">
        <v>3020</v>
      </c>
    </row>
    <row r="537" spans="1:16" x14ac:dyDescent="0.3">
      <c r="A537" t="s">
        <v>1766</v>
      </c>
      <c r="B537" s="45">
        <v>45540</v>
      </c>
      <c r="C537" t="s">
        <v>460</v>
      </c>
      <c r="D537" t="s">
        <v>176</v>
      </c>
      <c r="E537" t="s">
        <v>188</v>
      </c>
      <c r="F537">
        <v>1</v>
      </c>
      <c r="G537">
        <v>1650</v>
      </c>
      <c r="H537">
        <v>10</v>
      </c>
      <c r="I537">
        <v>1485</v>
      </c>
      <c r="J537" t="s">
        <v>87</v>
      </c>
      <c r="K537" t="s">
        <v>88</v>
      </c>
      <c r="L537" t="s">
        <v>88</v>
      </c>
      <c r="M537" t="s">
        <v>2828</v>
      </c>
      <c r="N537" t="s">
        <v>2855</v>
      </c>
      <c r="O537">
        <v>1222</v>
      </c>
      <c r="P537">
        <v>1650</v>
      </c>
    </row>
    <row r="538" spans="1:16" x14ac:dyDescent="0.3">
      <c r="A538" t="s">
        <v>1770</v>
      </c>
      <c r="B538" s="45">
        <v>45608</v>
      </c>
      <c r="C538" t="s">
        <v>970</v>
      </c>
      <c r="D538" t="s">
        <v>380</v>
      </c>
      <c r="E538" t="s">
        <v>86</v>
      </c>
      <c r="F538">
        <v>10</v>
      </c>
      <c r="G538">
        <v>960</v>
      </c>
      <c r="H538">
        <v>9.6999999999999993</v>
      </c>
      <c r="I538">
        <v>8668.7999999999993</v>
      </c>
      <c r="J538" t="s">
        <v>87</v>
      </c>
      <c r="K538" t="s">
        <v>112</v>
      </c>
      <c r="L538" t="s">
        <v>112</v>
      </c>
      <c r="M538" t="s">
        <v>2828</v>
      </c>
      <c r="N538" t="s">
        <v>2862</v>
      </c>
      <c r="O538">
        <v>675</v>
      </c>
      <c r="P538">
        <v>960</v>
      </c>
    </row>
    <row r="539" spans="1:16" x14ac:dyDescent="0.3">
      <c r="A539" t="s">
        <v>1777</v>
      </c>
      <c r="B539" s="45">
        <v>45453</v>
      </c>
      <c r="C539" t="s">
        <v>429</v>
      </c>
      <c r="D539" t="s">
        <v>176</v>
      </c>
      <c r="E539" t="s">
        <v>204</v>
      </c>
      <c r="F539">
        <v>7</v>
      </c>
      <c r="G539">
        <v>1650</v>
      </c>
      <c r="H539">
        <v>8.4</v>
      </c>
      <c r="I539">
        <v>10579.8</v>
      </c>
      <c r="J539" t="s">
        <v>87</v>
      </c>
      <c r="K539" t="s">
        <v>117</v>
      </c>
      <c r="L539" t="s">
        <v>117</v>
      </c>
      <c r="M539" t="s">
        <v>2828</v>
      </c>
      <c r="N539" t="s">
        <v>2879</v>
      </c>
      <c r="O539">
        <v>1222</v>
      </c>
      <c r="P539">
        <v>1650</v>
      </c>
    </row>
    <row r="540" spans="1:16" x14ac:dyDescent="0.3">
      <c r="A540" t="s">
        <v>1781</v>
      </c>
      <c r="B540" s="45">
        <v>45533</v>
      </c>
      <c r="C540" t="s">
        <v>369</v>
      </c>
      <c r="D540" t="s">
        <v>386</v>
      </c>
      <c r="E540" t="s">
        <v>238</v>
      </c>
      <c r="F540">
        <v>4</v>
      </c>
      <c r="G540">
        <v>2290</v>
      </c>
      <c r="H540">
        <v>3.3</v>
      </c>
      <c r="I540">
        <v>8857.7199999999993</v>
      </c>
      <c r="J540" t="s">
        <v>87</v>
      </c>
      <c r="K540" t="s">
        <v>94</v>
      </c>
      <c r="L540" t="s">
        <v>94</v>
      </c>
      <c r="M540" t="s">
        <v>2828</v>
      </c>
      <c r="N540" t="s">
        <v>2855</v>
      </c>
      <c r="O540">
        <v>1219</v>
      </c>
      <c r="P540">
        <v>2290</v>
      </c>
    </row>
    <row r="541" spans="1:16" x14ac:dyDescent="0.3">
      <c r="A541" t="s">
        <v>1785</v>
      </c>
      <c r="B541" s="45">
        <v>45636</v>
      </c>
      <c r="C541" t="s">
        <v>1350</v>
      </c>
      <c r="D541" t="s">
        <v>386</v>
      </c>
      <c r="E541" t="s">
        <v>132</v>
      </c>
      <c r="F541">
        <v>9</v>
      </c>
      <c r="G541">
        <v>2290</v>
      </c>
      <c r="H541">
        <v>28.8</v>
      </c>
      <c r="I541">
        <v>14674.32</v>
      </c>
      <c r="J541" t="s">
        <v>87</v>
      </c>
      <c r="K541" t="s">
        <v>112</v>
      </c>
      <c r="L541" t="s">
        <v>112</v>
      </c>
      <c r="M541" t="s">
        <v>2828</v>
      </c>
      <c r="N541" t="s">
        <v>2855</v>
      </c>
      <c r="O541">
        <v>1219</v>
      </c>
      <c r="P541">
        <v>2290</v>
      </c>
    </row>
    <row r="542" spans="1:16" x14ac:dyDescent="0.3">
      <c r="A542" t="s">
        <v>1800</v>
      </c>
      <c r="B542" s="45">
        <v>45559</v>
      </c>
      <c r="C542" t="s">
        <v>872</v>
      </c>
      <c r="D542" t="s">
        <v>276</v>
      </c>
      <c r="E542" t="s">
        <v>132</v>
      </c>
      <c r="F542">
        <v>8</v>
      </c>
      <c r="G542">
        <v>3020</v>
      </c>
      <c r="H542">
        <v>28.2</v>
      </c>
      <c r="I542">
        <v>17346.88</v>
      </c>
      <c r="J542" t="s">
        <v>93</v>
      </c>
      <c r="K542" t="s">
        <v>112</v>
      </c>
      <c r="L542" t="s">
        <v>112</v>
      </c>
      <c r="M542" t="s">
        <v>2828</v>
      </c>
      <c r="N542" t="s">
        <v>2862</v>
      </c>
      <c r="O542">
        <v>1626</v>
      </c>
      <c r="P542">
        <v>3020</v>
      </c>
    </row>
    <row r="543" spans="1:16" x14ac:dyDescent="0.3">
      <c r="A543" t="s">
        <v>1801</v>
      </c>
      <c r="B543" s="45">
        <v>45469</v>
      </c>
      <c r="C543" t="s">
        <v>655</v>
      </c>
      <c r="D543" t="s">
        <v>191</v>
      </c>
      <c r="E543" t="s">
        <v>107</v>
      </c>
      <c r="F543">
        <v>3</v>
      </c>
      <c r="G543">
        <v>5100</v>
      </c>
      <c r="H543">
        <v>7.8</v>
      </c>
      <c r="I543">
        <v>14106.6</v>
      </c>
      <c r="J543" t="s">
        <v>87</v>
      </c>
      <c r="K543" t="s">
        <v>133</v>
      </c>
      <c r="L543" t="s">
        <v>133</v>
      </c>
      <c r="M543" t="s">
        <v>2828</v>
      </c>
      <c r="N543" t="s">
        <v>2855</v>
      </c>
      <c r="O543">
        <v>2237</v>
      </c>
      <c r="P543">
        <v>5100</v>
      </c>
    </row>
    <row r="544" spans="1:16" x14ac:dyDescent="0.3">
      <c r="A544" t="s">
        <v>1803</v>
      </c>
      <c r="B544" s="45">
        <v>45634</v>
      </c>
      <c r="C544" t="s">
        <v>194</v>
      </c>
      <c r="D544" t="s">
        <v>386</v>
      </c>
      <c r="E544" t="s">
        <v>86</v>
      </c>
      <c r="F544">
        <v>10</v>
      </c>
      <c r="G544">
        <v>2290</v>
      </c>
      <c r="H544">
        <v>27.7</v>
      </c>
      <c r="I544">
        <v>16556.7</v>
      </c>
      <c r="J544" t="s">
        <v>87</v>
      </c>
      <c r="K544" t="s">
        <v>88</v>
      </c>
      <c r="L544" t="s">
        <v>88</v>
      </c>
      <c r="M544" t="s">
        <v>2828</v>
      </c>
      <c r="N544" t="s">
        <v>2855</v>
      </c>
      <c r="O544">
        <v>1219</v>
      </c>
      <c r="P544">
        <v>2290</v>
      </c>
    </row>
    <row r="545" spans="1:16" x14ac:dyDescent="0.3">
      <c r="A545" t="s">
        <v>1822</v>
      </c>
      <c r="B545" s="45">
        <v>45535</v>
      </c>
      <c r="C545" t="s">
        <v>1016</v>
      </c>
      <c r="D545" t="s">
        <v>157</v>
      </c>
      <c r="E545" t="s">
        <v>346</v>
      </c>
      <c r="F545">
        <v>7</v>
      </c>
      <c r="G545">
        <v>3450</v>
      </c>
      <c r="H545">
        <v>21.3</v>
      </c>
      <c r="I545">
        <v>19006.05</v>
      </c>
      <c r="J545" t="s">
        <v>87</v>
      </c>
      <c r="K545" t="s">
        <v>117</v>
      </c>
      <c r="L545" t="s">
        <v>117</v>
      </c>
      <c r="M545" t="s">
        <v>2828</v>
      </c>
      <c r="N545" t="s">
        <v>2871</v>
      </c>
      <c r="O545">
        <v>2420</v>
      </c>
      <c r="P545">
        <v>3450</v>
      </c>
    </row>
    <row r="546" spans="1:16" x14ac:dyDescent="0.3">
      <c r="A546" t="s">
        <v>1826</v>
      </c>
      <c r="B546" s="45">
        <v>45519</v>
      </c>
      <c r="C546" t="s">
        <v>986</v>
      </c>
      <c r="D546" t="s">
        <v>191</v>
      </c>
      <c r="E546" t="s">
        <v>252</v>
      </c>
      <c r="F546">
        <v>9</v>
      </c>
      <c r="G546">
        <v>5100</v>
      </c>
      <c r="H546">
        <v>0.4</v>
      </c>
      <c r="I546">
        <v>45716.4</v>
      </c>
      <c r="J546" t="s">
        <v>87</v>
      </c>
      <c r="K546" t="s">
        <v>94</v>
      </c>
      <c r="L546" t="s">
        <v>94</v>
      </c>
      <c r="M546" t="s">
        <v>2828</v>
      </c>
      <c r="N546" t="s">
        <v>2871</v>
      </c>
      <c r="O546">
        <v>2237</v>
      </c>
      <c r="P546">
        <v>5100</v>
      </c>
    </row>
    <row r="547" spans="1:16" x14ac:dyDescent="0.3">
      <c r="A547" t="s">
        <v>1827</v>
      </c>
      <c r="B547" s="45">
        <v>45315</v>
      </c>
      <c r="C547" t="s">
        <v>1828</v>
      </c>
      <c r="D547" t="s">
        <v>176</v>
      </c>
      <c r="E547" t="s">
        <v>98</v>
      </c>
      <c r="F547">
        <v>5</v>
      </c>
      <c r="G547">
        <v>1650</v>
      </c>
      <c r="H547">
        <v>0.8</v>
      </c>
      <c r="I547">
        <v>8184</v>
      </c>
      <c r="J547" t="s">
        <v>93</v>
      </c>
      <c r="K547" t="s">
        <v>94</v>
      </c>
      <c r="L547" t="s">
        <v>94</v>
      </c>
      <c r="M547" t="s">
        <v>2828</v>
      </c>
      <c r="N547" t="s">
        <v>2862</v>
      </c>
      <c r="O547">
        <v>1222</v>
      </c>
      <c r="P547">
        <v>1650</v>
      </c>
    </row>
    <row r="548" spans="1:16" x14ac:dyDescent="0.3">
      <c r="A548" t="s">
        <v>1830</v>
      </c>
      <c r="B548" s="45">
        <v>45643</v>
      </c>
      <c r="C548" t="s">
        <v>236</v>
      </c>
      <c r="D548" t="s">
        <v>184</v>
      </c>
      <c r="E548" t="s">
        <v>229</v>
      </c>
      <c r="F548">
        <v>6</v>
      </c>
      <c r="G548">
        <v>4880</v>
      </c>
      <c r="H548">
        <v>12.6</v>
      </c>
      <c r="I548">
        <v>25590.720000000001</v>
      </c>
      <c r="J548" t="s">
        <v>140</v>
      </c>
      <c r="K548" t="s">
        <v>133</v>
      </c>
      <c r="L548" t="s">
        <v>133</v>
      </c>
      <c r="M548" t="s">
        <v>2828</v>
      </c>
      <c r="N548" t="s">
        <v>2862</v>
      </c>
      <c r="O548">
        <v>2768</v>
      </c>
      <c r="P548">
        <v>4880</v>
      </c>
    </row>
    <row r="549" spans="1:16" x14ac:dyDescent="0.3">
      <c r="A549" t="s">
        <v>1839</v>
      </c>
      <c r="B549" s="45">
        <v>45410</v>
      </c>
      <c r="C549" t="s">
        <v>986</v>
      </c>
      <c r="D549" t="s">
        <v>380</v>
      </c>
      <c r="E549" t="s">
        <v>92</v>
      </c>
      <c r="F549">
        <v>8</v>
      </c>
      <c r="G549">
        <v>960</v>
      </c>
      <c r="H549">
        <v>0.1</v>
      </c>
      <c r="I549">
        <v>7672.32</v>
      </c>
      <c r="J549" t="s">
        <v>87</v>
      </c>
      <c r="K549" t="s">
        <v>94</v>
      </c>
      <c r="L549" t="s">
        <v>94</v>
      </c>
      <c r="M549" t="s">
        <v>2828</v>
      </c>
      <c r="N549" t="s">
        <v>2871</v>
      </c>
      <c r="O549">
        <v>675</v>
      </c>
      <c r="P549">
        <v>960</v>
      </c>
    </row>
    <row r="550" spans="1:16" x14ac:dyDescent="0.3">
      <c r="A550" t="s">
        <v>1843</v>
      </c>
      <c r="B550" s="45">
        <v>45379</v>
      </c>
      <c r="C550" t="s">
        <v>1534</v>
      </c>
      <c r="D550" t="s">
        <v>386</v>
      </c>
      <c r="E550" t="s">
        <v>107</v>
      </c>
      <c r="F550">
        <v>6</v>
      </c>
      <c r="G550">
        <v>2290</v>
      </c>
      <c r="H550">
        <v>22.6</v>
      </c>
      <c r="I550">
        <v>10634.76</v>
      </c>
      <c r="J550" t="s">
        <v>87</v>
      </c>
      <c r="K550" t="s">
        <v>133</v>
      </c>
      <c r="L550" t="s">
        <v>133</v>
      </c>
      <c r="M550" t="s">
        <v>2828</v>
      </c>
      <c r="N550" t="s">
        <v>2862</v>
      </c>
      <c r="O550">
        <v>1219</v>
      </c>
      <c r="P550">
        <v>2290</v>
      </c>
    </row>
    <row r="551" spans="1:16" x14ac:dyDescent="0.3">
      <c r="A551" t="s">
        <v>1850</v>
      </c>
      <c r="B551" s="45">
        <v>45451</v>
      </c>
      <c r="C551" t="s">
        <v>388</v>
      </c>
      <c r="D551" t="s">
        <v>184</v>
      </c>
      <c r="E551" t="s">
        <v>103</v>
      </c>
      <c r="F551">
        <v>6</v>
      </c>
      <c r="G551">
        <v>4880</v>
      </c>
      <c r="H551">
        <v>15.6</v>
      </c>
      <c r="I551">
        <v>24712.32</v>
      </c>
      <c r="J551" t="s">
        <v>93</v>
      </c>
      <c r="K551" t="s">
        <v>133</v>
      </c>
      <c r="L551" t="s">
        <v>133</v>
      </c>
      <c r="M551" t="s">
        <v>2828</v>
      </c>
      <c r="N551" t="s">
        <v>2871</v>
      </c>
      <c r="O551">
        <v>2768</v>
      </c>
      <c r="P551">
        <v>4880</v>
      </c>
    </row>
    <row r="552" spans="1:16" x14ac:dyDescent="0.3">
      <c r="A552" t="s">
        <v>1851</v>
      </c>
      <c r="B552" s="45">
        <v>45427</v>
      </c>
      <c r="C552" t="s">
        <v>175</v>
      </c>
      <c r="D552" t="s">
        <v>380</v>
      </c>
      <c r="E552" t="s">
        <v>346</v>
      </c>
      <c r="F552">
        <v>6</v>
      </c>
      <c r="G552">
        <v>960</v>
      </c>
      <c r="H552">
        <v>7.5</v>
      </c>
      <c r="I552">
        <v>5328</v>
      </c>
      <c r="J552" t="s">
        <v>93</v>
      </c>
      <c r="K552" t="s">
        <v>133</v>
      </c>
      <c r="L552" t="s">
        <v>133</v>
      </c>
      <c r="M552" t="s">
        <v>2828</v>
      </c>
      <c r="N552" t="s">
        <v>2879</v>
      </c>
      <c r="O552">
        <v>675</v>
      </c>
      <c r="P552">
        <v>960</v>
      </c>
    </row>
    <row r="553" spans="1:16" x14ac:dyDescent="0.3">
      <c r="A553" t="s">
        <v>1855</v>
      </c>
      <c r="B553" s="45">
        <v>45547</v>
      </c>
      <c r="C553" t="s">
        <v>160</v>
      </c>
      <c r="D553" t="s">
        <v>157</v>
      </c>
      <c r="E553" t="s">
        <v>252</v>
      </c>
      <c r="F553">
        <v>5</v>
      </c>
      <c r="G553">
        <v>3450</v>
      </c>
      <c r="H553">
        <v>27.9</v>
      </c>
      <c r="I553">
        <v>12437.25</v>
      </c>
      <c r="J553" t="s">
        <v>93</v>
      </c>
      <c r="K553" t="s">
        <v>112</v>
      </c>
      <c r="L553" t="s">
        <v>112</v>
      </c>
      <c r="M553" t="s">
        <v>2828</v>
      </c>
      <c r="N553" t="s">
        <v>2855</v>
      </c>
      <c r="O553">
        <v>2420</v>
      </c>
      <c r="P553">
        <v>3450</v>
      </c>
    </row>
    <row r="554" spans="1:16" x14ac:dyDescent="0.3">
      <c r="A554" t="s">
        <v>1870</v>
      </c>
      <c r="B554" s="45">
        <v>45360</v>
      </c>
      <c r="C554" t="s">
        <v>275</v>
      </c>
      <c r="D554" t="s">
        <v>259</v>
      </c>
      <c r="E554" t="s">
        <v>238</v>
      </c>
      <c r="F554">
        <v>7</v>
      </c>
      <c r="G554">
        <v>1540</v>
      </c>
      <c r="H554">
        <v>20.6</v>
      </c>
      <c r="I554">
        <v>8559.32</v>
      </c>
      <c r="J554" t="s">
        <v>87</v>
      </c>
      <c r="K554" t="s">
        <v>88</v>
      </c>
      <c r="L554" t="s">
        <v>88</v>
      </c>
      <c r="M554" t="s">
        <v>2828</v>
      </c>
      <c r="N554" t="s">
        <v>2855</v>
      </c>
      <c r="O554">
        <v>647</v>
      </c>
      <c r="P554">
        <v>1540</v>
      </c>
    </row>
    <row r="555" spans="1:16" x14ac:dyDescent="0.3">
      <c r="A555" t="s">
        <v>1874</v>
      </c>
      <c r="B555" s="45">
        <v>45329</v>
      </c>
      <c r="C555" t="s">
        <v>1875</v>
      </c>
      <c r="D555" t="s">
        <v>157</v>
      </c>
      <c r="E555" t="s">
        <v>158</v>
      </c>
      <c r="F555">
        <v>6</v>
      </c>
      <c r="G555">
        <v>3450</v>
      </c>
      <c r="H555">
        <v>23.4</v>
      </c>
      <c r="I555">
        <v>15856.2</v>
      </c>
      <c r="J555" t="s">
        <v>87</v>
      </c>
      <c r="K555" t="s">
        <v>94</v>
      </c>
      <c r="L555" t="s">
        <v>94</v>
      </c>
      <c r="M555" t="s">
        <v>2828</v>
      </c>
      <c r="N555" t="s">
        <v>2871</v>
      </c>
      <c r="O555">
        <v>2420</v>
      </c>
      <c r="P555">
        <v>3450</v>
      </c>
    </row>
    <row r="556" spans="1:16" x14ac:dyDescent="0.3">
      <c r="A556" t="s">
        <v>1878</v>
      </c>
      <c r="B556" s="45">
        <v>45541</v>
      </c>
      <c r="C556" t="s">
        <v>263</v>
      </c>
      <c r="D556" t="s">
        <v>380</v>
      </c>
      <c r="E556" t="s">
        <v>128</v>
      </c>
      <c r="F556">
        <v>7</v>
      </c>
      <c r="G556">
        <v>960</v>
      </c>
      <c r="H556">
        <v>9</v>
      </c>
      <c r="I556">
        <v>6115.2</v>
      </c>
      <c r="J556" t="s">
        <v>87</v>
      </c>
      <c r="K556" t="s">
        <v>133</v>
      </c>
      <c r="L556" t="s">
        <v>133</v>
      </c>
      <c r="M556" t="s">
        <v>2828</v>
      </c>
      <c r="N556" t="s">
        <v>2879</v>
      </c>
      <c r="O556">
        <v>675</v>
      </c>
      <c r="P556">
        <v>960</v>
      </c>
    </row>
    <row r="557" spans="1:16" x14ac:dyDescent="0.3">
      <c r="A557" t="s">
        <v>1879</v>
      </c>
      <c r="B557" s="45">
        <v>45344</v>
      </c>
      <c r="C557" t="s">
        <v>689</v>
      </c>
      <c r="D557" t="s">
        <v>179</v>
      </c>
      <c r="E557" t="s">
        <v>86</v>
      </c>
      <c r="F557">
        <v>10</v>
      </c>
      <c r="G557">
        <v>3350</v>
      </c>
      <c r="H557">
        <v>1.2</v>
      </c>
      <c r="I557">
        <v>33098</v>
      </c>
      <c r="J557" t="s">
        <v>140</v>
      </c>
      <c r="K557" t="s">
        <v>133</v>
      </c>
      <c r="L557" t="s">
        <v>133</v>
      </c>
      <c r="M557" t="s">
        <v>2828</v>
      </c>
      <c r="N557" t="s">
        <v>2862</v>
      </c>
      <c r="O557">
        <v>1728</v>
      </c>
      <c r="P557">
        <v>3350</v>
      </c>
    </row>
    <row r="558" spans="1:16" x14ac:dyDescent="0.3">
      <c r="A558" t="s">
        <v>1882</v>
      </c>
      <c r="B558" s="45">
        <v>45620</v>
      </c>
      <c r="C558" t="s">
        <v>700</v>
      </c>
      <c r="D558" t="s">
        <v>386</v>
      </c>
      <c r="E558" t="s">
        <v>107</v>
      </c>
      <c r="F558">
        <v>4</v>
      </c>
      <c r="G558">
        <v>2290</v>
      </c>
      <c r="H558">
        <v>5.9</v>
      </c>
      <c r="I558">
        <v>8619.56</v>
      </c>
      <c r="J558" t="s">
        <v>87</v>
      </c>
      <c r="K558" t="s">
        <v>94</v>
      </c>
      <c r="L558" t="s">
        <v>94</v>
      </c>
      <c r="M558" t="s">
        <v>2828</v>
      </c>
      <c r="N558" t="s">
        <v>2855</v>
      </c>
      <c r="O558">
        <v>1219</v>
      </c>
      <c r="P558">
        <v>2290</v>
      </c>
    </row>
    <row r="559" spans="1:16" x14ac:dyDescent="0.3">
      <c r="A559" t="s">
        <v>1887</v>
      </c>
      <c r="B559" s="45">
        <v>45645</v>
      </c>
      <c r="C559" t="s">
        <v>570</v>
      </c>
      <c r="D559" t="s">
        <v>157</v>
      </c>
      <c r="E559" t="s">
        <v>170</v>
      </c>
      <c r="F559">
        <v>10</v>
      </c>
      <c r="G559">
        <v>3450</v>
      </c>
      <c r="H559">
        <v>26.5</v>
      </c>
      <c r="I559">
        <v>25357.5</v>
      </c>
      <c r="J559" t="s">
        <v>144</v>
      </c>
      <c r="K559" t="s">
        <v>99</v>
      </c>
      <c r="L559" t="s">
        <v>99</v>
      </c>
      <c r="M559" t="s">
        <v>2828</v>
      </c>
      <c r="N559" t="s">
        <v>2871</v>
      </c>
      <c r="O559">
        <v>2420</v>
      </c>
      <c r="P559">
        <v>3450</v>
      </c>
    </row>
    <row r="560" spans="1:16" x14ac:dyDescent="0.3">
      <c r="A560" t="s">
        <v>1892</v>
      </c>
      <c r="B560" s="45">
        <v>45433</v>
      </c>
      <c r="C560" t="s">
        <v>119</v>
      </c>
      <c r="D560" t="s">
        <v>259</v>
      </c>
      <c r="E560" t="s">
        <v>201</v>
      </c>
      <c r="F560">
        <v>3</v>
      </c>
      <c r="G560">
        <v>1540</v>
      </c>
      <c r="H560">
        <v>21.2</v>
      </c>
      <c r="I560">
        <v>3640.56</v>
      </c>
      <c r="J560" t="s">
        <v>87</v>
      </c>
      <c r="K560" t="s">
        <v>117</v>
      </c>
      <c r="L560" t="s">
        <v>117</v>
      </c>
      <c r="M560" t="s">
        <v>2828</v>
      </c>
      <c r="N560" t="s">
        <v>2871</v>
      </c>
      <c r="O560">
        <v>647</v>
      </c>
      <c r="P560">
        <v>1540</v>
      </c>
    </row>
    <row r="561" spans="1:16" x14ac:dyDescent="0.3">
      <c r="A561" t="s">
        <v>1902</v>
      </c>
      <c r="B561" s="45">
        <v>45306</v>
      </c>
      <c r="C561" t="s">
        <v>714</v>
      </c>
      <c r="D561" t="s">
        <v>176</v>
      </c>
      <c r="E561" t="s">
        <v>297</v>
      </c>
      <c r="F561">
        <v>2</v>
      </c>
      <c r="G561">
        <v>1650</v>
      </c>
      <c r="H561">
        <v>3.8</v>
      </c>
      <c r="I561">
        <v>3174.6</v>
      </c>
      <c r="J561" t="s">
        <v>87</v>
      </c>
      <c r="K561" t="s">
        <v>99</v>
      </c>
      <c r="L561" t="s">
        <v>99</v>
      </c>
      <c r="M561" t="s">
        <v>2828</v>
      </c>
      <c r="N561" t="s">
        <v>2871</v>
      </c>
      <c r="O561">
        <v>1222</v>
      </c>
      <c r="P561">
        <v>1650</v>
      </c>
    </row>
    <row r="562" spans="1:16" x14ac:dyDescent="0.3">
      <c r="A562" t="s">
        <v>1903</v>
      </c>
      <c r="B562" s="45">
        <v>45346</v>
      </c>
      <c r="C562" t="s">
        <v>1724</v>
      </c>
      <c r="D562" t="s">
        <v>380</v>
      </c>
      <c r="E562" t="s">
        <v>325</v>
      </c>
      <c r="F562">
        <v>2</v>
      </c>
      <c r="G562">
        <v>960</v>
      </c>
      <c r="H562">
        <v>6.8</v>
      </c>
      <c r="I562">
        <v>1789.44</v>
      </c>
      <c r="J562" t="s">
        <v>87</v>
      </c>
      <c r="K562" t="s">
        <v>117</v>
      </c>
      <c r="L562" t="s">
        <v>117</v>
      </c>
      <c r="M562" t="s">
        <v>2828</v>
      </c>
      <c r="N562" t="s">
        <v>2879</v>
      </c>
      <c r="O562">
        <v>675</v>
      </c>
      <c r="P562">
        <v>960</v>
      </c>
    </row>
    <row r="563" spans="1:16" x14ac:dyDescent="0.3">
      <c r="A563" t="s">
        <v>1908</v>
      </c>
      <c r="B563" s="45">
        <v>45611</v>
      </c>
      <c r="C563" t="s">
        <v>353</v>
      </c>
      <c r="D563" t="s">
        <v>241</v>
      </c>
      <c r="E563" t="s">
        <v>170</v>
      </c>
      <c r="F563">
        <v>1</v>
      </c>
      <c r="G563">
        <v>6080</v>
      </c>
      <c r="H563">
        <v>4.4000000000000004</v>
      </c>
      <c r="I563">
        <v>5812.48</v>
      </c>
      <c r="J563" t="s">
        <v>140</v>
      </c>
      <c r="K563" t="s">
        <v>94</v>
      </c>
      <c r="L563" t="s">
        <v>94</v>
      </c>
      <c r="M563" t="s">
        <v>2828</v>
      </c>
      <c r="N563" t="s">
        <v>2862</v>
      </c>
      <c r="O563">
        <v>2617</v>
      </c>
      <c r="P563">
        <v>6080</v>
      </c>
    </row>
    <row r="564" spans="1:16" x14ac:dyDescent="0.3">
      <c r="A564" t="s">
        <v>1939</v>
      </c>
      <c r="B564" s="45">
        <v>45598</v>
      </c>
      <c r="C564" t="s">
        <v>447</v>
      </c>
      <c r="D564" t="s">
        <v>380</v>
      </c>
      <c r="E564" t="s">
        <v>121</v>
      </c>
      <c r="F564">
        <v>7</v>
      </c>
      <c r="G564">
        <v>960</v>
      </c>
      <c r="H564">
        <v>28.8</v>
      </c>
      <c r="I564">
        <v>4784.6400000000003</v>
      </c>
      <c r="J564" t="s">
        <v>144</v>
      </c>
      <c r="K564" t="s">
        <v>112</v>
      </c>
      <c r="L564" t="s">
        <v>112</v>
      </c>
      <c r="M564" t="s">
        <v>2828</v>
      </c>
      <c r="N564" t="s">
        <v>2862</v>
      </c>
      <c r="O564">
        <v>675</v>
      </c>
      <c r="P564">
        <v>960</v>
      </c>
    </row>
    <row r="565" spans="1:16" x14ac:dyDescent="0.3">
      <c r="A565" t="s">
        <v>1942</v>
      </c>
      <c r="B565" s="45">
        <v>45308</v>
      </c>
      <c r="C565" t="s">
        <v>401</v>
      </c>
      <c r="D565" t="s">
        <v>157</v>
      </c>
      <c r="E565" t="s">
        <v>204</v>
      </c>
      <c r="F565">
        <v>10</v>
      </c>
      <c r="G565">
        <v>3450</v>
      </c>
      <c r="H565">
        <v>8.6999999999999993</v>
      </c>
      <c r="I565">
        <v>31498.5</v>
      </c>
      <c r="J565" t="s">
        <v>87</v>
      </c>
      <c r="K565" t="s">
        <v>94</v>
      </c>
      <c r="L565" t="s">
        <v>94</v>
      </c>
      <c r="M565" t="s">
        <v>2828</v>
      </c>
      <c r="N565" t="s">
        <v>2862</v>
      </c>
      <c r="O565">
        <v>2420</v>
      </c>
      <c r="P565">
        <v>3450</v>
      </c>
    </row>
    <row r="566" spans="1:16" x14ac:dyDescent="0.3">
      <c r="A566" t="s">
        <v>1943</v>
      </c>
      <c r="B566" s="45">
        <v>45487</v>
      </c>
      <c r="C566" t="s">
        <v>1623</v>
      </c>
      <c r="D566" t="s">
        <v>380</v>
      </c>
      <c r="E566" t="s">
        <v>158</v>
      </c>
      <c r="F566">
        <v>6</v>
      </c>
      <c r="G566">
        <v>960</v>
      </c>
      <c r="H566">
        <v>20.6</v>
      </c>
      <c r="I566">
        <v>4573.4399999999996</v>
      </c>
      <c r="J566" t="s">
        <v>93</v>
      </c>
      <c r="K566" t="s">
        <v>117</v>
      </c>
      <c r="L566" t="s">
        <v>117</v>
      </c>
      <c r="M566" t="s">
        <v>2828</v>
      </c>
      <c r="N566" t="s">
        <v>2855</v>
      </c>
      <c r="O566">
        <v>675</v>
      </c>
      <c r="P566">
        <v>960</v>
      </c>
    </row>
    <row r="567" spans="1:16" x14ac:dyDescent="0.3">
      <c r="A567" t="s">
        <v>1958</v>
      </c>
      <c r="B567" s="45">
        <v>45413</v>
      </c>
      <c r="C567" t="s">
        <v>190</v>
      </c>
      <c r="D567" t="s">
        <v>241</v>
      </c>
      <c r="E567" t="s">
        <v>303</v>
      </c>
      <c r="F567">
        <v>2</v>
      </c>
      <c r="G567">
        <v>6080</v>
      </c>
      <c r="H567">
        <v>21.8</v>
      </c>
      <c r="I567">
        <v>9509.1200000000008</v>
      </c>
      <c r="J567" t="s">
        <v>140</v>
      </c>
      <c r="K567" t="s">
        <v>133</v>
      </c>
      <c r="L567" t="s">
        <v>133</v>
      </c>
      <c r="M567" t="s">
        <v>2828</v>
      </c>
      <c r="N567" t="s">
        <v>2862</v>
      </c>
      <c r="O567">
        <v>2617</v>
      </c>
      <c r="P567">
        <v>6080</v>
      </c>
    </row>
    <row r="568" spans="1:16" x14ac:dyDescent="0.3">
      <c r="A568" t="s">
        <v>1959</v>
      </c>
      <c r="B568" s="45">
        <v>45343</v>
      </c>
      <c r="C568" t="s">
        <v>680</v>
      </c>
      <c r="D568" t="s">
        <v>191</v>
      </c>
      <c r="E568" t="s">
        <v>188</v>
      </c>
      <c r="F568">
        <v>9</v>
      </c>
      <c r="G568">
        <v>5100</v>
      </c>
      <c r="H568">
        <v>29.3</v>
      </c>
      <c r="I568">
        <v>32451.3</v>
      </c>
      <c r="J568" t="s">
        <v>87</v>
      </c>
      <c r="K568" t="s">
        <v>94</v>
      </c>
      <c r="L568" t="s">
        <v>94</v>
      </c>
      <c r="M568" t="s">
        <v>2828</v>
      </c>
      <c r="N568" t="s">
        <v>2855</v>
      </c>
      <c r="O568">
        <v>2237</v>
      </c>
      <c r="P568">
        <v>5100</v>
      </c>
    </row>
    <row r="569" spans="1:16" x14ac:dyDescent="0.3">
      <c r="A569" t="s">
        <v>1970</v>
      </c>
      <c r="B569" s="45">
        <v>45516</v>
      </c>
      <c r="C569" t="s">
        <v>1231</v>
      </c>
      <c r="D569" t="s">
        <v>259</v>
      </c>
      <c r="E569" t="s">
        <v>346</v>
      </c>
      <c r="F569">
        <v>6</v>
      </c>
      <c r="G569">
        <v>1540</v>
      </c>
      <c r="H569">
        <v>0.6</v>
      </c>
      <c r="I569">
        <v>9184.56</v>
      </c>
      <c r="J569" t="s">
        <v>87</v>
      </c>
      <c r="K569" t="s">
        <v>88</v>
      </c>
      <c r="L569" t="s">
        <v>88</v>
      </c>
      <c r="M569" t="s">
        <v>2828</v>
      </c>
      <c r="N569" t="s">
        <v>2862</v>
      </c>
      <c r="O569">
        <v>647</v>
      </c>
      <c r="P569">
        <v>1540</v>
      </c>
    </row>
    <row r="570" spans="1:16" x14ac:dyDescent="0.3">
      <c r="A570" t="s">
        <v>1973</v>
      </c>
      <c r="B570" s="45">
        <v>45305</v>
      </c>
      <c r="C570" t="s">
        <v>606</v>
      </c>
      <c r="D570" t="s">
        <v>184</v>
      </c>
      <c r="E570" t="s">
        <v>103</v>
      </c>
      <c r="F570">
        <v>3</v>
      </c>
      <c r="G570">
        <v>4880</v>
      </c>
      <c r="H570">
        <v>12.1</v>
      </c>
      <c r="I570">
        <v>12868.56</v>
      </c>
      <c r="J570" t="s">
        <v>87</v>
      </c>
      <c r="K570" t="s">
        <v>112</v>
      </c>
      <c r="L570" t="s">
        <v>112</v>
      </c>
      <c r="M570" t="s">
        <v>2828</v>
      </c>
      <c r="N570" t="s">
        <v>2862</v>
      </c>
      <c r="O570">
        <v>2768</v>
      </c>
      <c r="P570">
        <v>4880</v>
      </c>
    </row>
    <row r="571" spans="1:16" x14ac:dyDescent="0.3">
      <c r="A571" t="s">
        <v>1984</v>
      </c>
      <c r="B571" s="45">
        <v>45374</v>
      </c>
      <c r="C571" t="s">
        <v>504</v>
      </c>
      <c r="D571" t="s">
        <v>184</v>
      </c>
      <c r="E571" t="s">
        <v>154</v>
      </c>
      <c r="F571">
        <v>4</v>
      </c>
      <c r="G571">
        <v>4880</v>
      </c>
      <c r="H571">
        <v>19.399999999999999</v>
      </c>
      <c r="I571">
        <v>15733.12</v>
      </c>
      <c r="J571" t="s">
        <v>140</v>
      </c>
      <c r="K571" t="s">
        <v>117</v>
      </c>
      <c r="L571" t="s">
        <v>117</v>
      </c>
      <c r="M571" t="s">
        <v>2828</v>
      </c>
      <c r="N571" t="s">
        <v>2862</v>
      </c>
      <c r="O571">
        <v>2768</v>
      </c>
      <c r="P571">
        <v>4880</v>
      </c>
    </row>
    <row r="572" spans="1:16" x14ac:dyDescent="0.3">
      <c r="A572" t="s">
        <v>1986</v>
      </c>
      <c r="B572" s="45">
        <v>45415</v>
      </c>
      <c r="C572" t="s">
        <v>434</v>
      </c>
      <c r="D572" t="s">
        <v>276</v>
      </c>
      <c r="E572" t="s">
        <v>121</v>
      </c>
      <c r="F572">
        <v>1</v>
      </c>
      <c r="G572">
        <v>3020</v>
      </c>
      <c r="H572">
        <v>3.6</v>
      </c>
      <c r="I572">
        <v>2911.28</v>
      </c>
      <c r="J572" t="s">
        <v>144</v>
      </c>
      <c r="K572" t="s">
        <v>99</v>
      </c>
      <c r="L572" t="s">
        <v>99</v>
      </c>
      <c r="M572" t="s">
        <v>2828</v>
      </c>
      <c r="N572" t="s">
        <v>2879</v>
      </c>
      <c r="O572">
        <v>1626</v>
      </c>
      <c r="P572">
        <v>3020</v>
      </c>
    </row>
    <row r="573" spans="1:16" x14ac:dyDescent="0.3">
      <c r="A573" t="s">
        <v>1987</v>
      </c>
      <c r="B573" s="45">
        <v>45601</v>
      </c>
      <c r="C573" t="s">
        <v>119</v>
      </c>
      <c r="D573" t="s">
        <v>184</v>
      </c>
      <c r="E573" t="s">
        <v>121</v>
      </c>
      <c r="F573">
        <v>2</v>
      </c>
      <c r="G573">
        <v>4880</v>
      </c>
      <c r="H573">
        <v>2</v>
      </c>
      <c r="I573">
        <v>9564.7999999999993</v>
      </c>
      <c r="J573" t="s">
        <v>140</v>
      </c>
      <c r="K573" t="s">
        <v>117</v>
      </c>
      <c r="L573" t="s">
        <v>117</v>
      </c>
      <c r="M573" t="s">
        <v>2828</v>
      </c>
      <c r="N573" t="s">
        <v>2855</v>
      </c>
      <c r="O573">
        <v>2768</v>
      </c>
      <c r="P573">
        <v>4880</v>
      </c>
    </row>
    <row r="574" spans="1:16" x14ac:dyDescent="0.3">
      <c r="A574" t="s">
        <v>1989</v>
      </c>
      <c r="B574" s="45">
        <v>45357</v>
      </c>
      <c r="C574" t="s">
        <v>557</v>
      </c>
      <c r="D574" t="s">
        <v>241</v>
      </c>
      <c r="E574" t="s">
        <v>297</v>
      </c>
      <c r="F574">
        <v>2</v>
      </c>
      <c r="G574">
        <v>6080</v>
      </c>
      <c r="H574">
        <v>0.5</v>
      </c>
      <c r="I574">
        <v>12099.2</v>
      </c>
      <c r="J574" t="s">
        <v>140</v>
      </c>
      <c r="K574" t="s">
        <v>112</v>
      </c>
      <c r="L574" t="s">
        <v>112</v>
      </c>
      <c r="M574" t="s">
        <v>2828</v>
      </c>
      <c r="N574" t="s">
        <v>2862</v>
      </c>
      <c r="O574">
        <v>2617</v>
      </c>
      <c r="P574">
        <v>6080</v>
      </c>
    </row>
    <row r="575" spans="1:16" x14ac:dyDescent="0.3">
      <c r="A575" t="s">
        <v>1991</v>
      </c>
      <c r="B575" s="45">
        <v>45509</v>
      </c>
      <c r="C575" t="s">
        <v>369</v>
      </c>
      <c r="D575" t="s">
        <v>259</v>
      </c>
      <c r="E575" t="s">
        <v>215</v>
      </c>
      <c r="F575">
        <v>10</v>
      </c>
      <c r="G575">
        <v>1540</v>
      </c>
      <c r="H575">
        <v>20.6</v>
      </c>
      <c r="I575">
        <v>12227.6</v>
      </c>
      <c r="J575" t="s">
        <v>87</v>
      </c>
      <c r="K575" t="s">
        <v>94</v>
      </c>
      <c r="L575" t="s">
        <v>94</v>
      </c>
      <c r="M575" t="s">
        <v>2828</v>
      </c>
      <c r="N575" t="s">
        <v>2879</v>
      </c>
      <c r="O575">
        <v>647</v>
      </c>
      <c r="P575">
        <v>1540</v>
      </c>
    </row>
    <row r="576" spans="1:16" x14ac:dyDescent="0.3">
      <c r="A576" t="s">
        <v>1998</v>
      </c>
      <c r="B576" s="45">
        <v>45521</v>
      </c>
      <c r="C576" t="s">
        <v>635</v>
      </c>
      <c r="D576" t="s">
        <v>184</v>
      </c>
      <c r="E576" t="s">
        <v>325</v>
      </c>
      <c r="F576">
        <v>5</v>
      </c>
      <c r="G576">
        <v>4880</v>
      </c>
      <c r="H576">
        <v>17</v>
      </c>
      <c r="I576">
        <v>20252</v>
      </c>
      <c r="J576" t="s">
        <v>87</v>
      </c>
      <c r="K576" t="s">
        <v>99</v>
      </c>
      <c r="L576" t="s">
        <v>99</v>
      </c>
      <c r="M576" t="s">
        <v>2828</v>
      </c>
      <c r="N576" t="s">
        <v>2855</v>
      </c>
      <c r="O576">
        <v>2768</v>
      </c>
      <c r="P576">
        <v>4880</v>
      </c>
    </row>
    <row r="577" spans="1:16" x14ac:dyDescent="0.3">
      <c r="A577" t="s">
        <v>2002</v>
      </c>
      <c r="B577" s="45">
        <v>45605</v>
      </c>
      <c r="C577" t="s">
        <v>856</v>
      </c>
      <c r="D577" t="s">
        <v>259</v>
      </c>
      <c r="E577" t="s">
        <v>111</v>
      </c>
      <c r="F577">
        <v>6</v>
      </c>
      <c r="G577">
        <v>1540</v>
      </c>
      <c r="H577">
        <v>17.100000000000001</v>
      </c>
      <c r="I577">
        <v>7659.96</v>
      </c>
      <c r="J577" t="s">
        <v>87</v>
      </c>
      <c r="K577" t="s">
        <v>88</v>
      </c>
      <c r="L577" t="s">
        <v>88</v>
      </c>
      <c r="M577" t="s">
        <v>2828</v>
      </c>
      <c r="N577" t="s">
        <v>2879</v>
      </c>
      <c r="O577">
        <v>647</v>
      </c>
      <c r="P577">
        <v>1540</v>
      </c>
    </row>
    <row r="578" spans="1:16" x14ac:dyDescent="0.3">
      <c r="A578" t="s">
        <v>2013</v>
      </c>
      <c r="B578" s="45">
        <v>45614</v>
      </c>
      <c r="C578" t="s">
        <v>1234</v>
      </c>
      <c r="D578" t="s">
        <v>176</v>
      </c>
      <c r="E578" t="s">
        <v>132</v>
      </c>
      <c r="F578">
        <v>9</v>
      </c>
      <c r="G578">
        <v>1650</v>
      </c>
      <c r="H578">
        <v>19.5</v>
      </c>
      <c r="I578">
        <v>11954.25</v>
      </c>
      <c r="J578" t="s">
        <v>87</v>
      </c>
      <c r="K578" t="s">
        <v>112</v>
      </c>
      <c r="L578" t="s">
        <v>112</v>
      </c>
      <c r="M578" t="s">
        <v>2828</v>
      </c>
      <c r="N578" t="s">
        <v>2862</v>
      </c>
      <c r="O578">
        <v>1222</v>
      </c>
      <c r="P578">
        <v>1650</v>
      </c>
    </row>
    <row r="579" spans="1:16" x14ac:dyDescent="0.3">
      <c r="A579" t="s">
        <v>2014</v>
      </c>
      <c r="B579" s="45">
        <v>45364</v>
      </c>
      <c r="C579" t="s">
        <v>669</v>
      </c>
      <c r="D579" t="s">
        <v>179</v>
      </c>
      <c r="E579" t="s">
        <v>103</v>
      </c>
      <c r="F579">
        <v>9</v>
      </c>
      <c r="G579">
        <v>3350</v>
      </c>
      <c r="H579">
        <v>4.0999999999999996</v>
      </c>
      <c r="I579">
        <v>28913.85</v>
      </c>
      <c r="J579" t="s">
        <v>87</v>
      </c>
      <c r="K579" t="s">
        <v>133</v>
      </c>
      <c r="L579" t="s">
        <v>133</v>
      </c>
      <c r="M579" t="s">
        <v>2828</v>
      </c>
      <c r="N579" t="s">
        <v>2855</v>
      </c>
      <c r="O579">
        <v>1728</v>
      </c>
      <c r="P579">
        <v>3350</v>
      </c>
    </row>
    <row r="580" spans="1:16" x14ac:dyDescent="0.3">
      <c r="A580" t="s">
        <v>2018</v>
      </c>
      <c r="B580" s="45">
        <v>45600</v>
      </c>
      <c r="C580" t="s">
        <v>729</v>
      </c>
      <c r="D580" t="s">
        <v>176</v>
      </c>
      <c r="E580" t="s">
        <v>285</v>
      </c>
      <c r="F580">
        <v>1</v>
      </c>
      <c r="G580">
        <v>1650</v>
      </c>
      <c r="H580">
        <v>18.8</v>
      </c>
      <c r="I580">
        <v>1339.8</v>
      </c>
      <c r="J580" t="s">
        <v>140</v>
      </c>
      <c r="K580" t="s">
        <v>112</v>
      </c>
      <c r="L580" t="s">
        <v>112</v>
      </c>
      <c r="M580" t="s">
        <v>2828</v>
      </c>
      <c r="N580" t="s">
        <v>2879</v>
      </c>
      <c r="O580">
        <v>1222</v>
      </c>
      <c r="P580">
        <v>1650</v>
      </c>
    </row>
    <row r="581" spans="1:16" x14ac:dyDescent="0.3">
      <c r="A581" t="s">
        <v>2022</v>
      </c>
      <c r="B581" s="45">
        <v>45454</v>
      </c>
      <c r="C581" t="s">
        <v>369</v>
      </c>
      <c r="D581" t="s">
        <v>386</v>
      </c>
      <c r="E581" t="s">
        <v>92</v>
      </c>
      <c r="F581">
        <v>8</v>
      </c>
      <c r="G581">
        <v>2290</v>
      </c>
      <c r="H581">
        <v>12.2</v>
      </c>
      <c r="I581">
        <v>16084.96</v>
      </c>
      <c r="J581" t="s">
        <v>87</v>
      </c>
      <c r="K581" t="s">
        <v>94</v>
      </c>
      <c r="L581" t="s">
        <v>94</v>
      </c>
      <c r="M581" t="s">
        <v>2828</v>
      </c>
      <c r="N581" t="s">
        <v>2879</v>
      </c>
      <c r="O581">
        <v>1219</v>
      </c>
      <c r="P581">
        <v>2290</v>
      </c>
    </row>
    <row r="582" spans="1:16" x14ac:dyDescent="0.3">
      <c r="A582" t="s">
        <v>2028</v>
      </c>
      <c r="B582" s="45">
        <v>45567</v>
      </c>
      <c r="C582" t="s">
        <v>294</v>
      </c>
      <c r="D582" t="s">
        <v>184</v>
      </c>
      <c r="E582" t="s">
        <v>111</v>
      </c>
      <c r="F582">
        <v>1</v>
      </c>
      <c r="G582">
        <v>4880</v>
      </c>
      <c r="H582">
        <v>26.8</v>
      </c>
      <c r="I582">
        <v>3572.16</v>
      </c>
      <c r="J582" t="s">
        <v>87</v>
      </c>
      <c r="K582" t="s">
        <v>133</v>
      </c>
      <c r="L582" t="s">
        <v>133</v>
      </c>
      <c r="M582" t="s">
        <v>2828</v>
      </c>
      <c r="N582" t="s">
        <v>2871</v>
      </c>
      <c r="O582">
        <v>2768</v>
      </c>
      <c r="P582">
        <v>4880</v>
      </c>
    </row>
    <row r="583" spans="1:16" x14ac:dyDescent="0.3">
      <c r="A583" t="s">
        <v>2030</v>
      </c>
      <c r="B583" s="45">
        <v>45376</v>
      </c>
      <c r="C583" t="s">
        <v>153</v>
      </c>
      <c r="D583" t="s">
        <v>157</v>
      </c>
      <c r="E583" t="s">
        <v>201</v>
      </c>
      <c r="F583">
        <v>10</v>
      </c>
      <c r="G583">
        <v>3450</v>
      </c>
      <c r="H583">
        <v>21.9</v>
      </c>
      <c r="I583">
        <v>26944.5</v>
      </c>
      <c r="J583" t="s">
        <v>87</v>
      </c>
      <c r="K583" t="s">
        <v>117</v>
      </c>
      <c r="L583" t="s">
        <v>117</v>
      </c>
      <c r="M583" t="s">
        <v>2828</v>
      </c>
      <c r="N583" t="s">
        <v>2879</v>
      </c>
      <c r="O583">
        <v>2420</v>
      </c>
      <c r="P583">
        <v>3450</v>
      </c>
    </row>
    <row r="584" spans="1:16" x14ac:dyDescent="0.3">
      <c r="A584" t="s">
        <v>2034</v>
      </c>
      <c r="B584" s="45">
        <v>45380</v>
      </c>
      <c r="C584" t="s">
        <v>388</v>
      </c>
      <c r="D584" t="s">
        <v>179</v>
      </c>
      <c r="E584" t="s">
        <v>154</v>
      </c>
      <c r="F584">
        <v>5</v>
      </c>
      <c r="G584">
        <v>3350</v>
      </c>
      <c r="H584">
        <v>18.2</v>
      </c>
      <c r="I584">
        <v>13701.5</v>
      </c>
      <c r="J584" t="s">
        <v>87</v>
      </c>
      <c r="K584" t="s">
        <v>133</v>
      </c>
      <c r="L584" t="s">
        <v>133</v>
      </c>
      <c r="M584" t="s">
        <v>2828</v>
      </c>
      <c r="N584" t="s">
        <v>2862</v>
      </c>
      <c r="O584">
        <v>1728</v>
      </c>
      <c r="P584">
        <v>3350</v>
      </c>
    </row>
    <row r="585" spans="1:16" x14ac:dyDescent="0.3">
      <c r="A585" t="s">
        <v>2037</v>
      </c>
      <c r="B585" s="45">
        <v>45443</v>
      </c>
      <c r="C585" t="s">
        <v>868</v>
      </c>
      <c r="D585" t="s">
        <v>157</v>
      </c>
      <c r="E585" t="s">
        <v>148</v>
      </c>
      <c r="F585">
        <v>6</v>
      </c>
      <c r="G585">
        <v>3450</v>
      </c>
      <c r="H585">
        <v>19.899999999999999</v>
      </c>
      <c r="I585">
        <v>16580.7</v>
      </c>
      <c r="J585" t="s">
        <v>93</v>
      </c>
      <c r="K585" t="s">
        <v>99</v>
      </c>
      <c r="L585" t="s">
        <v>99</v>
      </c>
      <c r="M585" t="s">
        <v>2828</v>
      </c>
      <c r="N585" t="s">
        <v>2855</v>
      </c>
      <c r="O585">
        <v>2420</v>
      </c>
      <c r="P585">
        <v>3450</v>
      </c>
    </row>
    <row r="586" spans="1:16" x14ac:dyDescent="0.3">
      <c r="A586" t="s">
        <v>2038</v>
      </c>
      <c r="B586" s="45">
        <v>45599</v>
      </c>
      <c r="C586" t="s">
        <v>181</v>
      </c>
      <c r="D586" t="s">
        <v>386</v>
      </c>
      <c r="E586" t="s">
        <v>285</v>
      </c>
      <c r="F586">
        <v>4</v>
      </c>
      <c r="G586">
        <v>2290</v>
      </c>
      <c r="H586">
        <v>4.8</v>
      </c>
      <c r="I586">
        <v>8720.32</v>
      </c>
      <c r="J586" t="s">
        <v>93</v>
      </c>
      <c r="K586" t="s">
        <v>99</v>
      </c>
      <c r="L586" t="s">
        <v>99</v>
      </c>
      <c r="M586" t="s">
        <v>2828</v>
      </c>
      <c r="N586" t="s">
        <v>2862</v>
      </c>
      <c r="O586">
        <v>1219</v>
      </c>
      <c r="P586">
        <v>2290</v>
      </c>
    </row>
    <row r="587" spans="1:16" x14ac:dyDescent="0.3">
      <c r="A587" t="s">
        <v>2043</v>
      </c>
      <c r="B587" s="45">
        <v>45401</v>
      </c>
      <c r="C587" t="s">
        <v>868</v>
      </c>
      <c r="D587" t="s">
        <v>259</v>
      </c>
      <c r="E587" t="s">
        <v>201</v>
      </c>
      <c r="F587">
        <v>8</v>
      </c>
      <c r="G587">
        <v>1540</v>
      </c>
      <c r="H587">
        <v>0.5</v>
      </c>
      <c r="I587">
        <v>12258.4</v>
      </c>
      <c r="J587" t="s">
        <v>87</v>
      </c>
      <c r="K587" t="s">
        <v>99</v>
      </c>
      <c r="L587" t="s">
        <v>99</v>
      </c>
      <c r="M587" t="s">
        <v>2828</v>
      </c>
      <c r="N587" t="s">
        <v>2862</v>
      </c>
      <c r="O587">
        <v>647</v>
      </c>
      <c r="P587">
        <v>1540</v>
      </c>
    </row>
    <row r="588" spans="1:16" x14ac:dyDescent="0.3">
      <c r="A588" t="s">
        <v>2048</v>
      </c>
      <c r="B588" s="45">
        <v>45321</v>
      </c>
      <c r="C588" t="s">
        <v>299</v>
      </c>
      <c r="D588" t="s">
        <v>179</v>
      </c>
      <c r="E588" t="s">
        <v>188</v>
      </c>
      <c r="F588">
        <v>10</v>
      </c>
      <c r="G588">
        <v>3350</v>
      </c>
      <c r="H588">
        <v>7.8</v>
      </c>
      <c r="I588">
        <v>30887</v>
      </c>
      <c r="J588" t="s">
        <v>87</v>
      </c>
      <c r="K588" t="s">
        <v>133</v>
      </c>
      <c r="L588" t="s">
        <v>133</v>
      </c>
      <c r="M588" t="s">
        <v>2828</v>
      </c>
      <c r="N588" t="s">
        <v>2855</v>
      </c>
      <c r="O588">
        <v>1728</v>
      </c>
      <c r="P588">
        <v>3350</v>
      </c>
    </row>
    <row r="589" spans="1:16" x14ac:dyDescent="0.3">
      <c r="A589" t="s">
        <v>2049</v>
      </c>
      <c r="B589" s="45">
        <v>45358</v>
      </c>
      <c r="C589" t="s">
        <v>2050</v>
      </c>
      <c r="D589" t="s">
        <v>179</v>
      </c>
      <c r="E589" t="s">
        <v>170</v>
      </c>
      <c r="F589">
        <v>7</v>
      </c>
      <c r="G589">
        <v>3350</v>
      </c>
      <c r="H589">
        <v>14.5</v>
      </c>
      <c r="I589">
        <v>20049.75</v>
      </c>
      <c r="J589" t="s">
        <v>87</v>
      </c>
      <c r="K589" t="s">
        <v>117</v>
      </c>
      <c r="L589" t="s">
        <v>117</v>
      </c>
      <c r="M589" t="s">
        <v>2828</v>
      </c>
      <c r="N589" t="s">
        <v>2862</v>
      </c>
      <c r="O589">
        <v>1728</v>
      </c>
      <c r="P589">
        <v>3350</v>
      </c>
    </row>
    <row r="590" spans="1:16" x14ac:dyDescent="0.3">
      <c r="A590" t="s">
        <v>2062</v>
      </c>
      <c r="B590" s="45">
        <v>45508</v>
      </c>
      <c r="C590" t="s">
        <v>615</v>
      </c>
      <c r="D590" t="s">
        <v>179</v>
      </c>
      <c r="E590" t="s">
        <v>325</v>
      </c>
      <c r="F590">
        <v>8</v>
      </c>
      <c r="G590">
        <v>3350</v>
      </c>
      <c r="H590">
        <v>11.2</v>
      </c>
      <c r="I590">
        <v>23798.400000000001</v>
      </c>
      <c r="J590" t="s">
        <v>87</v>
      </c>
      <c r="K590" t="s">
        <v>112</v>
      </c>
      <c r="L590" t="s">
        <v>112</v>
      </c>
      <c r="M590" t="s">
        <v>2828</v>
      </c>
      <c r="N590" t="s">
        <v>2879</v>
      </c>
      <c r="O590">
        <v>1728</v>
      </c>
      <c r="P590">
        <v>3350</v>
      </c>
    </row>
    <row r="591" spans="1:16" x14ac:dyDescent="0.3">
      <c r="A591" t="s">
        <v>2064</v>
      </c>
      <c r="B591" s="45">
        <v>45483</v>
      </c>
      <c r="C591" t="s">
        <v>752</v>
      </c>
      <c r="D591" t="s">
        <v>380</v>
      </c>
      <c r="E591" t="s">
        <v>107</v>
      </c>
      <c r="F591">
        <v>10</v>
      </c>
      <c r="G591">
        <v>960</v>
      </c>
      <c r="H591">
        <v>9.3000000000000007</v>
      </c>
      <c r="I591">
        <v>8707.2000000000007</v>
      </c>
      <c r="J591" t="s">
        <v>140</v>
      </c>
      <c r="K591" t="s">
        <v>117</v>
      </c>
      <c r="L591" t="s">
        <v>117</v>
      </c>
      <c r="M591" t="s">
        <v>2828</v>
      </c>
      <c r="N591" t="s">
        <v>2879</v>
      </c>
      <c r="O591">
        <v>675</v>
      </c>
      <c r="P591">
        <v>960</v>
      </c>
    </row>
    <row r="592" spans="1:16" x14ac:dyDescent="0.3">
      <c r="A592" t="s">
        <v>2070</v>
      </c>
      <c r="B592" s="45">
        <v>45340</v>
      </c>
      <c r="C592" t="s">
        <v>970</v>
      </c>
      <c r="D592" t="s">
        <v>380</v>
      </c>
      <c r="E592" t="s">
        <v>346</v>
      </c>
      <c r="F592">
        <v>5</v>
      </c>
      <c r="G592">
        <v>960</v>
      </c>
      <c r="H592">
        <v>25.2</v>
      </c>
      <c r="I592">
        <v>3590.4</v>
      </c>
      <c r="J592" t="s">
        <v>87</v>
      </c>
      <c r="K592" t="s">
        <v>112</v>
      </c>
      <c r="L592" t="s">
        <v>112</v>
      </c>
      <c r="M592" t="s">
        <v>2828</v>
      </c>
      <c r="N592" t="s">
        <v>2862</v>
      </c>
      <c r="O592">
        <v>675</v>
      </c>
      <c r="P592">
        <v>960</v>
      </c>
    </row>
    <row r="593" spans="1:16" x14ac:dyDescent="0.3">
      <c r="A593" t="s">
        <v>2081</v>
      </c>
      <c r="B593" s="45">
        <v>45438</v>
      </c>
      <c r="C593" t="s">
        <v>284</v>
      </c>
      <c r="D593" t="s">
        <v>380</v>
      </c>
      <c r="E593" t="s">
        <v>128</v>
      </c>
      <c r="F593">
        <v>9</v>
      </c>
      <c r="G593">
        <v>960</v>
      </c>
      <c r="H593">
        <v>21.7</v>
      </c>
      <c r="I593">
        <v>6765.12</v>
      </c>
      <c r="J593" t="s">
        <v>140</v>
      </c>
      <c r="K593" t="s">
        <v>94</v>
      </c>
      <c r="L593" t="s">
        <v>94</v>
      </c>
      <c r="M593" t="s">
        <v>2828</v>
      </c>
      <c r="N593" t="s">
        <v>2862</v>
      </c>
      <c r="O593">
        <v>675</v>
      </c>
      <c r="P593">
        <v>960</v>
      </c>
    </row>
    <row r="594" spans="1:16" x14ac:dyDescent="0.3">
      <c r="A594" t="s">
        <v>2084</v>
      </c>
      <c r="B594" s="45">
        <v>45392</v>
      </c>
      <c r="C594" t="s">
        <v>223</v>
      </c>
      <c r="D594" t="s">
        <v>276</v>
      </c>
      <c r="E594" t="s">
        <v>107</v>
      </c>
      <c r="F594">
        <v>2</v>
      </c>
      <c r="G594">
        <v>3020</v>
      </c>
      <c r="H594">
        <v>20.8</v>
      </c>
      <c r="I594">
        <v>4783.68</v>
      </c>
      <c r="J594" t="s">
        <v>93</v>
      </c>
      <c r="K594" t="s">
        <v>99</v>
      </c>
      <c r="L594" t="s">
        <v>99</v>
      </c>
      <c r="M594" t="s">
        <v>2828</v>
      </c>
      <c r="N594" t="s">
        <v>2855</v>
      </c>
      <c r="O594">
        <v>1626</v>
      </c>
      <c r="P594">
        <v>3020</v>
      </c>
    </row>
    <row r="595" spans="1:16" x14ac:dyDescent="0.3">
      <c r="A595" t="s">
        <v>2105</v>
      </c>
      <c r="B595" s="45">
        <v>45449</v>
      </c>
      <c r="C595" t="s">
        <v>895</v>
      </c>
      <c r="D595" t="s">
        <v>276</v>
      </c>
      <c r="E595" t="s">
        <v>121</v>
      </c>
      <c r="F595">
        <v>6</v>
      </c>
      <c r="G595">
        <v>3020</v>
      </c>
      <c r="H595">
        <v>12.6</v>
      </c>
      <c r="I595">
        <v>15836.88</v>
      </c>
      <c r="J595" t="s">
        <v>87</v>
      </c>
      <c r="K595" t="s">
        <v>117</v>
      </c>
      <c r="L595" t="s">
        <v>117</v>
      </c>
      <c r="M595" t="s">
        <v>2828</v>
      </c>
      <c r="N595" t="s">
        <v>2862</v>
      </c>
      <c r="O595">
        <v>1626</v>
      </c>
      <c r="P595">
        <v>3020</v>
      </c>
    </row>
    <row r="596" spans="1:16" x14ac:dyDescent="0.3">
      <c r="A596" t="s">
        <v>2110</v>
      </c>
      <c r="B596" s="45">
        <v>45477</v>
      </c>
      <c r="C596" t="s">
        <v>735</v>
      </c>
      <c r="D596" t="s">
        <v>386</v>
      </c>
      <c r="E596" t="s">
        <v>158</v>
      </c>
      <c r="F596">
        <v>8</v>
      </c>
      <c r="G596">
        <v>2290</v>
      </c>
      <c r="H596">
        <v>16.399999999999999</v>
      </c>
      <c r="I596">
        <v>15315.52</v>
      </c>
      <c r="J596" t="s">
        <v>87</v>
      </c>
      <c r="K596" t="s">
        <v>88</v>
      </c>
      <c r="L596" t="s">
        <v>88</v>
      </c>
      <c r="M596" t="s">
        <v>2828</v>
      </c>
      <c r="N596" t="s">
        <v>2871</v>
      </c>
      <c r="O596">
        <v>1219</v>
      </c>
      <c r="P596">
        <v>2290</v>
      </c>
    </row>
    <row r="597" spans="1:16" x14ac:dyDescent="0.3">
      <c r="A597" t="s">
        <v>2111</v>
      </c>
      <c r="B597" s="45">
        <v>45462</v>
      </c>
      <c r="C597" t="s">
        <v>841</v>
      </c>
      <c r="D597" t="s">
        <v>176</v>
      </c>
      <c r="E597" t="s">
        <v>121</v>
      </c>
      <c r="F597">
        <v>3</v>
      </c>
      <c r="G597">
        <v>1650</v>
      </c>
      <c r="H597">
        <v>1.8</v>
      </c>
      <c r="I597">
        <v>4860.8999999999996</v>
      </c>
      <c r="J597" t="s">
        <v>140</v>
      </c>
      <c r="K597" t="s">
        <v>117</v>
      </c>
      <c r="L597" t="s">
        <v>117</v>
      </c>
      <c r="M597" t="s">
        <v>2828</v>
      </c>
      <c r="N597" t="s">
        <v>2879</v>
      </c>
      <c r="O597">
        <v>1222</v>
      </c>
      <c r="P597">
        <v>1650</v>
      </c>
    </row>
    <row r="598" spans="1:16" x14ac:dyDescent="0.3">
      <c r="A598" t="s">
        <v>2128</v>
      </c>
      <c r="B598" s="45">
        <v>45365</v>
      </c>
      <c r="C598" t="s">
        <v>1231</v>
      </c>
      <c r="D598" t="s">
        <v>380</v>
      </c>
      <c r="E598" t="s">
        <v>188</v>
      </c>
      <c r="F598">
        <v>1</v>
      </c>
      <c r="G598">
        <v>960</v>
      </c>
      <c r="H598">
        <v>1.1000000000000001</v>
      </c>
      <c r="I598">
        <v>949.44</v>
      </c>
      <c r="J598" t="s">
        <v>87</v>
      </c>
      <c r="K598" t="s">
        <v>88</v>
      </c>
      <c r="L598" t="s">
        <v>88</v>
      </c>
      <c r="M598" t="s">
        <v>2828</v>
      </c>
      <c r="N598" t="s">
        <v>2871</v>
      </c>
      <c r="O598">
        <v>675</v>
      </c>
      <c r="P598">
        <v>960</v>
      </c>
    </row>
    <row r="599" spans="1:16" x14ac:dyDescent="0.3">
      <c r="A599" t="s">
        <v>2136</v>
      </c>
      <c r="B599" s="45">
        <v>45624</v>
      </c>
      <c r="C599" t="s">
        <v>537</v>
      </c>
      <c r="D599" t="s">
        <v>184</v>
      </c>
      <c r="E599" t="s">
        <v>252</v>
      </c>
      <c r="F599">
        <v>2</v>
      </c>
      <c r="G599">
        <v>4880</v>
      </c>
      <c r="H599">
        <v>23.8</v>
      </c>
      <c r="I599">
        <v>7437.12</v>
      </c>
      <c r="J599" t="s">
        <v>87</v>
      </c>
      <c r="K599" t="s">
        <v>133</v>
      </c>
      <c r="L599" t="s">
        <v>133</v>
      </c>
      <c r="M599" t="s">
        <v>2828</v>
      </c>
      <c r="N599" t="s">
        <v>2862</v>
      </c>
      <c r="O599">
        <v>2768</v>
      </c>
      <c r="P599">
        <v>4880</v>
      </c>
    </row>
    <row r="600" spans="1:16" x14ac:dyDescent="0.3">
      <c r="A600" t="s">
        <v>2138</v>
      </c>
      <c r="B600" s="45">
        <v>45550</v>
      </c>
      <c r="C600" t="s">
        <v>390</v>
      </c>
      <c r="D600" t="s">
        <v>276</v>
      </c>
      <c r="E600" t="s">
        <v>154</v>
      </c>
      <c r="F600">
        <v>4</v>
      </c>
      <c r="G600">
        <v>3020</v>
      </c>
      <c r="H600">
        <v>17.8</v>
      </c>
      <c r="I600">
        <v>9929.76</v>
      </c>
      <c r="J600" t="s">
        <v>87</v>
      </c>
      <c r="K600" t="s">
        <v>88</v>
      </c>
      <c r="L600" t="s">
        <v>88</v>
      </c>
      <c r="M600" t="s">
        <v>2828</v>
      </c>
      <c r="N600" t="s">
        <v>2855</v>
      </c>
      <c r="O600">
        <v>1626</v>
      </c>
      <c r="P600">
        <v>3020</v>
      </c>
    </row>
    <row r="601" spans="1:16" x14ac:dyDescent="0.3">
      <c r="A601" t="s">
        <v>2141</v>
      </c>
      <c r="B601" s="45">
        <v>45310</v>
      </c>
      <c r="C601" t="s">
        <v>427</v>
      </c>
      <c r="D601" t="s">
        <v>380</v>
      </c>
      <c r="E601" t="s">
        <v>192</v>
      </c>
      <c r="F601">
        <v>8</v>
      </c>
      <c r="G601">
        <v>960</v>
      </c>
      <c r="H601">
        <v>20.9</v>
      </c>
      <c r="I601">
        <v>6074.88</v>
      </c>
      <c r="J601" t="s">
        <v>87</v>
      </c>
      <c r="K601" t="s">
        <v>88</v>
      </c>
      <c r="L601" t="s">
        <v>88</v>
      </c>
      <c r="M601" t="s">
        <v>2828</v>
      </c>
      <c r="N601" t="s">
        <v>2855</v>
      </c>
      <c r="O601">
        <v>675</v>
      </c>
      <c r="P601">
        <v>960</v>
      </c>
    </row>
    <row r="602" spans="1:16" x14ac:dyDescent="0.3">
      <c r="A602" t="s">
        <v>2142</v>
      </c>
      <c r="B602" s="45">
        <v>45498</v>
      </c>
      <c r="C602" t="s">
        <v>835</v>
      </c>
      <c r="D602" t="s">
        <v>380</v>
      </c>
      <c r="E602" t="s">
        <v>325</v>
      </c>
      <c r="F602">
        <v>4</v>
      </c>
      <c r="G602">
        <v>960</v>
      </c>
      <c r="H602">
        <v>29.1</v>
      </c>
      <c r="I602">
        <v>2722.56</v>
      </c>
      <c r="J602" t="s">
        <v>87</v>
      </c>
      <c r="K602" t="s">
        <v>117</v>
      </c>
      <c r="L602" t="s">
        <v>117</v>
      </c>
      <c r="M602" t="s">
        <v>2828</v>
      </c>
      <c r="N602" t="s">
        <v>2871</v>
      </c>
      <c r="O602">
        <v>675</v>
      </c>
      <c r="P602">
        <v>960</v>
      </c>
    </row>
    <row r="603" spans="1:16" x14ac:dyDescent="0.3">
      <c r="A603" t="s">
        <v>2144</v>
      </c>
      <c r="B603" s="45">
        <v>45400</v>
      </c>
      <c r="C603" t="s">
        <v>874</v>
      </c>
      <c r="D603" t="s">
        <v>241</v>
      </c>
      <c r="E603" t="s">
        <v>154</v>
      </c>
      <c r="F603">
        <v>5</v>
      </c>
      <c r="G603">
        <v>6080</v>
      </c>
      <c r="H603">
        <v>17.600000000000001</v>
      </c>
      <c r="I603">
        <v>25049.599999999999</v>
      </c>
      <c r="J603" t="s">
        <v>87</v>
      </c>
      <c r="K603" t="s">
        <v>112</v>
      </c>
      <c r="L603" t="s">
        <v>112</v>
      </c>
      <c r="M603" t="s">
        <v>2828</v>
      </c>
      <c r="N603" t="s">
        <v>2871</v>
      </c>
      <c r="O603">
        <v>2617</v>
      </c>
      <c r="P603">
        <v>6080</v>
      </c>
    </row>
    <row r="604" spans="1:16" x14ac:dyDescent="0.3">
      <c r="A604" t="s">
        <v>2150</v>
      </c>
      <c r="B604" s="45">
        <v>45307</v>
      </c>
      <c r="C604" t="s">
        <v>2151</v>
      </c>
      <c r="D604" t="s">
        <v>241</v>
      </c>
      <c r="E604" t="s">
        <v>188</v>
      </c>
      <c r="F604">
        <v>2</v>
      </c>
      <c r="G604">
        <v>6080</v>
      </c>
      <c r="H604">
        <v>20.100000000000001</v>
      </c>
      <c r="I604">
        <v>9715.84</v>
      </c>
      <c r="J604" t="s">
        <v>140</v>
      </c>
      <c r="K604" t="s">
        <v>112</v>
      </c>
      <c r="L604" t="s">
        <v>112</v>
      </c>
      <c r="M604" t="s">
        <v>2828</v>
      </c>
      <c r="N604" t="s">
        <v>2855</v>
      </c>
      <c r="O604">
        <v>2617</v>
      </c>
      <c r="P604">
        <v>6080</v>
      </c>
    </row>
    <row r="605" spans="1:16" x14ac:dyDescent="0.3">
      <c r="A605" t="s">
        <v>2157</v>
      </c>
      <c r="B605" s="45">
        <v>45643</v>
      </c>
      <c r="C605" t="s">
        <v>299</v>
      </c>
      <c r="D605" t="s">
        <v>276</v>
      </c>
      <c r="E605" t="s">
        <v>229</v>
      </c>
      <c r="F605">
        <v>5</v>
      </c>
      <c r="G605">
        <v>3020</v>
      </c>
      <c r="H605">
        <v>26.2</v>
      </c>
      <c r="I605">
        <v>11143.8</v>
      </c>
      <c r="J605" t="s">
        <v>87</v>
      </c>
      <c r="K605" t="s">
        <v>133</v>
      </c>
      <c r="L605" t="s">
        <v>133</v>
      </c>
      <c r="M605" t="s">
        <v>2828</v>
      </c>
      <c r="N605" t="s">
        <v>2871</v>
      </c>
      <c r="O605">
        <v>1626</v>
      </c>
      <c r="P605">
        <v>3020</v>
      </c>
    </row>
    <row r="606" spans="1:16" x14ac:dyDescent="0.3">
      <c r="A606" t="s">
        <v>1458</v>
      </c>
      <c r="B606" s="45">
        <v>45467</v>
      </c>
      <c r="C606" t="s">
        <v>278</v>
      </c>
      <c r="D606" t="s">
        <v>179</v>
      </c>
      <c r="E606" t="s">
        <v>215</v>
      </c>
      <c r="F606">
        <v>3</v>
      </c>
      <c r="G606">
        <v>3350</v>
      </c>
      <c r="H606">
        <v>8.1</v>
      </c>
      <c r="I606">
        <v>9235.9500000000007</v>
      </c>
      <c r="J606" t="s">
        <v>87</v>
      </c>
      <c r="K606" t="s">
        <v>133</v>
      </c>
      <c r="L606" t="s">
        <v>133</v>
      </c>
      <c r="M606" t="s">
        <v>2828</v>
      </c>
      <c r="N606" t="s">
        <v>2879</v>
      </c>
      <c r="O606">
        <v>1728</v>
      </c>
      <c r="P606">
        <v>3350</v>
      </c>
    </row>
    <row r="607" spans="1:16" x14ac:dyDescent="0.3">
      <c r="A607" t="s">
        <v>2159</v>
      </c>
      <c r="B607" s="45">
        <v>45542</v>
      </c>
      <c r="C607" t="s">
        <v>720</v>
      </c>
      <c r="D607" t="s">
        <v>386</v>
      </c>
      <c r="E607" t="s">
        <v>111</v>
      </c>
      <c r="F607">
        <v>10</v>
      </c>
      <c r="G607">
        <v>2290</v>
      </c>
      <c r="H607">
        <v>7</v>
      </c>
      <c r="I607">
        <v>21297</v>
      </c>
      <c r="J607" t="s">
        <v>87</v>
      </c>
      <c r="K607" t="s">
        <v>88</v>
      </c>
      <c r="L607" t="s">
        <v>88</v>
      </c>
      <c r="M607" t="s">
        <v>2828</v>
      </c>
      <c r="N607" t="s">
        <v>2871</v>
      </c>
      <c r="O607">
        <v>1219</v>
      </c>
      <c r="P607">
        <v>2290</v>
      </c>
    </row>
    <row r="608" spans="1:16" x14ac:dyDescent="0.3">
      <c r="A608" t="s">
        <v>2167</v>
      </c>
      <c r="B608" s="45">
        <v>45509</v>
      </c>
      <c r="C608" t="s">
        <v>166</v>
      </c>
      <c r="D608" t="s">
        <v>191</v>
      </c>
      <c r="E608" t="s">
        <v>204</v>
      </c>
      <c r="F608">
        <v>3</v>
      </c>
      <c r="G608">
        <v>5100</v>
      </c>
      <c r="H608">
        <v>21</v>
      </c>
      <c r="I608">
        <v>12087</v>
      </c>
      <c r="J608" t="s">
        <v>87</v>
      </c>
      <c r="K608" t="s">
        <v>133</v>
      </c>
      <c r="L608" t="s">
        <v>133</v>
      </c>
      <c r="M608" t="s">
        <v>2828</v>
      </c>
      <c r="N608" t="s">
        <v>2855</v>
      </c>
      <c r="O608">
        <v>2237</v>
      </c>
      <c r="P608">
        <v>5100</v>
      </c>
    </row>
    <row r="609" spans="1:16" x14ac:dyDescent="0.3">
      <c r="A609" t="s">
        <v>2169</v>
      </c>
      <c r="B609" s="45">
        <v>45524</v>
      </c>
      <c r="C609" t="s">
        <v>2170</v>
      </c>
      <c r="D609" t="s">
        <v>259</v>
      </c>
      <c r="E609" t="s">
        <v>92</v>
      </c>
      <c r="F609">
        <v>9</v>
      </c>
      <c r="G609">
        <v>1540</v>
      </c>
      <c r="H609">
        <v>18.2</v>
      </c>
      <c r="I609">
        <v>11337.48</v>
      </c>
      <c r="J609" t="s">
        <v>140</v>
      </c>
      <c r="K609" t="s">
        <v>117</v>
      </c>
      <c r="L609" t="s">
        <v>117</v>
      </c>
      <c r="M609" t="s">
        <v>2828</v>
      </c>
      <c r="N609" t="s">
        <v>2871</v>
      </c>
      <c r="O609">
        <v>647</v>
      </c>
      <c r="P609">
        <v>1540</v>
      </c>
    </row>
    <row r="610" spans="1:16" x14ac:dyDescent="0.3">
      <c r="A610" t="s">
        <v>2171</v>
      </c>
      <c r="B610" s="45">
        <v>45431</v>
      </c>
      <c r="C610" t="s">
        <v>153</v>
      </c>
      <c r="D610" t="s">
        <v>157</v>
      </c>
      <c r="E610" t="s">
        <v>116</v>
      </c>
      <c r="F610">
        <v>4</v>
      </c>
      <c r="G610">
        <v>3450</v>
      </c>
      <c r="H610">
        <v>26.4</v>
      </c>
      <c r="I610">
        <v>10156.799999999999</v>
      </c>
      <c r="J610" t="s">
        <v>93</v>
      </c>
      <c r="K610" t="s">
        <v>117</v>
      </c>
      <c r="L610" t="s">
        <v>117</v>
      </c>
      <c r="M610" t="s">
        <v>2828</v>
      </c>
      <c r="N610" t="s">
        <v>2879</v>
      </c>
      <c r="O610">
        <v>2420</v>
      </c>
      <c r="P610">
        <v>3450</v>
      </c>
    </row>
    <row r="611" spans="1:16" x14ac:dyDescent="0.3">
      <c r="A611" t="s">
        <v>2176</v>
      </c>
      <c r="B611" s="45">
        <v>45574</v>
      </c>
      <c r="C611" t="s">
        <v>757</v>
      </c>
      <c r="D611" t="s">
        <v>386</v>
      </c>
      <c r="E611" t="s">
        <v>201</v>
      </c>
      <c r="F611">
        <v>5</v>
      </c>
      <c r="G611">
        <v>2290</v>
      </c>
      <c r="H611">
        <v>27.6</v>
      </c>
      <c r="I611">
        <v>8289.7999999999993</v>
      </c>
      <c r="J611" t="s">
        <v>87</v>
      </c>
      <c r="K611" t="s">
        <v>117</v>
      </c>
      <c r="L611" t="s">
        <v>117</v>
      </c>
      <c r="M611" t="s">
        <v>2828</v>
      </c>
      <c r="N611" t="s">
        <v>2879</v>
      </c>
      <c r="O611">
        <v>1219</v>
      </c>
      <c r="P611">
        <v>2290</v>
      </c>
    </row>
    <row r="612" spans="1:16" x14ac:dyDescent="0.3">
      <c r="A612" t="s">
        <v>2179</v>
      </c>
      <c r="B612" s="45">
        <v>45439</v>
      </c>
      <c r="C612" t="s">
        <v>557</v>
      </c>
      <c r="D612" t="s">
        <v>157</v>
      </c>
      <c r="E612" t="s">
        <v>192</v>
      </c>
      <c r="F612">
        <v>8</v>
      </c>
      <c r="G612">
        <v>3450</v>
      </c>
      <c r="H612">
        <v>25.5</v>
      </c>
      <c r="I612">
        <v>20562</v>
      </c>
      <c r="J612" t="s">
        <v>93</v>
      </c>
      <c r="K612" t="s">
        <v>112</v>
      </c>
      <c r="L612" t="s">
        <v>112</v>
      </c>
      <c r="M612" t="s">
        <v>2828</v>
      </c>
      <c r="N612" t="s">
        <v>2879</v>
      </c>
      <c r="O612">
        <v>2420</v>
      </c>
      <c r="P612">
        <v>3450</v>
      </c>
    </row>
    <row r="613" spans="1:16" x14ac:dyDescent="0.3">
      <c r="A613" t="s">
        <v>2183</v>
      </c>
      <c r="B613" s="45">
        <v>45332</v>
      </c>
      <c r="C613" t="s">
        <v>2184</v>
      </c>
      <c r="D613" t="s">
        <v>276</v>
      </c>
      <c r="E613" t="s">
        <v>252</v>
      </c>
      <c r="F613">
        <v>4</v>
      </c>
      <c r="G613">
        <v>3020</v>
      </c>
      <c r="H613">
        <v>8.1</v>
      </c>
      <c r="I613">
        <v>11101.52</v>
      </c>
      <c r="J613" t="s">
        <v>87</v>
      </c>
      <c r="K613" t="s">
        <v>133</v>
      </c>
      <c r="L613" t="s">
        <v>133</v>
      </c>
      <c r="M613" t="s">
        <v>2828</v>
      </c>
      <c r="N613" t="s">
        <v>2855</v>
      </c>
      <c r="O613">
        <v>1626</v>
      </c>
      <c r="P613">
        <v>3020</v>
      </c>
    </row>
    <row r="614" spans="1:16" x14ac:dyDescent="0.3">
      <c r="A614" t="s">
        <v>2188</v>
      </c>
      <c r="B614" s="45">
        <v>45403</v>
      </c>
      <c r="C614" t="s">
        <v>440</v>
      </c>
      <c r="D614" t="s">
        <v>157</v>
      </c>
      <c r="E614" t="s">
        <v>343</v>
      </c>
      <c r="F614">
        <v>5</v>
      </c>
      <c r="G614">
        <v>3450</v>
      </c>
      <c r="H614">
        <v>29.4</v>
      </c>
      <c r="I614">
        <v>12178.5</v>
      </c>
      <c r="J614" t="s">
        <v>87</v>
      </c>
      <c r="K614" t="s">
        <v>88</v>
      </c>
      <c r="L614" t="s">
        <v>88</v>
      </c>
      <c r="M614" t="s">
        <v>2828</v>
      </c>
      <c r="N614" t="s">
        <v>2879</v>
      </c>
      <c r="O614">
        <v>2420</v>
      </c>
      <c r="P614">
        <v>3450</v>
      </c>
    </row>
    <row r="615" spans="1:16" x14ac:dyDescent="0.3">
      <c r="A615" t="s">
        <v>2189</v>
      </c>
      <c r="B615" s="45">
        <v>45535</v>
      </c>
      <c r="C615" t="s">
        <v>850</v>
      </c>
      <c r="D615" t="s">
        <v>380</v>
      </c>
      <c r="E615" t="s">
        <v>303</v>
      </c>
      <c r="F615">
        <v>10</v>
      </c>
      <c r="G615">
        <v>960</v>
      </c>
      <c r="H615">
        <v>27</v>
      </c>
      <c r="I615">
        <v>7008</v>
      </c>
      <c r="J615" t="s">
        <v>140</v>
      </c>
      <c r="K615" t="s">
        <v>94</v>
      </c>
      <c r="L615" t="s">
        <v>94</v>
      </c>
      <c r="M615" t="s">
        <v>2828</v>
      </c>
      <c r="N615" t="s">
        <v>2862</v>
      </c>
      <c r="O615">
        <v>675</v>
      </c>
      <c r="P615">
        <v>960</v>
      </c>
    </row>
    <row r="616" spans="1:16" x14ac:dyDescent="0.3">
      <c r="A616" t="s">
        <v>2207</v>
      </c>
      <c r="B616" s="45">
        <v>45600</v>
      </c>
      <c r="C616" t="s">
        <v>299</v>
      </c>
      <c r="D616" t="s">
        <v>179</v>
      </c>
      <c r="E616" t="s">
        <v>111</v>
      </c>
      <c r="F616">
        <v>7</v>
      </c>
      <c r="G616">
        <v>3350</v>
      </c>
      <c r="H616">
        <v>13.4</v>
      </c>
      <c r="I616">
        <v>20307.7</v>
      </c>
      <c r="J616" t="s">
        <v>93</v>
      </c>
      <c r="K616" t="s">
        <v>133</v>
      </c>
      <c r="L616" t="s">
        <v>133</v>
      </c>
      <c r="M616" t="s">
        <v>2828</v>
      </c>
      <c r="N616" t="s">
        <v>2879</v>
      </c>
      <c r="O616">
        <v>1728</v>
      </c>
      <c r="P616">
        <v>3350</v>
      </c>
    </row>
    <row r="617" spans="1:16" x14ac:dyDescent="0.3">
      <c r="A617" t="s">
        <v>2209</v>
      </c>
      <c r="B617" s="45">
        <v>45456</v>
      </c>
      <c r="C617" t="s">
        <v>194</v>
      </c>
      <c r="D617" t="s">
        <v>276</v>
      </c>
      <c r="E617" t="s">
        <v>158</v>
      </c>
      <c r="F617">
        <v>1</v>
      </c>
      <c r="G617">
        <v>3020</v>
      </c>
      <c r="H617">
        <v>15.2</v>
      </c>
      <c r="I617">
        <v>2560.96</v>
      </c>
      <c r="J617" t="s">
        <v>140</v>
      </c>
      <c r="K617" t="s">
        <v>88</v>
      </c>
      <c r="L617" t="s">
        <v>88</v>
      </c>
      <c r="M617" t="s">
        <v>2828</v>
      </c>
      <c r="N617" t="s">
        <v>2862</v>
      </c>
      <c r="O617">
        <v>1626</v>
      </c>
      <c r="P617">
        <v>3020</v>
      </c>
    </row>
    <row r="618" spans="1:16" x14ac:dyDescent="0.3">
      <c r="A618" t="s">
        <v>2217</v>
      </c>
      <c r="B618" s="45">
        <v>45647</v>
      </c>
      <c r="C618" t="s">
        <v>895</v>
      </c>
      <c r="D618" t="s">
        <v>191</v>
      </c>
      <c r="E618" t="s">
        <v>343</v>
      </c>
      <c r="F618">
        <v>10</v>
      </c>
      <c r="G618">
        <v>5100</v>
      </c>
      <c r="H618">
        <v>12.7</v>
      </c>
      <c r="I618">
        <v>44523</v>
      </c>
      <c r="J618" t="s">
        <v>87</v>
      </c>
      <c r="K618" t="s">
        <v>117</v>
      </c>
      <c r="L618" t="s">
        <v>117</v>
      </c>
      <c r="M618" t="s">
        <v>2828</v>
      </c>
      <c r="N618" t="s">
        <v>2871</v>
      </c>
      <c r="O618">
        <v>2237</v>
      </c>
      <c r="P618">
        <v>5100</v>
      </c>
    </row>
    <row r="619" spans="1:16" x14ac:dyDescent="0.3">
      <c r="A619" t="s">
        <v>2230</v>
      </c>
      <c r="B619" s="45">
        <v>45460</v>
      </c>
      <c r="C619" t="s">
        <v>533</v>
      </c>
      <c r="D619" t="s">
        <v>386</v>
      </c>
      <c r="E619" t="s">
        <v>215</v>
      </c>
      <c r="F619">
        <v>3</v>
      </c>
      <c r="G619">
        <v>2290</v>
      </c>
      <c r="H619">
        <v>12.1</v>
      </c>
      <c r="I619">
        <v>6038.73</v>
      </c>
      <c r="J619" t="s">
        <v>87</v>
      </c>
      <c r="K619" t="s">
        <v>99</v>
      </c>
      <c r="L619" t="s">
        <v>99</v>
      </c>
      <c r="M619" t="s">
        <v>2828</v>
      </c>
      <c r="N619" t="s">
        <v>2862</v>
      </c>
      <c r="O619">
        <v>1219</v>
      </c>
      <c r="P619">
        <v>2290</v>
      </c>
    </row>
    <row r="620" spans="1:16" x14ac:dyDescent="0.3">
      <c r="A620" t="s">
        <v>2237</v>
      </c>
      <c r="B620" s="45">
        <v>45534</v>
      </c>
      <c r="C620" t="s">
        <v>823</v>
      </c>
      <c r="D620" t="s">
        <v>241</v>
      </c>
      <c r="E620" t="s">
        <v>128</v>
      </c>
      <c r="F620">
        <v>10</v>
      </c>
      <c r="G620">
        <v>6080</v>
      </c>
      <c r="H620">
        <v>18.899999999999999</v>
      </c>
      <c r="I620">
        <v>49308.800000000003</v>
      </c>
      <c r="J620" t="s">
        <v>87</v>
      </c>
      <c r="K620" t="s">
        <v>94</v>
      </c>
      <c r="L620" t="s">
        <v>94</v>
      </c>
      <c r="M620" t="s">
        <v>2828</v>
      </c>
      <c r="N620" t="s">
        <v>2862</v>
      </c>
      <c r="O620">
        <v>2617</v>
      </c>
      <c r="P620">
        <v>6080</v>
      </c>
    </row>
    <row r="621" spans="1:16" x14ac:dyDescent="0.3">
      <c r="A621" t="s">
        <v>2242</v>
      </c>
      <c r="B621" s="45">
        <v>45651</v>
      </c>
      <c r="C621" t="s">
        <v>697</v>
      </c>
      <c r="D621" t="s">
        <v>184</v>
      </c>
      <c r="E621" t="s">
        <v>325</v>
      </c>
      <c r="F621">
        <v>5</v>
      </c>
      <c r="G621">
        <v>4880</v>
      </c>
      <c r="H621">
        <v>22.9</v>
      </c>
      <c r="I621">
        <v>18812.400000000001</v>
      </c>
      <c r="J621" t="s">
        <v>87</v>
      </c>
      <c r="K621" t="s">
        <v>133</v>
      </c>
      <c r="L621" t="s">
        <v>133</v>
      </c>
      <c r="M621" t="s">
        <v>2828</v>
      </c>
      <c r="N621" t="s">
        <v>2855</v>
      </c>
      <c r="O621">
        <v>2768</v>
      </c>
      <c r="P621">
        <v>4880</v>
      </c>
    </row>
    <row r="622" spans="1:16" x14ac:dyDescent="0.3">
      <c r="A622" t="s">
        <v>2243</v>
      </c>
      <c r="B622" s="45">
        <v>45297</v>
      </c>
      <c r="C622" t="s">
        <v>741</v>
      </c>
      <c r="D622" t="s">
        <v>179</v>
      </c>
      <c r="E622" t="s">
        <v>192</v>
      </c>
      <c r="F622">
        <v>3</v>
      </c>
      <c r="G622">
        <v>3350</v>
      </c>
      <c r="H622">
        <v>15.2</v>
      </c>
      <c r="I622">
        <v>8522.4</v>
      </c>
      <c r="J622" t="s">
        <v>93</v>
      </c>
      <c r="K622" t="s">
        <v>133</v>
      </c>
      <c r="L622" t="s">
        <v>133</v>
      </c>
      <c r="M622" t="s">
        <v>2828</v>
      </c>
      <c r="N622" t="s">
        <v>2862</v>
      </c>
      <c r="O622">
        <v>1728</v>
      </c>
      <c r="P622">
        <v>3350</v>
      </c>
    </row>
    <row r="623" spans="1:16" x14ac:dyDescent="0.3">
      <c r="A623" t="s">
        <v>2245</v>
      </c>
      <c r="B623" s="45">
        <v>45444</v>
      </c>
      <c r="C623" t="s">
        <v>310</v>
      </c>
      <c r="D623" t="s">
        <v>157</v>
      </c>
      <c r="E623" t="s">
        <v>303</v>
      </c>
      <c r="F623">
        <v>5</v>
      </c>
      <c r="G623">
        <v>3450</v>
      </c>
      <c r="H623">
        <v>2.2999999999999998</v>
      </c>
      <c r="I623">
        <v>16853.25</v>
      </c>
      <c r="J623" t="s">
        <v>87</v>
      </c>
      <c r="K623" t="s">
        <v>117</v>
      </c>
      <c r="L623" t="s">
        <v>117</v>
      </c>
      <c r="M623" t="s">
        <v>2828</v>
      </c>
      <c r="N623" t="s">
        <v>2871</v>
      </c>
      <c r="O623">
        <v>2420</v>
      </c>
      <c r="P623">
        <v>3450</v>
      </c>
    </row>
    <row r="624" spans="1:16" x14ac:dyDescent="0.3">
      <c r="A624" t="s">
        <v>2248</v>
      </c>
      <c r="B624" s="45">
        <v>45469</v>
      </c>
      <c r="C624" t="s">
        <v>615</v>
      </c>
      <c r="D624" t="s">
        <v>276</v>
      </c>
      <c r="E624" t="s">
        <v>107</v>
      </c>
      <c r="F624">
        <v>7</v>
      </c>
      <c r="G624">
        <v>3020</v>
      </c>
      <c r="H624">
        <v>17.8</v>
      </c>
      <c r="I624">
        <v>17377.080000000002</v>
      </c>
      <c r="J624" t="s">
        <v>87</v>
      </c>
      <c r="K624" t="s">
        <v>112</v>
      </c>
      <c r="L624" t="s">
        <v>112</v>
      </c>
      <c r="M624" t="s">
        <v>2828</v>
      </c>
      <c r="N624" t="s">
        <v>2855</v>
      </c>
      <c r="O624">
        <v>1626</v>
      </c>
      <c r="P624">
        <v>3020</v>
      </c>
    </row>
    <row r="625" spans="1:16" x14ac:dyDescent="0.3">
      <c r="A625" t="s">
        <v>2258</v>
      </c>
      <c r="B625" s="45">
        <v>45302</v>
      </c>
      <c r="C625" t="s">
        <v>872</v>
      </c>
      <c r="D625" t="s">
        <v>179</v>
      </c>
      <c r="E625" t="s">
        <v>204</v>
      </c>
      <c r="F625">
        <v>9</v>
      </c>
      <c r="G625">
        <v>3350</v>
      </c>
      <c r="H625">
        <v>12.8</v>
      </c>
      <c r="I625">
        <v>26290.799999999999</v>
      </c>
      <c r="J625" t="s">
        <v>87</v>
      </c>
      <c r="K625" t="s">
        <v>112</v>
      </c>
      <c r="L625" t="s">
        <v>112</v>
      </c>
      <c r="M625" t="s">
        <v>2828</v>
      </c>
      <c r="N625" t="s">
        <v>2871</v>
      </c>
      <c r="O625">
        <v>1728</v>
      </c>
      <c r="P625">
        <v>3350</v>
      </c>
    </row>
    <row r="626" spans="1:16" x14ac:dyDescent="0.3">
      <c r="A626" t="s">
        <v>2280</v>
      </c>
      <c r="B626" s="45">
        <v>45606</v>
      </c>
      <c r="C626" t="s">
        <v>1350</v>
      </c>
      <c r="D626" t="s">
        <v>179</v>
      </c>
      <c r="E626" t="s">
        <v>297</v>
      </c>
      <c r="F626">
        <v>10</v>
      </c>
      <c r="G626">
        <v>3350</v>
      </c>
      <c r="H626">
        <v>12.1</v>
      </c>
      <c r="I626">
        <v>29446.5</v>
      </c>
      <c r="J626" t="s">
        <v>87</v>
      </c>
      <c r="K626" t="s">
        <v>112</v>
      </c>
      <c r="L626" t="s">
        <v>112</v>
      </c>
      <c r="M626" t="s">
        <v>2828</v>
      </c>
      <c r="N626" t="s">
        <v>2879</v>
      </c>
      <c r="O626">
        <v>1728</v>
      </c>
      <c r="P626">
        <v>3350</v>
      </c>
    </row>
    <row r="627" spans="1:16" x14ac:dyDescent="0.3">
      <c r="A627" t="s">
        <v>2281</v>
      </c>
      <c r="B627" s="45">
        <v>45562</v>
      </c>
      <c r="C627" t="s">
        <v>585</v>
      </c>
      <c r="D627" t="s">
        <v>241</v>
      </c>
      <c r="E627" t="s">
        <v>188</v>
      </c>
      <c r="F627">
        <v>4</v>
      </c>
      <c r="G627">
        <v>6080</v>
      </c>
      <c r="H627">
        <v>26.7</v>
      </c>
      <c r="I627">
        <v>17826.560000000001</v>
      </c>
      <c r="J627" t="s">
        <v>140</v>
      </c>
      <c r="K627" t="s">
        <v>94</v>
      </c>
      <c r="L627" t="s">
        <v>94</v>
      </c>
      <c r="M627" t="s">
        <v>2828</v>
      </c>
      <c r="N627" t="s">
        <v>2862</v>
      </c>
      <c r="O627">
        <v>2617</v>
      </c>
      <c r="P627">
        <v>6080</v>
      </c>
    </row>
    <row r="628" spans="1:16" x14ac:dyDescent="0.3">
      <c r="A628" t="s">
        <v>2282</v>
      </c>
      <c r="B628" s="45">
        <v>45372</v>
      </c>
      <c r="C628" t="s">
        <v>697</v>
      </c>
      <c r="D628" t="s">
        <v>380</v>
      </c>
      <c r="E628" t="s">
        <v>297</v>
      </c>
      <c r="F628">
        <v>3</v>
      </c>
      <c r="G628">
        <v>960</v>
      </c>
      <c r="H628">
        <v>13.2</v>
      </c>
      <c r="I628">
        <v>2499.84</v>
      </c>
      <c r="J628" t="s">
        <v>87</v>
      </c>
      <c r="K628" t="s">
        <v>133</v>
      </c>
      <c r="L628" t="s">
        <v>133</v>
      </c>
      <c r="M628" t="s">
        <v>2828</v>
      </c>
      <c r="N628" t="s">
        <v>2879</v>
      </c>
      <c r="O628">
        <v>675</v>
      </c>
      <c r="P628">
        <v>960</v>
      </c>
    </row>
    <row r="629" spans="1:16" x14ac:dyDescent="0.3">
      <c r="A629" t="s">
        <v>2284</v>
      </c>
      <c r="B629" s="45">
        <v>45388</v>
      </c>
      <c r="C629" t="s">
        <v>405</v>
      </c>
      <c r="D629" t="s">
        <v>157</v>
      </c>
      <c r="E629" t="s">
        <v>121</v>
      </c>
      <c r="F629">
        <v>6</v>
      </c>
      <c r="G629">
        <v>3450</v>
      </c>
      <c r="H629">
        <v>8.1999999999999993</v>
      </c>
      <c r="I629">
        <v>19002.599999999999</v>
      </c>
      <c r="J629" t="s">
        <v>87</v>
      </c>
      <c r="K629" t="s">
        <v>94</v>
      </c>
      <c r="L629" t="s">
        <v>94</v>
      </c>
      <c r="M629" t="s">
        <v>2828</v>
      </c>
      <c r="N629" t="s">
        <v>2871</v>
      </c>
      <c r="O629">
        <v>2420</v>
      </c>
      <c r="P629">
        <v>3450</v>
      </c>
    </row>
    <row r="630" spans="1:16" x14ac:dyDescent="0.3">
      <c r="A630" t="s">
        <v>2295</v>
      </c>
      <c r="B630" s="45">
        <v>45634</v>
      </c>
      <c r="C630" t="s">
        <v>602</v>
      </c>
      <c r="D630" t="s">
        <v>176</v>
      </c>
      <c r="E630" t="s">
        <v>343</v>
      </c>
      <c r="F630">
        <v>9</v>
      </c>
      <c r="G630">
        <v>1650</v>
      </c>
      <c r="H630">
        <v>26.8</v>
      </c>
      <c r="I630">
        <v>10870.2</v>
      </c>
      <c r="J630" t="s">
        <v>87</v>
      </c>
      <c r="K630" t="s">
        <v>94</v>
      </c>
      <c r="L630" t="s">
        <v>94</v>
      </c>
      <c r="M630" t="s">
        <v>2828</v>
      </c>
      <c r="N630" t="s">
        <v>2862</v>
      </c>
      <c r="O630">
        <v>1222</v>
      </c>
      <c r="P630">
        <v>1650</v>
      </c>
    </row>
    <row r="631" spans="1:16" x14ac:dyDescent="0.3">
      <c r="A631" t="s">
        <v>2296</v>
      </c>
      <c r="B631" s="45">
        <v>45560</v>
      </c>
      <c r="C631" t="s">
        <v>717</v>
      </c>
      <c r="D631" t="s">
        <v>276</v>
      </c>
      <c r="E631" t="s">
        <v>107</v>
      </c>
      <c r="F631">
        <v>10</v>
      </c>
      <c r="G631">
        <v>3020</v>
      </c>
      <c r="H631">
        <v>2.6</v>
      </c>
      <c r="I631">
        <v>29414.799999999999</v>
      </c>
      <c r="J631" t="s">
        <v>87</v>
      </c>
      <c r="K631" t="s">
        <v>94</v>
      </c>
      <c r="L631" t="s">
        <v>94</v>
      </c>
      <c r="M631" t="s">
        <v>2828</v>
      </c>
      <c r="N631" t="s">
        <v>2855</v>
      </c>
      <c r="O631">
        <v>1626</v>
      </c>
      <c r="P631">
        <v>3020</v>
      </c>
    </row>
    <row r="632" spans="1:16" x14ac:dyDescent="0.3">
      <c r="A632" t="s">
        <v>2308</v>
      </c>
      <c r="B632" s="45">
        <v>45403</v>
      </c>
      <c r="C632" t="s">
        <v>522</v>
      </c>
      <c r="D632" t="s">
        <v>380</v>
      </c>
      <c r="E632" t="s">
        <v>201</v>
      </c>
      <c r="F632">
        <v>10</v>
      </c>
      <c r="G632">
        <v>960</v>
      </c>
      <c r="H632">
        <v>14.6</v>
      </c>
      <c r="I632">
        <v>8198.4</v>
      </c>
      <c r="J632" t="s">
        <v>87</v>
      </c>
      <c r="K632" t="s">
        <v>99</v>
      </c>
      <c r="L632" t="s">
        <v>99</v>
      </c>
      <c r="M632" t="s">
        <v>2828</v>
      </c>
      <c r="N632" t="s">
        <v>2862</v>
      </c>
      <c r="O632">
        <v>675</v>
      </c>
      <c r="P632">
        <v>960</v>
      </c>
    </row>
    <row r="633" spans="1:16" x14ac:dyDescent="0.3">
      <c r="A633" t="s">
        <v>2309</v>
      </c>
      <c r="B633" s="45">
        <v>45600</v>
      </c>
      <c r="C633" t="s">
        <v>231</v>
      </c>
      <c r="D633" t="s">
        <v>276</v>
      </c>
      <c r="E633" t="s">
        <v>346</v>
      </c>
      <c r="F633">
        <v>8</v>
      </c>
      <c r="G633">
        <v>3020</v>
      </c>
      <c r="H633">
        <v>14.5</v>
      </c>
      <c r="I633">
        <v>20656.8</v>
      </c>
      <c r="J633" t="s">
        <v>87</v>
      </c>
      <c r="K633" t="s">
        <v>117</v>
      </c>
      <c r="L633" t="s">
        <v>117</v>
      </c>
      <c r="M633" t="s">
        <v>2828</v>
      </c>
      <c r="N633" t="s">
        <v>2855</v>
      </c>
      <c r="O633">
        <v>1626</v>
      </c>
      <c r="P633">
        <v>3020</v>
      </c>
    </row>
    <row r="634" spans="1:16" x14ac:dyDescent="0.3">
      <c r="A634" t="s">
        <v>2025</v>
      </c>
      <c r="B634" s="45">
        <v>45387</v>
      </c>
      <c r="C634" t="s">
        <v>233</v>
      </c>
      <c r="D634" t="s">
        <v>386</v>
      </c>
      <c r="E634" t="s">
        <v>116</v>
      </c>
      <c r="F634">
        <v>10</v>
      </c>
      <c r="G634">
        <v>2290</v>
      </c>
      <c r="H634">
        <v>22.2</v>
      </c>
      <c r="I634">
        <v>17816.2</v>
      </c>
      <c r="J634" t="s">
        <v>87</v>
      </c>
      <c r="K634" t="s">
        <v>88</v>
      </c>
      <c r="L634" t="s">
        <v>88</v>
      </c>
      <c r="M634" t="s">
        <v>2828</v>
      </c>
      <c r="N634" t="s">
        <v>2871</v>
      </c>
      <c r="O634">
        <v>1219</v>
      </c>
      <c r="P634">
        <v>2290</v>
      </c>
    </row>
    <row r="635" spans="1:16" x14ac:dyDescent="0.3">
      <c r="A635" t="s">
        <v>2333</v>
      </c>
      <c r="B635" s="45">
        <v>45555</v>
      </c>
      <c r="C635" t="s">
        <v>1065</v>
      </c>
      <c r="D635" t="s">
        <v>380</v>
      </c>
      <c r="E635" t="s">
        <v>92</v>
      </c>
      <c r="F635">
        <v>8</v>
      </c>
      <c r="G635">
        <v>960</v>
      </c>
      <c r="H635">
        <v>20.3</v>
      </c>
      <c r="I635">
        <v>6120.96</v>
      </c>
      <c r="J635" t="s">
        <v>93</v>
      </c>
      <c r="K635" t="s">
        <v>94</v>
      </c>
      <c r="L635" t="s">
        <v>94</v>
      </c>
      <c r="M635" t="s">
        <v>2828</v>
      </c>
      <c r="N635" t="s">
        <v>2862</v>
      </c>
      <c r="O635">
        <v>675</v>
      </c>
      <c r="P635">
        <v>960</v>
      </c>
    </row>
    <row r="636" spans="1:16" x14ac:dyDescent="0.3">
      <c r="A636" t="s">
        <v>2338</v>
      </c>
      <c r="B636" s="45">
        <v>45492</v>
      </c>
      <c r="C636" t="s">
        <v>105</v>
      </c>
      <c r="D636" t="s">
        <v>179</v>
      </c>
      <c r="E636" t="s">
        <v>346</v>
      </c>
      <c r="F636">
        <v>4</v>
      </c>
      <c r="G636">
        <v>3350</v>
      </c>
      <c r="H636">
        <v>5.8</v>
      </c>
      <c r="I636">
        <v>12622.8</v>
      </c>
      <c r="J636" t="s">
        <v>93</v>
      </c>
      <c r="K636" t="s">
        <v>94</v>
      </c>
      <c r="L636" t="s">
        <v>94</v>
      </c>
      <c r="M636" t="s">
        <v>2828</v>
      </c>
      <c r="N636" t="s">
        <v>2862</v>
      </c>
      <c r="O636">
        <v>1728</v>
      </c>
      <c r="P636">
        <v>3350</v>
      </c>
    </row>
    <row r="637" spans="1:16" x14ac:dyDescent="0.3">
      <c r="A637" t="s">
        <v>2340</v>
      </c>
      <c r="B637" s="45">
        <v>45344</v>
      </c>
      <c r="C637" t="s">
        <v>153</v>
      </c>
      <c r="D637" t="s">
        <v>176</v>
      </c>
      <c r="E637" t="s">
        <v>343</v>
      </c>
      <c r="F637">
        <v>10</v>
      </c>
      <c r="G637">
        <v>1650</v>
      </c>
      <c r="H637">
        <v>22.5</v>
      </c>
      <c r="I637">
        <v>12787.5</v>
      </c>
      <c r="J637" t="s">
        <v>140</v>
      </c>
      <c r="K637" t="s">
        <v>117</v>
      </c>
      <c r="L637" t="s">
        <v>117</v>
      </c>
      <c r="M637" t="s">
        <v>2828</v>
      </c>
      <c r="N637" t="s">
        <v>2871</v>
      </c>
      <c r="O637">
        <v>1222</v>
      </c>
      <c r="P637">
        <v>1650</v>
      </c>
    </row>
    <row r="638" spans="1:16" x14ac:dyDescent="0.3">
      <c r="A638" t="s">
        <v>2342</v>
      </c>
      <c r="B638" s="45">
        <v>45521</v>
      </c>
      <c r="C638" t="s">
        <v>312</v>
      </c>
      <c r="D638" t="s">
        <v>380</v>
      </c>
      <c r="E638" t="s">
        <v>201</v>
      </c>
      <c r="F638">
        <v>7</v>
      </c>
      <c r="G638">
        <v>960</v>
      </c>
      <c r="H638">
        <v>5.4</v>
      </c>
      <c r="I638">
        <v>6357.12</v>
      </c>
      <c r="J638" t="s">
        <v>144</v>
      </c>
      <c r="K638" t="s">
        <v>133</v>
      </c>
      <c r="L638" t="s">
        <v>133</v>
      </c>
      <c r="M638" t="s">
        <v>2828</v>
      </c>
      <c r="N638" t="s">
        <v>2871</v>
      </c>
      <c r="O638">
        <v>675</v>
      </c>
      <c r="P638">
        <v>960</v>
      </c>
    </row>
    <row r="639" spans="1:16" x14ac:dyDescent="0.3">
      <c r="A639" t="s">
        <v>2343</v>
      </c>
      <c r="B639" s="45">
        <v>45389</v>
      </c>
      <c r="C639" t="s">
        <v>905</v>
      </c>
      <c r="D639" t="s">
        <v>184</v>
      </c>
      <c r="E639" t="s">
        <v>98</v>
      </c>
      <c r="F639">
        <v>3</v>
      </c>
      <c r="G639">
        <v>4880</v>
      </c>
      <c r="H639">
        <v>17.100000000000001</v>
      </c>
      <c r="I639">
        <v>12136.56</v>
      </c>
      <c r="J639" t="s">
        <v>87</v>
      </c>
      <c r="K639" t="s">
        <v>112</v>
      </c>
      <c r="L639" t="s">
        <v>112</v>
      </c>
      <c r="M639" t="s">
        <v>2828</v>
      </c>
      <c r="N639" t="s">
        <v>2855</v>
      </c>
      <c r="O639">
        <v>2768</v>
      </c>
      <c r="P639">
        <v>4880</v>
      </c>
    </row>
    <row r="640" spans="1:16" x14ac:dyDescent="0.3">
      <c r="A640" t="s">
        <v>2348</v>
      </c>
      <c r="B640" s="45">
        <v>45527</v>
      </c>
      <c r="C640" t="s">
        <v>501</v>
      </c>
      <c r="D640" t="s">
        <v>276</v>
      </c>
      <c r="E640" t="s">
        <v>128</v>
      </c>
      <c r="F640">
        <v>1</v>
      </c>
      <c r="G640">
        <v>3020</v>
      </c>
      <c r="H640">
        <v>10.3</v>
      </c>
      <c r="I640">
        <v>2708.94</v>
      </c>
      <c r="J640" t="s">
        <v>87</v>
      </c>
      <c r="K640" t="s">
        <v>133</v>
      </c>
      <c r="L640" t="s">
        <v>133</v>
      </c>
      <c r="M640" t="s">
        <v>2828</v>
      </c>
      <c r="N640" t="s">
        <v>2879</v>
      </c>
      <c r="O640">
        <v>1626</v>
      </c>
      <c r="P640">
        <v>3020</v>
      </c>
    </row>
    <row r="641" spans="1:16" x14ac:dyDescent="0.3">
      <c r="A641" t="s">
        <v>2358</v>
      </c>
      <c r="B641" s="45">
        <v>45533</v>
      </c>
      <c r="C641" t="s">
        <v>457</v>
      </c>
      <c r="D641" t="s">
        <v>191</v>
      </c>
      <c r="E641" t="s">
        <v>103</v>
      </c>
      <c r="F641">
        <v>7</v>
      </c>
      <c r="G641">
        <v>5100</v>
      </c>
      <c r="H641">
        <v>22.9</v>
      </c>
      <c r="I641">
        <v>27524.7</v>
      </c>
      <c r="J641" t="s">
        <v>140</v>
      </c>
      <c r="K641" t="s">
        <v>88</v>
      </c>
      <c r="L641" t="s">
        <v>88</v>
      </c>
      <c r="M641" t="s">
        <v>2828</v>
      </c>
      <c r="N641" t="s">
        <v>2871</v>
      </c>
      <c r="O641">
        <v>2237</v>
      </c>
      <c r="P641">
        <v>5100</v>
      </c>
    </row>
    <row r="642" spans="1:16" x14ac:dyDescent="0.3">
      <c r="A642" t="s">
        <v>2365</v>
      </c>
      <c r="B642" s="45">
        <v>45295</v>
      </c>
      <c r="C642" t="s">
        <v>921</v>
      </c>
      <c r="D642" t="s">
        <v>386</v>
      </c>
      <c r="E642" t="s">
        <v>303</v>
      </c>
      <c r="F642">
        <v>6</v>
      </c>
      <c r="G642">
        <v>2290</v>
      </c>
      <c r="H642">
        <v>26.8</v>
      </c>
      <c r="I642">
        <v>10057.68</v>
      </c>
      <c r="J642" t="s">
        <v>144</v>
      </c>
      <c r="K642" t="s">
        <v>117</v>
      </c>
      <c r="L642" t="s">
        <v>117</v>
      </c>
      <c r="M642" t="s">
        <v>2828</v>
      </c>
      <c r="N642" t="s">
        <v>2855</v>
      </c>
      <c r="O642">
        <v>1219</v>
      </c>
      <c r="P642">
        <v>2290</v>
      </c>
    </row>
    <row r="643" spans="1:16" x14ac:dyDescent="0.3">
      <c r="A643" t="s">
        <v>2378</v>
      </c>
      <c r="B643" s="45">
        <v>45366</v>
      </c>
      <c r="C643" t="s">
        <v>272</v>
      </c>
      <c r="D643" t="s">
        <v>191</v>
      </c>
      <c r="E643" t="s">
        <v>238</v>
      </c>
      <c r="F643">
        <v>9</v>
      </c>
      <c r="G643">
        <v>5100</v>
      </c>
      <c r="H643">
        <v>2.4</v>
      </c>
      <c r="I643">
        <v>44798.400000000001</v>
      </c>
      <c r="J643" t="s">
        <v>87</v>
      </c>
      <c r="K643" t="s">
        <v>94</v>
      </c>
      <c r="L643" t="s">
        <v>94</v>
      </c>
      <c r="M643" t="s">
        <v>2828</v>
      </c>
      <c r="N643" t="s">
        <v>2855</v>
      </c>
      <c r="O643">
        <v>2237</v>
      </c>
      <c r="P643">
        <v>5100</v>
      </c>
    </row>
    <row r="644" spans="1:16" x14ac:dyDescent="0.3">
      <c r="A644" t="s">
        <v>2383</v>
      </c>
      <c r="B644" s="45">
        <v>45457</v>
      </c>
      <c r="C644" t="s">
        <v>382</v>
      </c>
      <c r="D644" t="s">
        <v>176</v>
      </c>
      <c r="E644" t="s">
        <v>297</v>
      </c>
      <c r="F644">
        <v>1</v>
      </c>
      <c r="G644">
        <v>1650</v>
      </c>
      <c r="H644">
        <v>19.7</v>
      </c>
      <c r="I644">
        <v>1324.95</v>
      </c>
      <c r="J644" t="s">
        <v>87</v>
      </c>
      <c r="K644" t="s">
        <v>99</v>
      </c>
      <c r="L644" t="s">
        <v>99</v>
      </c>
      <c r="M644" t="s">
        <v>2828</v>
      </c>
      <c r="N644" t="s">
        <v>2862</v>
      </c>
      <c r="O644">
        <v>1222</v>
      </c>
      <c r="P644">
        <v>1650</v>
      </c>
    </row>
    <row r="645" spans="1:16" x14ac:dyDescent="0.3">
      <c r="A645" t="s">
        <v>2396</v>
      </c>
      <c r="B645" s="45">
        <v>45493</v>
      </c>
      <c r="C645" t="s">
        <v>156</v>
      </c>
      <c r="D645" t="s">
        <v>184</v>
      </c>
      <c r="E645" t="s">
        <v>170</v>
      </c>
      <c r="F645">
        <v>2</v>
      </c>
      <c r="G645">
        <v>4880</v>
      </c>
      <c r="H645">
        <v>11</v>
      </c>
      <c r="I645">
        <v>8686.4</v>
      </c>
      <c r="J645" t="s">
        <v>87</v>
      </c>
      <c r="K645" t="s">
        <v>133</v>
      </c>
      <c r="L645" t="s">
        <v>133</v>
      </c>
      <c r="M645" t="s">
        <v>2828</v>
      </c>
      <c r="N645" t="s">
        <v>2879</v>
      </c>
      <c r="O645">
        <v>2768</v>
      </c>
      <c r="P645">
        <v>4880</v>
      </c>
    </row>
    <row r="646" spans="1:16" x14ac:dyDescent="0.3">
      <c r="A646" t="s">
        <v>2398</v>
      </c>
      <c r="B646" s="45">
        <v>45449</v>
      </c>
      <c r="C646" t="s">
        <v>1104</v>
      </c>
      <c r="D646" t="s">
        <v>386</v>
      </c>
      <c r="E646" t="s">
        <v>148</v>
      </c>
      <c r="F646">
        <v>3</v>
      </c>
      <c r="G646">
        <v>2290</v>
      </c>
      <c r="H646">
        <v>11.1</v>
      </c>
      <c r="I646">
        <v>6107.43</v>
      </c>
      <c r="J646" t="s">
        <v>140</v>
      </c>
      <c r="K646" t="s">
        <v>117</v>
      </c>
      <c r="L646" t="s">
        <v>117</v>
      </c>
      <c r="M646" t="s">
        <v>2828</v>
      </c>
      <c r="N646" t="s">
        <v>2855</v>
      </c>
      <c r="O646">
        <v>1219</v>
      </c>
      <c r="P646">
        <v>2290</v>
      </c>
    </row>
    <row r="647" spans="1:16" x14ac:dyDescent="0.3">
      <c r="A647" t="s">
        <v>2411</v>
      </c>
      <c r="B647" s="45">
        <v>45535</v>
      </c>
      <c r="C647" t="s">
        <v>357</v>
      </c>
      <c r="D647" t="s">
        <v>241</v>
      </c>
      <c r="E647" t="s">
        <v>188</v>
      </c>
      <c r="F647">
        <v>9</v>
      </c>
      <c r="G647">
        <v>6080</v>
      </c>
      <c r="H647">
        <v>21</v>
      </c>
      <c r="I647">
        <v>43228.800000000003</v>
      </c>
      <c r="J647" t="s">
        <v>87</v>
      </c>
      <c r="K647" t="s">
        <v>99</v>
      </c>
      <c r="L647" t="s">
        <v>99</v>
      </c>
      <c r="M647" t="s">
        <v>2828</v>
      </c>
      <c r="N647" t="s">
        <v>2862</v>
      </c>
      <c r="O647">
        <v>2617</v>
      </c>
      <c r="P647">
        <v>6080</v>
      </c>
    </row>
    <row r="648" spans="1:16" x14ac:dyDescent="0.3">
      <c r="A648" t="s">
        <v>2414</v>
      </c>
      <c r="B648" s="45">
        <v>45550</v>
      </c>
      <c r="C648" t="s">
        <v>553</v>
      </c>
      <c r="D648" t="s">
        <v>179</v>
      </c>
      <c r="E648" t="s">
        <v>238</v>
      </c>
      <c r="F648">
        <v>5</v>
      </c>
      <c r="G648">
        <v>3350</v>
      </c>
      <c r="H648">
        <v>2.2000000000000002</v>
      </c>
      <c r="I648">
        <v>16381.5</v>
      </c>
      <c r="J648" t="s">
        <v>87</v>
      </c>
      <c r="K648" t="s">
        <v>112</v>
      </c>
      <c r="L648" t="s">
        <v>112</v>
      </c>
      <c r="M648" t="s">
        <v>2828</v>
      </c>
      <c r="N648" t="s">
        <v>2862</v>
      </c>
      <c r="O648">
        <v>1728</v>
      </c>
      <c r="P648">
        <v>3350</v>
      </c>
    </row>
    <row r="649" spans="1:16" x14ac:dyDescent="0.3">
      <c r="A649" t="s">
        <v>2416</v>
      </c>
      <c r="B649" s="45">
        <v>45352</v>
      </c>
      <c r="C649" t="s">
        <v>178</v>
      </c>
      <c r="D649" t="s">
        <v>184</v>
      </c>
      <c r="E649" t="s">
        <v>192</v>
      </c>
      <c r="F649">
        <v>4</v>
      </c>
      <c r="G649">
        <v>4880</v>
      </c>
      <c r="H649">
        <v>11.6</v>
      </c>
      <c r="I649">
        <v>17255.68</v>
      </c>
      <c r="J649" t="s">
        <v>87</v>
      </c>
      <c r="K649" t="s">
        <v>94</v>
      </c>
      <c r="L649" t="s">
        <v>94</v>
      </c>
      <c r="M649" t="s">
        <v>2828</v>
      </c>
      <c r="N649" t="s">
        <v>2879</v>
      </c>
      <c r="O649">
        <v>2768</v>
      </c>
      <c r="P649">
        <v>4880</v>
      </c>
    </row>
    <row r="650" spans="1:16" x14ac:dyDescent="0.3">
      <c r="A650" t="s">
        <v>2417</v>
      </c>
      <c r="B650" s="45">
        <v>45385</v>
      </c>
      <c r="C650" t="s">
        <v>662</v>
      </c>
      <c r="D650" t="s">
        <v>191</v>
      </c>
      <c r="E650" t="s">
        <v>229</v>
      </c>
      <c r="F650">
        <v>3</v>
      </c>
      <c r="G650">
        <v>5100</v>
      </c>
      <c r="H650">
        <v>24.2</v>
      </c>
      <c r="I650">
        <v>11597.4</v>
      </c>
      <c r="J650" t="s">
        <v>87</v>
      </c>
      <c r="K650" t="s">
        <v>2418</v>
      </c>
      <c r="L650" t="s">
        <v>94</v>
      </c>
      <c r="M650" t="s">
        <v>2828</v>
      </c>
      <c r="N650" t="s">
        <v>2862</v>
      </c>
      <c r="O650">
        <v>2237</v>
      </c>
      <c r="P650">
        <v>5100</v>
      </c>
    </row>
    <row r="651" spans="1:16" x14ac:dyDescent="0.3">
      <c r="A651" t="s">
        <v>2421</v>
      </c>
      <c r="B651" s="45">
        <v>45553</v>
      </c>
      <c r="C651" t="s">
        <v>816</v>
      </c>
      <c r="D651" t="s">
        <v>184</v>
      </c>
      <c r="E651" t="s">
        <v>297</v>
      </c>
      <c r="F651">
        <v>9</v>
      </c>
      <c r="G651">
        <v>4880</v>
      </c>
      <c r="H651">
        <v>7.2</v>
      </c>
      <c r="I651">
        <v>40757.760000000002</v>
      </c>
      <c r="J651" t="s">
        <v>87</v>
      </c>
      <c r="K651" t="s">
        <v>88</v>
      </c>
      <c r="L651" t="s">
        <v>88</v>
      </c>
      <c r="M651" t="s">
        <v>2828</v>
      </c>
      <c r="N651" t="s">
        <v>2855</v>
      </c>
      <c r="O651">
        <v>2768</v>
      </c>
      <c r="P651">
        <v>4880</v>
      </c>
    </row>
    <row r="652" spans="1:16" x14ac:dyDescent="0.3">
      <c r="A652" t="s">
        <v>2428</v>
      </c>
      <c r="B652" s="45">
        <v>45650</v>
      </c>
      <c r="C652" t="s">
        <v>956</v>
      </c>
      <c r="D652" t="s">
        <v>179</v>
      </c>
      <c r="E652" t="s">
        <v>98</v>
      </c>
      <c r="F652">
        <v>9</v>
      </c>
      <c r="G652">
        <v>3350</v>
      </c>
      <c r="H652">
        <v>5.0999999999999996</v>
      </c>
      <c r="I652">
        <v>28612.35</v>
      </c>
      <c r="J652" t="s">
        <v>87</v>
      </c>
      <c r="K652" t="s">
        <v>112</v>
      </c>
      <c r="L652" t="s">
        <v>112</v>
      </c>
      <c r="M652" t="s">
        <v>2828</v>
      </c>
      <c r="N652" t="s">
        <v>2862</v>
      </c>
      <c r="O652">
        <v>1728</v>
      </c>
      <c r="P652">
        <v>3350</v>
      </c>
    </row>
    <row r="653" spans="1:16" x14ac:dyDescent="0.3">
      <c r="A653" t="s">
        <v>2437</v>
      </c>
      <c r="B653" s="45">
        <v>45379</v>
      </c>
      <c r="C653" t="s">
        <v>175</v>
      </c>
      <c r="D653" t="s">
        <v>380</v>
      </c>
      <c r="E653" t="s">
        <v>154</v>
      </c>
      <c r="F653">
        <v>6</v>
      </c>
      <c r="G653">
        <v>960</v>
      </c>
      <c r="H653">
        <v>15</v>
      </c>
      <c r="I653">
        <v>4896</v>
      </c>
      <c r="J653" t="s">
        <v>93</v>
      </c>
      <c r="K653" t="s">
        <v>133</v>
      </c>
      <c r="L653" t="s">
        <v>133</v>
      </c>
      <c r="M653" t="s">
        <v>2828</v>
      </c>
      <c r="N653" t="s">
        <v>2862</v>
      </c>
      <c r="O653">
        <v>675</v>
      </c>
      <c r="P653">
        <v>960</v>
      </c>
    </row>
    <row r="654" spans="1:16" x14ac:dyDescent="0.3">
      <c r="A654" t="s">
        <v>2441</v>
      </c>
      <c r="B654" s="45">
        <v>45520</v>
      </c>
      <c r="C654" t="s">
        <v>493</v>
      </c>
      <c r="D654" t="s">
        <v>157</v>
      </c>
      <c r="E654" t="s">
        <v>128</v>
      </c>
      <c r="F654">
        <v>4</v>
      </c>
      <c r="G654">
        <v>3450</v>
      </c>
      <c r="H654">
        <v>13.3</v>
      </c>
      <c r="I654">
        <v>11964.6</v>
      </c>
      <c r="J654" t="s">
        <v>87</v>
      </c>
      <c r="K654" t="s">
        <v>88</v>
      </c>
      <c r="L654" t="s">
        <v>88</v>
      </c>
      <c r="M654" t="s">
        <v>2828</v>
      </c>
      <c r="N654" t="s">
        <v>2871</v>
      </c>
      <c r="O654">
        <v>2420</v>
      </c>
      <c r="P654">
        <v>3450</v>
      </c>
    </row>
    <row r="655" spans="1:16" x14ac:dyDescent="0.3">
      <c r="A655" t="s">
        <v>2443</v>
      </c>
      <c r="B655" s="45">
        <v>45452</v>
      </c>
      <c r="C655" t="s">
        <v>617</v>
      </c>
      <c r="D655" t="s">
        <v>157</v>
      </c>
      <c r="E655" t="s">
        <v>121</v>
      </c>
      <c r="F655">
        <v>1</v>
      </c>
      <c r="G655">
        <v>3450</v>
      </c>
      <c r="H655">
        <v>29.4</v>
      </c>
      <c r="I655">
        <v>2435.6999999999998</v>
      </c>
      <c r="J655" t="s">
        <v>87</v>
      </c>
      <c r="K655" t="s">
        <v>112</v>
      </c>
      <c r="L655" t="s">
        <v>112</v>
      </c>
      <c r="M655" t="s">
        <v>2828</v>
      </c>
      <c r="N655" t="s">
        <v>2855</v>
      </c>
      <c r="O655">
        <v>2420</v>
      </c>
      <c r="P655">
        <v>3450</v>
      </c>
    </row>
    <row r="656" spans="1:16" x14ac:dyDescent="0.3">
      <c r="A656" t="s">
        <v>2444</v>
      </c>
      <c r="B656" s="45">
        <v>45529</v>
      </c>
      <c r="C656" t="s">
        <v>557</v>
      </c>
      <c r="D656" t="s">
        <v>176</v>
      </c>
      <c r="E656" t="s">
        <v>116</v>
      </c>
      <c r="F656">
        <v>5</v>
      </c>
      <c r="G656">
        <v>1650</v>
      </c>
      <c r="H656">
        <v>29.4</v>
      </c>
      <c r="I656">
        <v>5824.5</v>
      </c>
      <c r="J656" t="s">
        <v>87</v>
      </c>
      <c r="K656" t="s">
        <v>112</v>
      </c>
      <c r="L656" t="s">
        <v>112</v>
      </c>
      <c r="M656" t="s">
        <v>2828</v>
      </c>
      <c r="N656" t="s">
        <v>2879</v>
      </c>
      <c r="O656">
        <v>1222</v>
      </c>
      <c r="P656">
        <v>1650</v>
      </c>
    </row>
    <row r="657" spans="1:16" x14ac:dyDescent="0.3">
      <c r="A657" t="s">
        <v>2447</v>
      </c>
      <c r="B657" s="45">
        <v>45338</v>
      </c>
      <c r="C657" t="s">
        <v>272</v>
      </c>
      <c r="D657" t="s">
        <v>259</v>
      </c>
      <c r="E657" t="s">
        <v>215</v>
      </c>
      <c r="F657">
        <v>3</v>
      </c>
      <c r="G657">
        <v>1540</v>
      </c>
      <c r="H657">
        <v>29.5</v>
      </c>
      <c r="I657">
        <v>3257.1</v>
      </c>
      <c r="J657" t="s">
        <v>87</v>
      </c>
      <c r="K657" t="s">
        <v>94</v>
      </c>
      <c r="L657" t="s">
        <v>94</v>
      </c>
      <c r="M657" t="s">
        <v>2828</v>
      </c>
      <c r="N657" t="s">
        <v>2871</v>
      </c>
      <c r="O657">
        <v>647</v>
      </c>
      <c r="P657">
        <v>1540</v>
      </c>
    </row>
    <row r="658" spans="1:16" x14ac:dyDescent="0.3">
      <c r="A658" t="s">
        <v>2475</v>
      </c>
      <c r="B658" s="45">
        <v>45529</v>
      </c>
      <c r="C658" t="s">
        <v>1231</v>
      </c>
      <c r="D658" t="s">
        <v>176</v>
      </c>
      <c r="E658" t="s">
        <v>229</v>
      </c>
      <c r="F658">
        <v>10</v>
      </c>
      <c r="G658">
        <v>1650</v>
      </c>
      <c r="H658">
        <v>21.5</v>
      </c>
      <c r="I658">
        <v>12952.5</v>
      </c>
      <c r="J658" t="s">
        <v>87</v>
      </c>
      <c r="K658" t="s">
        <v>88</v>
      </c>
      <c r="L658" t="s">
        <v>88</v>
      </c>
      <c r="M658" t="s">
        <v>2828</v>
      </c>
      <c r="N658" t="s">
        <v>2862</v>
      </c>
      <c r="O658">
        <v>1222</v>
      </c>
      <c r="P658">
        <v>1650</v>
      </c>
    </row>
    <row r="659" spans="1:16" x14ac:dyDescent="0.3">
      <c r="A659" t="s">
        <v>2481</v>
      </c>
      <c r="B659" s="45">
        <v>45489</v>
      </c>
      <c r="C659" t="s">
        <v>194</v>
      </c>
      <c r="D659" t="s">
        <v>157</v>
      </c>
      <c r="E659" t="s">
        <v>325</v>
      </c>
      <c r="F659">
        <v>6</v>
      </c>
      <c r="G659">
        <v>3450</v>
      </c>
      <c r="H659">
        <v>3.5</v>
      </c>
      <c r="I659">
        <v>19975.5</v>
      </c>
      <c r="J659" t="s">
        <v>144</v>
      </c>
      <c r="K659" t="s">
        <v>88</v>
      </c>
      <c r="L659" t="s">
        <v>88</v>
      </c>
      <c r="M659" t="s">
        <v>2828</v>
      </c>
      <c r="N659" t="s">
        <v>2855</v>
      </c>
      <c r="O659">
        <v>2420</v>
      </c>
      <c r="P659">
        <v>3450</v>
      </c>
    </row>
    <row r="660" spans="1:16" x14ac:dyDescent="0.3">
      <c r="A660" t="s">
        <v>2484</v>
      </c>
      <c r="B660" s="45">
        <v>45333</v>
      </c>
      <c r="C660" t="s">
        <v>1038</v>
      </c>
      <c r="D660" t="s">
        <v>184</v>
      </c>
      <c r="E660" t="s">
        <v>154</v>
      </c>
      <c r="F660">
        <v>5</v>
      </c>
      <c r="G660">
        <v>4880</v>
      </c>
      <c r="H660">
        <v>1.8</v>
      </c>
      <c r="I660">
        <v>23960.799999999999</v>
      </c>
      <c r="J660" t="s">
        <v>87</v>
      </c>
      <c r="K660" t="s">
        <v>117</v>
      </c>
      <c r="L660" t="s">
        <v>117</v>
      </c>
      <c r="M660" t="s">
        <v>2828</v>
      </c>
      <c r="N660" t="s">
        <v>2871</v>
      </c>
      <c r="O660">
        <v>2768</v>
      </c>
      <c r="P660">
        <v>4880</v>
      </c>
    </row>
    <row r="661" spans="1:16" x14ac:dyDescent="0.3">
      <c r="A661" t="s">
        <v>2485</v>
      </c>
      <c r="B661" s="45">
        <v>45385</v>
      </c>
      <c r="C661" t="s">
        <v>109</v>
      </c>
      <c r="D661" t="s">
        <v>179</v>
      </c>
      <c r="E661" t="s">
        <v>346</v>
      </c>
      <c r="F661">
        <v>8</v>
      </c>
      <c r="G661">
        <v>3350</v>
      </c>
      <c r="H661">
        <v>26.3</v>
      </c>
      <c r="I661">
        <v>19751.599999999999</v>
      </c>
      <c r="J661" t="s">
        <v>140</v>
      </c>
      <c r="K661" t="s">
        <v>112</v>
      </c>
      <c r="L661" t="s">
        <v>112</v>
      </c>
      <c r="M661" t="s">
        <v>2828</v>
      </c>
      <c r="N661" t="s">
        <v>2871</v>
      </c>
      <c r="O661">
        <v>1728</v>
      </c>
      <c r="P661">
        <v>3350</v>
      </c>
    </row>
    <row r="662" spans="1:16" x14ac:dyDescent="0.3">
      <c r="A662" t="s">
        <v>2489</v>
      </c>
      <c r="B662" s="45">
        <v>45401</v>
      </c>
      <c r="C662" t="s">
        <v>705</v>
      </c>
      <c r="D662" t="s">
        <v>276</v>
      </c>
      <c r="E662" t="s">
        <v>201</v>
      </c>
      <c r="F662">
        <v>3</v>
      </c>
      <c r="G662">
        <v>3020</v>
      </c>
      <c r="H662">
        <v>21.4</v>
      </c>
      <c r="I662">
        <v>7121.16</v>
      </c>
      <c r="J662" t="s">
        <v>140</v>
      </c>
      <c r="K662" t="s">
        <v>99</v>
      </c>
      <c r="L662" t="s">
        <v>99</v>
      </c>
      <c r="M662" t="s">
        <v>2828</v>
      </c>
      <c r="N662" t="s">
        <v>2855</v>
      </c>
      <c r="O662">
        <v>1626</v>
      </c>
      <c r="P662">
        <v>3020</v>
      </c>
    </row>
    <row r="663" spans="1:16" x14ac:dyDescent="0.3">
      <c r="A663" t="s">
        <v>2491</v>
      </c>
      <c r="B663" s="45">
        <v>45616</v>
      </c>
      <c r="C663" t="s">
        <v>1104</v>
      </c>
      <c r="D663" t="s">
        <v>191</v>
      </c>
      <c r="E663" t="s">
        <v>252</v>
      </c>
      <c r="F663">
        <v>5</v>
      </c>
      <c r="G663">
        <v>5100</v>
      </c>
      <c r="H663">
        <v>28.4</v>
      </c>
      <c r="I663">
        <v>18258</v>
      </c>
      <c r="J663" t="s">
        <v>87</v>
      </c>
      <c r="K663" t="s">
        <v>117</v>
      </c>
      <c r="L663" t="s">
        <v>117</v>
      </c>
      <c r="M663" t="s">
        <v>2828</v>
      </c>
      <c r="N663" t="s">
        <v>2862</v>
      </c>
      <c r="O663">
        <v>2237</v>
      </c>
      <c r="P663">
        <v>5100</v>
      </c>
    </row>
    <row r="664" spans="1:16" x14ac:dyDescent="0.3">
      <c r="A664" t="s">
        <v>2492</v>
      </c>
      <c r="B664" s="45">
        <v>45352</v>
      </c>
      <c r="C664" t="s">
        <v>582</v>
      </c>
      <c r="D664" t="s">
        <v>184</v>
      </c>
      <c r="E664" t="s">
        <v>107</v>
      </c>
      <c r="F664">
        <v>6</v>
      </c>
      <c r="G664">
        <v>4880</v>
      </c>
      <c r="H664">
        <v>16.8</v>
      </c>
      <c r="I664">
        <v>24360.959999999999</v>
      </c>
      <c r="J664" t="s">
        <v>87</v>
      </c>
      <c r="K664" t="s">
        <v>94</v>
      </c>
      <c r="L664" t="s">
        <v>94</v>
      </c>
      <c r="M664" t="s">
        <v>2828</v>
      </c>
      <c r="N664" t="s">
        <v>2871</v>
      </c>
      <c r="O664">
        <v>2768</v>
      </c>
      <c r="P664">
        <v>4880</v>
      </c>
    </row>
    <row r="665" spans="1:16" x14ac:dyDescent="0.3">
      <c r="A665" t="s">
        <v>2495</v>
      </c>
      <c r="B665" s="45">
        <v>45360</v>
      </c>
      <c r="C665" t="s">
        <v>123</v>
      </c>
      <c r="D665" t="s">
        <v>179</v>
      </c>
      <c r="E665" t="s">
        <v>116</v>
      </c>
      <c r="F665">
        <v>7</v>
      </c>
      <c r="G665">
        <v>3350</v>
      </c>
      <c r="H665">
        <v>0.4</v>
      </c>
      <c r="I665">
        <v>23356.2</v>
      </c>
      <c r="J665" t="s">
        <v>87</v>
      </c>
      <c r="K665" t="s">
        <v>117</v>
      </c>
      <c r="L665" t="s">
        <v>117</v>
      </c>
      <c r="M665" t="s">
        <v>2828</v>
      </c>
      <c r="N665" t="s">
        <v>2879</v>
      </c>
      <c r="O665">
        <v>1728</v>
      </c>
      <c r="P665">
        <v>3350</v>
      </c>
    </row>
    <row r="666" spans="1:16" x14ac:dyDescent="0.3">
      <c r="A666" t="s">
        <v>118</v>
      </c>
      <c r="B666" s="45">
        <v>45617</v>
      </c>
      <c r="C666" t="s">
        <v>119</v>
      </c>
      <c r="D666" t="s">
        <v>120</v>
      </c>
      <c r="E666" t="s">
        <v>121</v>
      </c>
      <c r="F666">
        <v>8</v>
      </c>
      <c r="G666">
        <v>1430</v>
      </c>
      <c r="H666">
        <v>2.4</v>
      </c>
      <c r="I666">
        <v>11165.44</v>
      </c>
      <c r="J666" t="s">
        <v>87</v>
      </c>
      <c r="K666" t="s">
        <v>117</v>
      </c>
      <c r="L666" t="s">
        <v>117</v>
      </c>
      <c r="M666" t="s">
        <v>2784</v>
      </c>
      <c r="N666" t="s">
        <v>2871</v>
      </c>
      <c r="O666">
        <v>861</v>
      </c>
      <c r="P666">
        <v>1430</v>
      </c>
    </row>
    <row r="667" spans="1:16" x14ac:dyDescent="0.3">
      <c r="A667" t="s">
        <v>134</v>
      </c>
      <c r="B667" s="45">
        <v>45332</v>
      </c>
      <c r="C667" t="s">
        <v>126</v>
      </c>
      <c r="D667" t="s">
        <v>135</v>
      </c>
      <c r="E667" t="s">
        <v>116</v>
      </c>
      <c r="F667">
        <v>9</v>
      </c>
      <c r="G667">
        <v>2640</v>
      </c>
      <c r="H667">
        <v>21.7</v>
      </c>
      <c r="I667">
        <v>18604.080000000002</v>
      </c>
      <c r="J667" t="s">
        <v>87</v>
      </c>
      <c r="K667" t="s">
        <v>88</v>
      </c>
      <c r="L667" t="s">
        <v>88</v>
      </c>
      <c r="M667" t="s">
        <v>2784</v>
      </c>
      <c r="N667" t="s">
        <v>2879</v>
      </c>
      <c r="O667">
        <v>1149</v>
      </c>
      <c r="P667">
        <v>2640</v>
      </c>
    </row>
    <row r="668" spans="1:16" x14ac:dyDescent="0.3">
      <c r="A668" t="s">
        <v>136</v>
      </c>
      <c r="B668" s="45">
        <v>45507</v>
      </c>
      <c r="C668" t="s">
        <v>137</v>
      </c>
      <c r="D668" t="s">
        <v>138</v>
      </c>
      <c r="E668" t="s">
        <v>139</v>
      </c>
      <c r="F668">
        <v>3</v>
      </c>
      <c r="G668">
        <v>2600</v>
      </c>
      <c r="H668">
        <v>4.3</v>
      </c>
      <c r="I668">
        <v>7464.6</v>
      </c>
      <c r="J668" t="s">
        <v>140</v>
      </c>
      <c r="K668" t="s">
        <v>99</v>
      </c>
      <c r="L668" t="s">
        <v>99</v>
      </c>
      <c r="M668" t="s">
        <v>2784</v>
      </c>
      <c r="N668" t="s">
        <v>2855</v>
      </c>
      <c r="O668">
        <v>1052</v>
      </c>
      <c r="P668">
        <v>2600</v>
      </c>
    </row>
    <row r="669" spans="1:16" x14ac:dyDescent="0.3">
      <c r="A669" t="s">
        <v>185</v>
      </c>
      <c r="B669" s="45">
        <v>45517</v>
      </c>
      <c r="C669" t="s">
        <v>186</v>
      </c>
      <c r="D669" t="s">
        <v>187</v>
      </c>
      <c r="E669" t="s">
        <v>188</v>
      </c>
      <c r="F669">
        <v>7</v>
      </c>
      <c r="G669">
        <v>3570</v>
      </c>
      <c r="H669">
        <v>5.8</v>
      </c>
      <c r="I669">
        <v>23540.58</v>
      </c>
      <c r="J669" t="s">
        <v>140</v>
      </c>
      <c r="K669" t="s">
        <v>94</v>
      </c>
      <c r="L669" t="s">
        <v>94</v>
      </c>
      <c r="M669" t="s">
        <v>2784</v>
      </c>
      <c r="N669" t="s">
        <v>2862</v>
      </c>
      <c r="O669">
        <v>1665</v>
      </c>
      <c r="P669">
        <v>3570</v>
      </c>
    </row>
    <row r="670" spans="1:16" x14ac:dyDescent="0.3">
      <c r="A670" t="s">
        <v>246</v>
      </c>
      <c r="B670" s="45">
        <v>45323</v>
      </c>
      <c r="C670" t="s">
        <v>247</v>
      </c>
      <c r="D670" t="s">
        <v>248</v>
      </c>
      <c r="E670" t="s">
        <v>154</v>
      </c>
      <c r="F670">
        <v>7</v>
      </c>
      <c r="G670">
        <v>3870</v>
      </c>
      <c r="H670">
        <v>0.3</v>
      </c>
      <c r="I670">
        <v>27008.73</v>
      </c>
      <c r="J670" t="s">
        <v>140</v>
      </c>
      <c r="K670" t="s">
        <v>117</v>
      </c>
      <c r="L670" t="s">
        <v>117</v>
      </c>
      <c r="M670" t="s">
        <v>2784</v>
      </c>
      <c r="N670" t="s">
        <v>2871</v>
      </c>
      <c r="O670">
        <v>1559</v>
      </c>
      <c r="P670">
        <v>3870</v>
      </c>
    </row>
    <row r="671" spans="1:16" x14ac:dyDescent="0.3">
      <c r="A671" t="s">
        <v>265</v>
      </c>
      <c r="B671" s="45">
        <v>45417</v>
      </c>
      <c r="C671" t="s">
        <v>266</v>
      </c>
      <c r="D671" t="s">
        <v>267</v>
      </c>
      <c r="E671" t="s">
        <v>170</v>
      </c>
      <c r="F671">
        <v>2</v>
      </c>
      <c r="G671">
        <v>1220</v>
      </c>
      <c r="H671">
        <v>11.7</v>
      </c>
      <c r="I671">
        <v>2154.52</v>
      </c>
      <c r="J671" t="s">
        <v>140</v>
      </c>
      <c r="K671" t="s">
        <v>99</v>
      </c>
      <c r="L671" t="s">
        <v>99</v>
      </c>
      <c r="M671" t="s">
        <v>2784</v>
      </c>
      <c r="N671" t="s">
        <v>2879</v>
      </c>
      <c r="O671">
        <v>517</v>
      </c>
      <c r="P671">
        <v>1220</v>
      </c>
    </row>
    <row r="672" spans="1:16" x14ac:dyDescent="0.3">
      <c r="A672" t="s">
        <v>277</v>
      </c>
      <c r="B672" s="45">
        <v>45465</v>
      </c>
      <c r="C672" t="s">
        <v>278</v>
      </c>
      <c r="D672" t="s">
        <v>279</v>
      </c>
      <c r="E672" t="s">
        <v>238</v>
      </c>
      <c r="F672">
        <v>7</v>
      </c>
      <c r="G672">
        <v>2660</v>
      </c>
      <c r="H672">
        <v>5.3</v>
      </c>
      <c r="I672">
        <v>17633.14</v>
      </c>
      <c r="J672" t="s">
        <v>87</v>
      </c>
      <c r="K672" t="s">
        <v>133</v>
      </c>
      <c r="L672" t="s">
        <v>133</v>
      </c>
      <c r="M672" t="s">
        <v>2784</v>
      </c>
      <c r="N672" t="s">
        <v>2871</v>
      </c>
      <c r="O672">
        <v>1259</v>
      </c>
      <c r="P672">
        <v>2660</v>
      </c>
    </row>
    <row r="673" spans="1:16" x14ac:dyDescent="0.3">
      <c r="A673" t="s">
        <v>280</v>
      </c>
      <c r="B673" s="45">
        <v>45599</v>
      </c>
      <c r="C673" t="s">
        <v>281</v>
      </c>
      <c r="D673" t="s">
        <v>282</v>
      </c>
      <c r="E673" t="s">
        <v>148</v>
      </c>
      <c r="F673">
        <v>9</v>
      </c>
      <c r="G673">
        <v>300</v>
      </c>
      <c r="H673">
        <v>25.3</v>
      </c>
      <c r="I673">
        <v>2016.9</v>
      </c>
      <c r="J673" t="s">
        <v>87</v>
      </c>
      <c r="K673" t="s">
        <v>88</v>
      </c>
      <c r="L673" t="s">
        <v>88</v>
      </c>
      <c r="M673" t="s">
        <v>2784</v>
      </c>
      <c r="N673" t="s">
        <v>2855</v>
      </c>
      <c r="O673">
        <v>128</v>
      </c>
      <c r="P673">
        <v>300</v>
      </c>
    </row>
    <row r="674" spans="1:16" x14ac:dyDescent="0.3">
      <c r="A674" t="s">
        <v>283</v>
      </c>
      <c r="B674" s="45">
        <v>45317</v>
      </c>
      <c r="C674" t="s">
        <v>284</v>
      </c>
      <c r="D674" t="s">
        <v>135</v>
      </c>
      <c r="E674" t="s">
        <v>285</v>
      </c>
      <c r="F674">
        <v>10</v>
      </c>
      <c r="G674">
        <v>2640</v>
      </c>
      <c r="H674">
        <v>18.7</v>
      </c>
      <c r="I674">
        <v>21463.200000000001</v>
      </c>
      <c r="J674" t="s">
        <v>140</v>
      </c>
      <c r="K674" t="s">
        <v>94</v>
      </c>
      <c r="L674" t="s">
        <v>94</v>
      </c>
      <c r="M674" t="s">
        <v>2784</v>
      </c>
      <c r="N674" t="s">
        <v>2871</v>
      </c>
      <c r="O674">
        <v>1149</v>
      </c>
      <c r="P674">
        <v>2640</v>
      </c>
    </row>
    <row r="675" spans="1:16" x14ac:dyDescent="0.3">
      <c r="A675" t="s">
        <v>309</v>
      </c>
      <c r="B675" s="45">
        <v>45390</v>
      </c>
      <c r="C675" t="s">
        <v>310</v>
      </c>
      <c r="D675" t="s">
        <v>267</v>
      </c>
      <c r="E675" t="s">
        <v>285</v>
      </c>
      <c r="F675">
        <v>4</v>
      </c>
      <c r="G675">
        <v>1220</v>
      </c>
      <c r="H675">
        <v>8.4</v>
      </c>
      <c r="I675">
        <v>4470.08</v>
      </c>
      <c r="J675" t="s">
        <v>87</v>
      </c>
      <c r="K675" t="s">
        <v>117</v>
      </c>
      <c r="L675" t="s">
        <v>117</v>
      </c>
      <c r="M675" t="s">
        <v>2784</v>
      </c>
      <c r="N675" t="s">
        <v>2871</v>
      </c>
      <c r="O675">
        <v>517</v>
      </c>
      <c r="P675">
        <v>1220</v>
      </c>
    </row>
    <row r="676" spans="1:16" x14ac:dyDescent="0.3">
      <c r="A676" t="s">
        <v>311</v>
      </c>
      <c r="B676" s="45">
        <v>45615</v>
      </c>
      <c r="C676" t="s">
        <v>312</v>
      </c>
      <c r="D676" t="s">
        <v>138</v>
      </c>
      <c r="E676" t="s">
        <v>128</v>
      </c>
      <c r="F676">
        <v>2</v>
      </c>
      <c r="G676">
        <v>2600</v>
      </c>
      <c r="H676">
        <v>1.9</v>
      </c>
      <c r="I676">
        <v>5101.2</v>
      </c>
      <c r="J676" t="s">
        <v>93</v>
      </c>
      <c r="K676" t="s">
        <v>133</v>
      </c>
      <c r="L676" t="s">
        <v>133</v>
      </c>
      <c r="M676" t="s">
        <v>2784</v>
      </c>
      <c r="N676" t="s">
        <v>2879</v>
      </c>
      <c r="O676">
        <v>1052</v>
      </c>
      <c r="P676">
        <v>2600</v>
      </c>
    </row>
    <row r="677" spans="1:16" x14ac:dyDescent="0.3">
      <c r="A677" t="s">
        <v>321</v>
      </c>
      <c r="B677" s="45">
        <v>45547</v>
      </c>
      <c r="C677" t="s">
        <v>322</v>
      </c>
      <c r="D677" t="s">
        <v>279</v>
      </c>
      <c r="E677" t="s">
        <v>201</v>
      </c>
      <c r="F677">
        <v>1</v>
      </c>
      <c r="G677">
        <v>2660</v>
      </c>
      <c r="H677">
        <v>21</v>
      </c>
      <c r="I677">
        <v>2101.4</v>
      </c>
      <c r="J677" t="s">
        <v>87</v>
      </c>
      <c r="K677" t="s">
        <v>99</v>
      </c>
      <c r="L677" t="s">
        <v>99</v>
      </c>
      <c r="M677" t="s">
        <v>2784</v>
      </c>
      <c r="N677" t="s">
        <v>2879</v>
      </c>
      <c r="O677">
        <v>1259</v>
      </c>
      <c r="P677">
        <v>2660</v>
      </c>
    </row>
    <row r="678" spans="1:16" x14ac:dyDescent="0.3">
      <c r="A678" t="s">
        <v>329</v>
      </c>
      <c r="B678" s="45">
        <v>45587</v>
      </c>
      <c r="C678" t="s">
        <v>172</v>
      </c>
      <c r="D678" t="s">
        <v>120</v>
      </c>
      <c r="E678" t="s">
        <v>132</v>
      </c>
      <c r="F678">
        <v>3</v>
      </c>
      <c r="G678">
        <v>1430</v>
      </c>
      <c r="H678">
        <v>6.5</v>
      </c>
      <c r="I678">
        <v>4011.15</v>
      </c>
      <c r="J678" t="s">
        <v>87</v>
      </c>
      <c r="K678" t="s">
        <v>88</v>
      </c>
      <c r="L678" t="s">
        <v>88</v>
      </c>
      <c r="M678" t="s">
        <v>2784</v>
      </c>
      <c r="N678" t="s">
        <v>2862</v>
      </c>
      <c r="O678">
        <v>861</v>
      </c>
      <c r="P678">
        <v>1430</v>
      </c>
    </row>
    <row r="679" spans="1:16" x14ac:dyDescent="0.3">
      <c r="A679" t="s">
        <v>332</v>
      </c>
      <c r="B679" s="45">
        <v>45533</v>
      </c>
      <c r="C679" t="s">
        <v>333</v>
      </c>
      <c r="D679" t="s">
        <v>187</v>
      </c>
      <c r="E679" t="s">
        <v>325</v>
      </c>
      <c r="F679">
        <v>4</v>
      </c>
      <c r="G679">
        <v>3570</v>
      </c>
      <c r="H679">
        <v>4.5</v>
      </c>
      <c r="I679">
        <v>13637.4</v>
      </c>
      <c r="J679" t="s">
        <v>93</v>
      </c>
      <c r="K679" t="s">
        <v>133</v>
      </c>
      <c r="L679" t="s">
        <v>133</v>
      </c>
      <c r="M679" t="s">
        <v>2784</v>
      </c>
      <c r="N679" t="s">
        <v>2862</v>
      </c>
      <c r="O679">
        <v>1665</v>
      </c>
      <c r="P679">
        <v>3570</v>
      </c>
    </row>
    <row r="680" spans="1:16" x14ac:dyDescent="0.3">
      <c r="A680" t="s">
        <v>348</v>
      </c>
      <c r="B680" s="45">
        <v>45373</v>
      </c>
      <c r="C680" t="s">
        <v>301</v>
      </c>
      <c r="D680" t="s">
        <v>138</v>
      </c>
      <c r="E680" t="s">
        <v>128</v>
      </c>
      <c r="F680">
        <v>10</v>
      </c>
      <c r="G680">
        <v>2600</v>
      </c>
      <c r="H680">
        <v>20.7</v>
      </c>
      <c r="I680">
        <v>20618</v>
      </c>
      <c r="J680" t="s">
        <v>87</v>
      </c>
      <c r="K680" t="s">
        <v>94</v>
      </c>
      <c r="L680" t="s">
        <v>94</v>
      </c>
      <c r="M680" t="s">
        <v>2784</v>
      </c>
      <c r="N680" t="s">
        <v>2879</v>
      </c>
      <c r="O680">
        <v>1052</v>
      </c>
      <c r="P680">
        <v>2600</v>
      </c>
    </row>
    <row r="681" spans="1:16" x14ac:dyDescent="0.3">
      <c r="A681" t="s">
        <v>361</v>
      </c>
      <c r="B681" s="45">
        <v>45411</v>
      </c>
      <c r="C681" t="s">
        <v>362</v>
      </c>
      <c r="D681" t="s">
        <v>187</v>
      </c>
      <c r="E681" t="s">
        <v>303</v>
      </c>
      <c r="F681">
        <v>8</v>
      </c>
      <c r="G681">
        <v>3570</v>
      </c>
      <c r="H681">
        <v>11.1</v>
      </c>
      <c r="I681">
        <v>25389.84</v>
      </c>
      <c r="J681" t="s">
        <v>87</v>
      </c>
      <c r="K681" t="s">
        <v>94</v>
      </c>
      <c r="L681" t="s">
        <v>94</v>
      </c>
      <c r="M681" t="s">
        <v>2784</v>
      </c>
      <c r="N681" t="s">
        <v>2871</v>
      </c>
      <c r="O681">
        <v>1665</v>
      </c>
      <c r="P681">
        <v>3570</v>
      </c>
    </row>
    <row r="682" spans="1:16" x14ac:dyDescent="0.3">
      <c r="A682" t="s">
        <v>363</v>
      </c>
      <c r="B682" s="45">
        <v>45297</v>
      </c>
      <c r="C682" t="s">
        <v>350</v>
      </c>
      <c r="D682" t="s">
        <v>364</v>
      </c>
      <c r="E682" t="s">
        <v>148</v>
      </c>
      <c r="F682">
        <v>10</v>
      </c>
      <c r="G682">
        <v>5330</v>
      </c>
      <c r="H682">
        <v>21.2</v>
      </c>
      <c r="I682">
        <v>42000.4</v>
      </c>
      <c r="J682" t="s">
        <v>87</v>
      </c>
      <c r="K682" t="s">
        <v>112</v>
      </c>
      <c r="L682" t="s">
        <v>112</v>
      </c>
      <c r="M682" t="s">
        <v>2784</v>
      </c>
      <c r="N682" t="s">
        <v>2855</v>
      </c>
      <c r="O682">
        <v>2405</v>
      </c>
      <c r="P682">
        <v>5330</v>
      </c>
    </row>
    <row r="683" spans="1:16" x14ac:dyDescent="0.3">
      <c r="A683" t="s">
        <v>381</v>
      </c>
      <c r="B683" s="45">
        <v>45453</v>
      </c>
      <c r="C683" t="s">
        <v>382</v>
      </c>
      <c r="D683" t="s">
        <v>138</v>
      </c>
      <c r="E683" t="s">
        <v>98</v>
      </c>
      <c r="F683">
        <v>3</v>
      </c>
      <c r="G683">
        <v>2600</v>
      </c>
      <c r="H683">
        <v>18.2</v>
      </c>
      <c r="I683">
        <v>6380.4</v>
      </c>
      <c r="J683" t="s">
        <v>87</v>
      </c>
      <c r="K683" t="s">
        <v>99</v>
      </c>
      <c r="L683" t="s">
        <v>99</v>
      </c>
      <c r="M683" t="s">
        <v>2784</v>
      </c>
      <c r="N683" t="s">
        <v>2862</v>
      </c>
      <c r="O683">
        <v>1052</v>
      </c>
      <c r="P683">
        <v>2600</v>
      </c>
    </row>
    <row r="684" spans="1:16" x14ac:dyDescent="0.3">
      <c r="A684" t="s">
        <v>389</v>
      </c>
      <c r="B684" s="45">
        <v>45596</v>
      </c>
      <c r="C684" t="s">
        <v>390</v>
      </c>
      <c r="D684" t="s">
        <v>282</v>
      </c>
      <c r="E684" t="s">
        <v>98</v>
      </c>
      <c r="F684">
        <v>1</v>
      </c>
      <c r="G684">
        <v>300</v>
      </c>
      <c r="H684">
        <v>16.899999999999999</v>
      </c>
      <c r="I684">
        <v>249.3</v>
      </c>
      <c r="J684" t="s">
        <v>93</v>
      </c>
      <c r="K684" t="s">
        <v>88</v>
      </c>
      <c r="L684" t="s">
        <v>88</v>
      </c>
      <c r="M684" t="s">
        <v>2784</v>
      </c>
      <c r="N684" t="s">
        <v>2862</v>
      </c>
      <c r="O684">
        <v>128</v>
      </c>
      <c r="P684">
        <v>300</v>
      </c>
    </row>
    <row r="685" spans="1:16" x14ac:dyDescent="0.3">
      <c r="A685" t="s">
        <v>391</v>
      </c>
      <c r="B685" s="45">
        <v>45420</v>
      </c>
      <c r="C685" t="s">
        <v>392</v>
      </c>
      <c r="D685" t="s">
        <v>282</v>
      </c>
      <c r="E685" t="s">
        <v>325</v>
      </c>
      <c r="F685">
        <v>3</v>
      </c>
      <c r="G685">
        <v>300</v>
      </c>
      <c r="H685">
        <v>0.6</v>
      </c>
      <c r="I685">
        <v>894.6</v>
      </c>
      <c r="J685" t="s">
        <v>87</v>
      </c>
      <c r="K685" t="s">
        <v>112</v>
      </c>
      <c r="L685" t="s">
        <v>112</v>
      </c>
      <c r="M685" t="s">
        <v>2784</v>
      </c>
      <c r="N685" t="s">
        <v>2862</v>
      </c>
      <c r="O685">
        <v>128</v>
      </c>
      <c r="P685">
        <v>300</v>
      </c>
    </row>
    <row r="686" spans="1:16" x14ac:dyDescent="0.3">
      <c r="A686" t="s">
        <v>395</v>
      </c>
      <c r="B686" s="45">
        <v>45416</v>
      </c>
      <c r="C686" t="s">
        <v>153</v>
      </c>
      <c r="D686" t="s">
        <v>364</v>
      </c>
      <c r="E686" t="s">
        <v>148</v>
      </c>
      <c r="F686">
        <v>4</v>
      </c>
      <c r="G686">
        <v>5330</v>
      </c>
      <c r="H686">
        <v>29.3</v>
      </c>
      <c r="I686">
        <v>15073.24</v>
      </c>
      <c r="J686" t="s">
        <v>87</v>
      </c>
      <c r="K686" t="s">
        <v>117</v>
      </c>
      <c r="L686" t="s">
        <v>117</v>
      </c>
      <c r="M686" t="s">
        <v>2784</v>
      </c>
      <c r="N686" t="s">
        <v>2855</v>
      </c>
      <c r="O686">
        <v>2405</v>
      </c>
      <c r="P686">
        <v>5330</v>
      </c>
    </row>
    <row r="687" spans="1:16" x14ac:dyDescent="0.3">
      <c r="A687" t="s">
        <v>406</v>
      </c>
      <c r="B687" s="45">
        <v>45453</v>
      </c>
      <c r="C687" t="s">
        <v>407</v>
      </c>
      <c r="D687" t="s">
        <v>408</v>
      </c>
      <c r="E687" t="s">
        <v>148</v>
      </c>
      <c r="F687">
        <v>7</v>
      </c>
      <c r="G687">
        <v>3970</v>
      </c>
      <c r="H687">
        <v>13.8</v>
      </c>
      <c r="I687">
        <v>23954.98</v>
      </c>
      <c r="J687" t="s">
        <v>93</v>
      </c>
      <c r="K687" t="s">
        <v>88</v>
      </c>
      <c r="L687" t="s">
        <v>88</v>
      </c>
      <c r="M687" t="s">
        <v>2784</v>
      </c>
      <c r="N687" t="s">
        <v>2855</v>
      </c>
      <c r="O687">
        <v>2865</v>
      </c>
      <c r="P687">
        <v>3970</v>
      </c>
    </row>
    <row r="688" spans="1:16" x14ac:dyDescent="0.3">
      <c r="A688" t="s">
        <v>415</v>
      </c>
      <c r="B688" s="45">
        <v>45344</v>
      </c>
      <c r="C688" t="s">
        <v>416</v>
      </c>
      <c r="D688" t="s">
        <v>248</v>
      </c>
      <c r="E688" t="s">
        <v>273</v>
      </c>
      <c r="F688">
        <v>10</v>
      </c>
      <c r="G688">
        <v>3870</v>
      </c>
      <c r="H688">
        <v>23.9</v>
      </c>
      <c r="I688">
        <v>29450.7</v>
      </c>
      <c r="J688" t="s">
        <v>87</v>
      </c>
      <c r="K688" t="s">
        <v>117</v>
      </c>
      <c r="L688" t="s">
        <v>117</v>
      </c>
      <c r="M688" t="s">
        <v>2784</v>
      </c>
      <c r="N688" t="s">
        <v>2862</v>
      </c>
      <c r="O688">
        <v>1559</v>
      </c>
      <c r="P688">
        <v>3870</v>
      </c>
    </row>
    <row r="689" spans="1:16" x14ac:dyDescent="0.3">
      <c r="A689" t="s">
        <v>423</v>
      </c>
      <c r="B689" s="45">
        <v>45360</v>
      </c>
      <c r="C689" t="s">
        <v>233</v>
      </c>
      <c r="D689" t="s">
        <v>364</v>
      </c>
      <c r="E689" t="s">
        <v>285</v>
      </c>
      <c r="F689">
        <v>4</v>
      </c>
      <c r="G689">
        <v>5330</v>
      </c>
      <c r="H689">
        <v>22.6</v>
      </c>
      <c r="I689">
        <v>16501.68</v>
      </c>
      <c r="J689" t="s">
        <v>93</v>
      </c>
      <c r="K689" t="s">
        <v>88</v>
      </c>
      <c r="L689" t="s">
        <v>88</v>
      </c>
      <c r="M689" t="s">
        <v>2784</v>
      </c>
      <c r="N689" t="s">
        <v>2871</v>
      </c>
      <c r="O689">
        <v>2405</v>
      </c>
      <c r="P689">
        <v>5330</v>
      </c>
    </row>
    <row r="690" spans="1:16" x14ac:dyDescent="0.3">
      <c r="A690" t="s">
        <v>424</v>
      </c>
      <c r="B690" s="45">
        <v>45559</v>
      </c>
      <c r="C690" t="s">
        <v>425</v>
      </c>
      <c r="D690" t="s">
        <v>408</v>
      </c>
      <c r="E690" t="s">
        <v>285</v>
      </c>
      <c r="F690">
        <v>8</v>
      </c>
      <c r="G690">
        <v>3970</v>
      </c>
      <c r="H690">
        <v>21.8</v>
      </c>
      <c r="I690">
        <v>24836.32</v>
      </c>
      <c r="J690" t="s">
        <v>87</v>
      </c>
      <c r="K690" t="s">
        <v>94</v>
      </c>
      <c r="L690" t="s">
        <v>94</v>
      </c>
      <c r="M690" t="s">
        <v>2784</v>
      </c>
      <c r="N690" t="s">
        <v>2871</v>
      </c>
      <c r="O690">
        <v>2865</v>
      </c>
      <c r="P690">
        <v>3970</v>
      </c>
    </row>
    <row r="691" spans="1:16" x14ac:dyDescent="0.3">
      <c r="A691" t="s">
        <v>445</v>
      </c>
      <c r="B691" s="45">
        <v>45346</v>
      </c>
      <c r="C691" t="s">
        <v>440</v>
      </c>
      <c r="D691" t="s">
        <v>282</v>
      </c>
      <c r="E691" t="s">
        <v>116</v>
      </c>
      <c r="F691">
        <v>5</v>
      </c>
      <c r="G691">
        <v>300</v>
      </c>
      <c r="H691">
        <v>25.8</v>
      </c>
      <c r="I691">
        <v>1113</v>
      </c>
      <c r="J691" t="s">
        <v>87</v>
      </c>
      <c r="K691" t="s">
        <v>88</v>
      </c>
      <c r="L691" t="s">
        <v>88</v>
      </c>
      <c r="M691" t="s">
        <v>2784</v>
      </c>
      <c r="N691" t="s">
        <v>2879</v>
      </c>
      <c r="O691">
        <v>128</v>
      </c>
      <c r="P691">
        <v>300</v>
      </c>
    </row>
    <row r="692" spans="1:16" x14ac:dyDescent="0.3">
      <c r="A692" t="s">
        <v>458</v>
      </c>
      <c r="B692" s="45">
        <v>45447</v>
      </c>
      <c r="C692" t="s">
        <v>407</v>
      </c>
      <c r="D692" t="s">
        <v>248</v>
      </c>
      <c r="E692" t="s">
        <v>170</v>
      </c>
      <c r="F692">
        <v>4</v>
      </c>
      <c r="G692">
        <v>3870</v>
      </c>
      <c r="H692">
        <v>29.6</v>
      </c>
      <c r="I692">
        <v>10897.92</v>
      </c>
      <c r="J692" t="s">
        <v>140</v>
      </c>
      <c r="K692" t="s">
        <v>88</v>
      </c>
      <c r="L692" t="s">
        <v>88</v>
      </c>
      <c r="M692" t="s">
        <v>2784</v>
      </c>
      <c r="N692" t="s">
        <v>2879</v>
      </c>
      <c r="O692">
        <v>1559</v>
      </c>
      <c r="P692">
        <v>3870</v>
      </c>
    </row>
    <row r="693" spans="1:16" x14ac:dyDescent="0.3">
      <c r="A693" t="s">
        <v>468</v>
      </c>
      <c r="B693" s="45">
        <v>45442</v>
      </c>
      <c r="C693" t="s">
        <v>469</v>
      </c>
      <c r="D693" t="s">
        <v>279</v>
      </c>
      <c r="E693" t="s">
        <v>238</v>
      </c>
      <c r="F693">
        <v>8</v>
      </c>
      <c r="G693">
        <v>2660</v>
      </c>
      <c r="H693">
        <v>17.600000000000001</v>
      </c>
      <c r="I693">
        <v>17534.72</v>
      </c>
      <c r="J693" t="s">
        <v>87</v>
      </c>
      <c r="K693" t="s">
        <v>117</v>
      </c>
      <c r="L693" t="s">
        <v>117</v>
      </c>
      <c r="M693" t="s">
        <v>2784</v>
      </c>
      <c r="N693" t="s">
        <v>2871</v>
      </c>
      <c r="O693">
        <v>1259</v>
      </c>
      <c r="P693">
        <v>2660</v>
      </c>
    </row>
    <row r="694" spans="1:16" x14ac:dyDescent="0.3">
      <c r="A694" t="s">
        <v>477</v>
      </c>
      <c r="B694" s="45">
        <v>45601</v>
      </c>
      <c r="C694" t="s">
        <v>150</v>
      </c>
      <c r="D694" t="s">
        <v>364</v>
      </c>
      <c r="E694" t="s">
        <v>86</v>
      </c>
      <c r="F694">
        <v>6</v>
      </c>
      <c r="G694">
        <v>5330</v>
      </c>
      <c r="H694">
        <v>17.899999999999999</v>
      </c>
      <c r="I694">
        <v>26255.58</v>
      </c>
      <c r="J694" t="s">
        <v>87</v>
      </c>
      <c r="K694" t="s">
        <v>88</v>
      </c>
      <c r="L694" t="s">
        <v>88</v>
      </c>
      <c r="M694" t="s">
        <v>2784</v>
      </c>
      <c r="N694" t="s">
        <v>2855</v>
      </c>
      <c r="O694">
        <v>2405</v>
      </c>
      <c r="P694">
        <v>5330</v>
      </c>
    </row>
    <row r="695" spans="1:16" x14ac:dyDescent="0.3">
      <c r="A695" t="s">
        <v>491</v>
      </c>
      <c r="B695" s="45">
        <v>45312</v>
      </c>
      <c r="C695" t="s">
        <v>442</v>
      </c>
      <c r="D695" t="s">
        <v>187</v>
      </c>
      <c r="E695" t="s">
        <v>325</v>
      </c>
      <c r="F695">
        <v>2</v>
      </c>
      <c r="G695">
        <v>3570</v>
      </c>
      <c r="H695">
        <v>6.7</v>
      </c>
      <c r="I695">
        <v>6661.62</v>
      </c>
      <c r="J695" t="s">
        <v>140</v>
      </c>
      <c r="K695" t="s">
        <v>88</v>
      </c>
      <c r="L695" t="s">
        <v>88</v>
      </c>
      <c r="M695" t="s">
        <v>2784</v>
      </c>
      <c r="N695" t="s">
        <v>2862</v>
      </c>
      <c r="O695">
        <v>1665</v>
      </c>
      <c r="P695">
        <v>3570</v>
      </c>
    </row>
    <row r="696" spans="1:16" x14ac:dyDescent="0.3">
      <c r="A696" t="s">
        <v>499</v>
      </c>
      <c r="B696" s="45">
        <v>45295</v>
      </c>
      <c r="C696" t="s">
        <v>294</v>
      </c>
      <c r="D696" t="s">
        <v>248</v>
      </c>
      <c r="E696" t="s">
        <v>86</v>
      </c>
      <c r="F696">
        <v>9</v>
      </c>
      <c r="G696">
        <v>3870</v>
      </c>
      <c r="H696">
        <v>27.5</v>
      </c>
      <c r="I696">
        <v>25251.75</v>
      </c>
      <c r="J696" t="s">
        <v>87</v>
      </c>
      <c r="K696" t="s">
        <v>133</v>
      </c>
      <c r="L696" t="s">
        <v>133</v>
      </c>
      <c r="M696" t="s">
        <v>2784</v>
      </c>
      <c r="N696" t="s">
        <v>2855</v>
      </c>
      <c r="O696">
        <v>1559</v>
      </c>
      <c r="P696">
        <v>3870</v>
      </c>
    </row>
    <row r="697" spans="1:16" x14ac:dyDescent="0.3">
      <c r="A697" t="s">
        <v>525</v>
      </c>
      <c r="B697" s="45">
        <v>45587</v>
      </c>
      <c r="C697" t="s">
        <v>385</v>
      </c>
      <c r="D697" t="s">
        <v>187</v>
      </c>
      <c r="E697" t="s">
        <v>148</v>
      </c>
      <c r="F697">
        <v>2</v>
      </c>
      <c r="G697">
        <v>3570</v>
      </c>
      <c r="H697">
        <v>11.6</v>
      </c>
      <c r="I697">
        <v>6311.76</v>
      </c>
      <c r="J697" t="s">
        <v>93</v>
      </c>
      <c r="K697" t="s">
        <v>117</v>
      </c>
      <c r="L697" t="s">
        <v>117</v>
      </c>
      <c r="M697" t="s">
        <v>2784</v>
      </c>
      <c r="N697" t="s">
        <v>2855</v>
      </c>
      <c r="O697">
        <v>1665</v>
      </c>
      <c r="P697">
        <v>3570</v>
      </c>
    </row>
    <row r="698" spans="1:16" x14ac:dyDescent="0.3">
      <c r="A698" t="s">
        <v>529</v>
      </c>
      <c r="B698" s="45">
        <v>45490</v>
      </c>
      <c r="C698" t="s">
        <v>530</v>
      </c>
      <c r="D698" t="s">
        <v>279</v>
      </c>
      <c r="E698" t="s">
        <v>98</v>
      </c>
      <c r="F698">
        <v>4</v>
      </c>
      <c r="G698">
        <v>2660</v>
      </c>
      <c r="H698">
        <v>29.7</v>
      </c>
      <c r="I698">
        <v>7479.92</v>
      </c>
      <c r="J698" t="s">
        <v>87</v>
      </c>
      <c r="K698" t="s">
        <v>99</v>
      </c>
      <c r="L698" t="s">
        <v>99</v>
      </c>
      <c r="M698" t="s">
        <v>2784</v>
      </c>
      <c r="N698" t="s">
        <v>2862</v>
      </c>
      <c r="O698">
        <v>1259</v>
      </c>
      <c r="P698">
        <v>2660</v>
      </c>
    </row>
    <row r="699" spans="1:16" x14ac:dyDescent="0.3">
      <c r="A699" t="s">
        <v>534</v>
      </c>
      <c r="B699" s="45">
        <v>45319</v>
      </c>
      <c r="C699" t="s">
        <v>440</v>
      </c>
      <c r="D699" t="s">
        <v>282</v>
      </c>
      <c r="E699" t="s">
        <v>238</v>
      </c>
      <c r="F699">
        <v>8</v>
      </c>
      <c r="G699">
        <v>300</v>
      </c>
      <c r="H699">
        <v>20.6</v>
      </c>
      <c r="I699">
        <v>1905.6</v>
      </c>
      <c r="J699" t="s">
        <v>144</v>
      </c>
      <c r="K699" t="s">
        <v>88</v>
      </c>
      <c r="L699" t="s">
        <v>88</v>
      </c>
      <c r="M699" t="s">
        <v>2784</v>
      </c>
      <c r="N699" t="s">
        <v>2871</v>
      </c>
      <c r="O699">
        <v>128</v>
      </c>
      <c r="P699">
        <v>300</v>
      </c>
    </row>
    <row r="700" spans="1:16" x14ac:dyDescent="0.3">
      <c r="A700" t="s">
        <v>536</v>
      </c>
      <c r="B700" s="45">
        <v>45572</v>
      </c>
      <c r="C700" t="s">
        <v>537</v>
      </c>
      <c r="D700" t="s">
        <v>248</v>
      </c>
      <c r="E700" t="s">
        <v>188</v>
      </c>
      <c r="F700">
        <v>1</v>
      </c>
      <c r="G700">
        <v>3870</v>
      </c>
      <c r="H700">
        <v>23.5</v>
      </c>
      <c r="I700">
        <v>2960.55</v>
      </c>
      <c r="J700" t="s">
        <v>93</v>
      </c>
      <c r="K700" t="s">
        <v>133</v>
      </c>
      <c r="L700" t="s">
        <v>133</v>
      </c>
      <c r="M700" t="s">
        <v>2784</v>
      </c>
      <c r="N700" t="s">
        <v>2862</v>
      </c>
      <c r="O700">
        <v>1559</v>
      </c>
      <c r="P700">
        <v>3870</v>
      </c>
    </row>
    <row r="701" spans="1:16" x14ac:dyDescent="0.3">
      <c r="A701" t="s">
        <v>547</v>
      </c>
      <c r="B701" s="45">
        <v>45573</v>
      </c>
      <c r="C701" t="s">
        <v>291</v>
      </c>
      <c r="D701" t="s">
        <v>408</v>
      </c>
      <c r="E701" t="s">
        <v>107</v>
      </c>
      <c r="F701">
        <v>8</v>
      </c>
      <c r="G701">
        <v>3970</v>
      </c>
      <c r="H701">
        <v>18.100000000000001</v>
      </c>
      <c r="I701">
        <v>26011.439999999999</v>
      </c>
      <c r="J701" t="s">
        <v>87</v>
      </c>
      <c r="K701" t="s">
        <v>99</v>
      </c>
      <c r="L701" t="s">
        <v>99</v>
      </c>
      <c r="M701" t="s">
        <v>2784</v>
      </c>
      <c r="N701" t="s">
        <v>2855</v>
      </c>
      <c r="O701">
        <v>2865</v>
      </c>
      <c r="P701">
        <v>3970</v>
      </c>
    </row>
    <row r="702" spans="1:16" x14ac:dyDescent="0.3">
      <c r="A702" t="s">
        <v>552</v>
      </c>
      <c r="B702" s="45">
        <v>45424</v>
      </c>
      <c r="C702" t="s">
        <v>553</v>
      </c>
      <c r="D702" t="s">
        <v>279</v>
      </c>
      <c r="E702" t="s">
        <v>103</v>
      </c>
      <c r="F702">
        <v>9</v>
      </c>
      <c r="G702">
        <v>2660</v>
      </c>
      <c r="H702">
        <v>13.1</v>
      </c>
      <c r="I702">
        <v>20803.86</v>
      </c>
      <c r="J702" t="s">
        <v>93</v>
      </c>
      <c r="K702" t="s">
        <v>112</v>
      </c>
      <c r="L702" t="s">
        <v>112</v>
      </c>
      <c r="M702" t="s">
        <v>2784</v>
      </c>
      <c r="N702" t="s">
        <v>2855</v>
      </c>
      <c r="O702">
        <v>1259</v>
      </c>
      <c r="P702">
        <v>2660</v>
      </c>
    </row>
    <row r="703" spans="1:16" x14ac:dyDescent="0.3">
      <c r="A703" t="s">
        <v>554</v>
      </c>
      <c r="B703" s="45">
        <v>45400</v>
      </c>
      <c r="C703" t="s">
        <v>555</v>
      </c>
      <c r="D703" t="s">
        <v>187</v>
      </c>
      <c r="E703" t="s">
        <v>139</v>
      </c>
      <c r="F703">
        <v>4</v>
      </c>
      <c r="G703">
        <v>3570</v>
      </c>
      <c r="H703">
        <v>1.5</v>
      </c>
      <c r="I703">
        <v>14065.8</v>
      </c>
      <c r="J703" t="s">
        <v>140</v>
      </c>
      <c r="K703" t="s">
        <v>112</v>
      </c>
      <c r="L703" t="s">
        <v>112</v>
      </c>
      <c r="M703" t="s">
        <v>2784</v>
      </c>
      <c r="N703" t="s">
        <v>2855</v>
      </c>
      <c r="O703">
        <v>1665</v>
      </c>
      <c r="P703">
        <v>3570</v>
      </c>
    </row>
    <row r="704" spans="1:16" x14ac:dyDescent="0.3">
      <c r="A704" t="s">
        <v>562</v>
      </c>
      <c r="B704" s="45">
        <v>45614</v>
      </c>
      <c r="C704" t="s">
        <v>563</v>
      </c>
      <c r="D704" t="s">
        <v>282</v>
      </c>
      <c r="E704" t="s">
        <v>92</v>
      </c>
      <c r="F704">
        <v>9</v>
      </c>
      <c r="G704">
        <v>300</v>
      </c>
      <c r="H704">
        <v>25.4</v>
      </c>
      <c r="I704">
        <v>2014.2</v>
      </c>
      <c r="J704" t="s">
        <v>140</v>
      </c>
      <c r="K704" t="s">
        <v>88</v>
      </c>
      <c r="L704" t="s">
        <v>88</v>
      </c>
      <c r="M704" t="s">
        <v>2784</v>
      </c>
      <c r="N704" t="s">
        <v>2855</v>
      </c>
      <c r="O704">
        <v>128</v>
      </c>
      <c r="P704">
        <v>300</v>
      </c>
    </row>
    <row r="705" spans="1:16" x14ac:dyDescent="0.3">
      <c r="A705" t="s">
        <v>583</v>
      </c>
      <c r="B705" s="45">
        <v>45389</v>
      </c>
      <c r="C705" t="s">
        <v>247</v>
      </c>
      <c r="D705" t="s">
        <v>364</v>
      </c>
      <c r="E705" t="s">
        <v>303</v>
      </c>
      <c r="F705">
        <v>2</v>
      </c>
      <c r="G705">
        <v>5330</v>
      </c>
      <c r="H705">
        <v>23.8</v>
      </c>
      <c r="I705">
        <v>8122.92</v>
      </c>
      <c r="J705" t="s">
        <v>93</v>
      </c>
      <c r="K705" t="s">
        <v>117</v>
      </c>
      <c r="L705" t="s">
        <v>117</v>
      </c>
      <c r="M705" t="s">
        <v>2784</v>
      </c>
      <c r="N705" t="s">
        <v>2871</v>
      </c>
      <c r="O705">
        <v>2405</v>
      </c>
      <c r="P705">
        <v>5330</v>
      </c>
    </row>
    <row r="706" spans="1:16" x14ac:dyDescent="0.3">
      <c r="A706" t="s">
        <v>586</v>
      </c>
      <c r="B706" s="45">
        <v>45480</v>
      </c>
      <c r="C706" t="s">
        <v>460</v>
      </c>
      <c r="D706" t="s">
        <v>282</v>
      </c>
      <c r="E706" t="s">
        <v>139</v>
      </c>
      <c r="F706">
        <v>6</v>
      </c>
      <c r="G706">
        <v>300</v>
      </c>
      <c r="H706">
        <v>17.399999999999999</v>
      </c>
      <c r="I706">
        <v>1486.8</v>
      </c>
      <c r="J706" t="s">
        <v>140</v>
      </c>
      <c r="K706" t="s">
        <v>88</v>
      </c>
      <c r="L706" t="s">
        <v>88</v>
      </c>
      <c r="M706" t="s">
        <v>2784</v>
      </c>
      <c r="N706" t="s">
        <v>2855</v>
      </c>
      <c r="O706">
        <v>128</v>
      </c>
      <c r="P706">
        <v>300</v>
      </c>
    </row>
    <row r="707" spans="1:16" x14ac:dyDescent="0.3">
      <c r="A707" t="s">
        <v>591</v>
      </c>
      <c r="B707" s="45">
        <v>45576</v>
      </c>
      <c r="C707" t="s">
        <v>592</v>
      </c>
      <c r="D707" t="s">
        <v>135</v>
      </c>
      <c r="E707" t="s">
        <v>132</v>
      </c>
      <c r="F707">
        <v>10</v>
      </c>
      <c r="G707">
        <v>2640</v>
      </c>
      <c r="H707">
        <v>11.2</v>
      </c>
      <c r="I707">
        <v>23443.200000000001</v>
      </c>
      <c r="J707" t="s">
        <v>93</v>
      </c>
      <c r="K707" t="s">
        <v>133</v>
      </c>
      <c r="L707" t="s">
        <v>133</v>
      </c>
      <c r="M707" t="s">
        <v>2784</v>
      </c>
      <c r="N707" t="s">
        <v>2862</v>
      </c>
      <c r="O707">
        <v>1149</v>
      </c>
      <c r="P707">
        <v>2640</v>
      </c>
    </row>
    <row r="708" spans="1:16" x14ac:dyDescent="0.3">
      <c r="A708" t="s">
        <v>598</v>
      </c>
      <c r="B708" s="45">
        <v>45545</v>
      </c>
      <c r="C708" t="s">
        <v>599</v>
      </c>
      <c r="D708" t="s">
        <v>138</v>
      </c>
      <c r="E708" t="s">
        <v>343</v>
      </c>
      <c r="F708">
        <v>7</v>
      </c>
      <c r="G708">
        <v>2600</v>
      </c>
      <c r="H708">
        <v>6.6</v>
      </c>
      <c r="I708">
        <v>16998.8</v>
      </c>
      <c r="J708" t="s">
        <v>87</v>
      </c>
      <c r="K708" t="s">
        <v>117</v>
      </c>
      <c r="L708" t="s">
        <v>117</v>
      </c>
      <c r="M708" t="s">
        <v>2784</v>
      </c>
      <c r="N708" t="s">
        <v>2879</v>
      </c>
      <c r="O708">
        <v>1052</v>
      </c>
      <c r="P708">
        <v>2600</v>
      </c>
    </row>
    <row r="709" spans="1:16" x14ac:dyDescent="0.3">
      <c r="A709" t="s">
        <v>614</v>
      </c>
      <c r="B709" s="45">
        <v>45321</v>
      </c>
      <c r="C709" t="s">
        <v>615</v>
      </c>
      <c r="D709" t="s">
        <v>187</v>
      </c>
      <c r="E709" t="s">
        <v>285</v>
      </c>
      <c r="F709">
        <v>10</v>
      </c>
      <c r="G709">
        <v>3570</v>
      </c>
      <c r="H709">
        <v>10.7</v>
      </c>
      <c r="I709">
        <v>31880.1</v>
      </c>
      <c r="J709" t="s">
        <v>87</v>
      </c>
      <c r="K709" t="s">
        <v>112</v>
      </c>
      <c r="L709" t="s">
        <v>112</v>
      </c>
      <c r="M709" t="s">
        <v>2784</v>
      </c>
      <c r="N709" t="s">
        <v>2871</v>
      </c>
      <c r="O709">
        <v>1665</v>
      </c>
      <c r="P709">
        <v>3570</v>
      </c>
    </row>
    <row r="710" spans="1:16" x14ac:dyDescent="0.3">
      <c r="A710" t="s">
        <v>616</v>
      </c>
      <c r="B710" s="45">
        <v>45511</v>
      </c>
      <c r="C710" t="s">
        <v>617</v>
      </c>
      <c r="D710" t="s">
        <v>187</v>
      </c>
      <c r="E710" t="s">
        <v>116</v>
      </c>
      <c r="F710">
        <v>7</v>
      </c>
      <c r="G710">
        <v>3570</v>
      </c>
      <c r="H710">
        <v>12.2</v>
      </c>
      <c r="I710">
        <v>21941.22</v>
      </c>
      <c r="J710" t="s">
        <v>87</v>
      </c>
      <c r="K710" t="s">
        <v>112</v>
      </c>
      <c r="L710" t="s">
        <v>112</v>
      </c>
      <c r="M710" t="s">
        <v>2784</v>
      </c>
      <c r="N710" t="s">
        <v>2879</v>
      </c>
      <c r="O710">
        <v>1665</v>
      </c>
      <c r="P710">
        <v>3570</v>
      </c>
    </row>
    <row r="711" spans="1:16" x14ac:dyDescent="0.3">
      <c r="A711" t="s">
        <v>620</v>
      </c>
      <c r="B711" s="45">
        <v>45371</v>
      </c>
      <c r="C711" t="s">
        <v>621</v>
      </c>
      <c r="D711" t="s">
        <v>279</v>
      </c>
      <c r="E711" t="s">
        <v>154</v>
      </c>
      <c r="F711">
        <v>4</v>
      </c>
      <c r="G711">
        <v>2660</v>
      </c>
      <c r="H711">
        <v>18.8</v>
      </c>
      <c r="I711">
        <v>8639.68</v>
      </c>
      <c r="J711" t="s">
        <v>93</v>
      </c>
      <c r="K711" t="s">
        <v>94</v>
      </c>
      <c r="L711" t="s">
        <v>94</v>
      </c>
      <c r="M711" t="s">
        <v>2784</v>
      </c>
      <c r="N711" t="s">
        <v>2871</v>
      </c>
      <c r="O711">
        <v>1259</v>
      </c>
      <c r="P711">
        <v>2660</v>
      </c>
    </row>
    <row r="712" spans="1:16" x14ac:dyDescent="0.3">
      <c r="A712" t="s">
        <v>623</v>
      </c>
      <c r="B712" s="45">
        <v>45513</v>
      </c>
      <c r="C712" t="s">
        <v>624</v>
      </c>
      <c r="D712" t="s">
        <v>138</v>
      </c>
      <c r="E712" t="s">
        <v>148</v>
      </c>
      <c r="F712">
        <v>10</v>
      </c>
      <c r="G712">
        <v>2600</v>
      </c>
      <c r="H712">
        <v>24.7</v>
      </c>
      <c r="I712">
        <v>19578</v>
      </c>
      <c r="J712" t="s">
        <v>87</v>
      </c>
      <c r="K712" t="s">
        <v>88</v>
      </c>
      <c r="L712" t="s">
        <v>88</v>
      </c>
      <c r="M712" t="s">
        <v>2784</v>
      </c>
      <c r="N712" t="s">
        <v>2855</v>
      </c>
      <c r="O712">
        <v>1052</v>
      </c>
      <c r="P712">
        <v>2600</v>
      </c>
    </row>
    <row r="713" spans="1:16" x14ac:dyDescent="0.3">
      <c r="A713" t="s">
        <v>636</v>
      </c>
      <c r="B713" s="45">
        <v>45428</v>
      </c>
      <c r="C713" t="s">
        <v>561</v>
      </c>
      <c r="D713" t="s">
        <v>248</v>
      </c>
      <c r="E713" t="s">
        <v>86</v>
      </c>
      <c r="F713">
        <v>2</v>
      </c>
      <c r="G713">
        <v>3870</v>
      </c>
      <c r="H713">
        <v>18.100000000000001</v>
      </c>
      <c r="I713">
        <v>6339.06</v>
      </c>
      <c r="J713" t="s">
        <v>140</v>
      </c>
      <c r="K713" t="s">
        <v>133</v>
      </c>
      <c r="L713" t="s">
        <v>133</v>
      </c>
      <c r="M713" t="s">
        <v>2784</v>
      </c>
      <c r="N713" t="s">
        <v>2855</v>
      </c>
      <c r="O713">
        <v>1559</v>
      </c>
      <c r="P713">
        <v>3870</v>
      </c>
    </row>
    <row r="714" spans="1:16" x14ac:dyDescent="0.3">
      <c r="A714" t="s">
        <v>641</v>
      </c>
      <c r="B714" s="45">
        <v>45296</v>
      </c>
      <c r="C714" t="s">
        <v>312</v>
      </c>
      <c r="D714" t="s">
        <v>187</v>
      </c>
      <c r="E714" t="s">
        <v>92</v>
      </c>
      <c r="F714">
        <v>3</v>
      </c>
      <c r="G714">
        <v>3570</v>
      </c>
      <c r="H714">
        <v>9.5</v>
      </c>
      <c r="I714">
        <v>9692.5499999999993</v>
      </c>
      <c r="J714" t="s">
        <v>87</v>
      </c>
      <c r="K714" t="s">
        <v>133</v>
      </c>
      <c r="L714" t="s">
        <v>133</v>
      </c>
      <c r="M714" t="s">
        <v>2784</v>
      </c>
      <c r="N714" t="s">
        <v>2855</v>
      </c>
      <c r="O714">
        <v>1665</v>
      </c>
      <c r="P714">
        <v>3570</v>
      </c>
    </row>
    <row r="715" spans="1:16" x14ac:dyDescent="0.3">
      <c r="A715" t="s">
        <v>646</v>
      </c>
      <c r="B715" s="45">
        <v>45541</v>
      </c>
      <c r="C715" t="s">
        <v>429</v>
      </c>
      <c r="D715" t="s">
        <v>248</v>
      </c>
      <c r="E715" t="s">
        <v>148</v>
      </c>
      <c r="F715">
        <v>9</v>
      </c>
      <c r="G715">
        <v>3870</v>
      </c>
      <c r="H715">
        <v>4.8</v>
      </c>
      <c r="I715">
        <v>33158.160000000003</v>
      </c>
      <c r="J715" t="s">
        <v>87</v>
      </c>
      <c r="K715" t="s">
        <v>117</v>
      </c>
      <c r="L715" t="s">
        <v>117</v>
      </c>
      <c r="M715" t="s">
        <v>2784</v>
      </c>
      <c r="N715" t="s">
        <v>2855</v>
      </c>
      <c r="O715">
        <v>1559</v>
      </c>
      <c r="P715">
        <v>3870</v>
      </c>
    </row>
    <row r="716" spans="1:16" x14ac:dyDescent="0.3">
      <c r="A716" t="s">
        <v>647</v>
      </c>
      <c r="B716" s="45">
        <v>45633</v>
      </c>
      <c r="C716" t="s">
        <v>608</v>
      </c>
      <c r="D716" t="s">
        <v>267</v>
      </c>
      <c r="E716" t="s">
        <v>229</v>
      </c>
      <c r="F716">
        <v>5</v>
      </c>
      <c r="G716">
        <v>1220</v>
      </c>
      <c r="H716">
        <v>4</v>
      </c>
      <c r="I716">
        <v>5856</v>
      </c>
      <c r="J716" t="s">
        <v>140</v>
      </c>
      <c r="K716" t="s">
        <v>88</v>
      </c>
      <c r="L716" t="s">
        <v>88</v>
      </c>
      <c r="M716" t="s">
        <v>2784</v>
      </c>
      <c r="N716" t="s">
        <v>2879</v>
      </c>
      <c r="O716">
        <v>517</v>
      </c>
      <c r="P716">
        <v>1220</v>
      </c>
    </row>
    <row r="717" spans="1:16" x14ac:dyDescent="0.3">
      <c r="A717" t="s">
        <v>650</v>
      </c>
      <c r="B717" s="45">
        <v>45460</v>
      </c>
      <c r="C717" t="s">
        <v>651</v>
      </c>
      <c r="D717" t="s">
        <v>279</v>
      </c>
      <c r="E717" t="s">
        <v>148</v>
      </c>
      <c r="F717">
        <v>1</v>
      </c>
      <c r="G717">
        <v>2660</v>
      </c>
      <c r="H717">
        <v>21</v>
      </c>
      <c r="I717">
        <v>2101.4</v>
      </c>
      <c r="J717" t="s">
        <v>87</v>
      </c>
      <c r="K717" t="s">
        <v>133</v>
      </c>
      <c r="L717" t="s">
        <v>133</v>
      </c>
      <c r="M717" t="s">
        <v>2784</v>
      </c>
      <c r="N717" t="s">
        <v>2855</v>
      </c>
      <c r="O717">
        <v>1259</v>
      </c>
      <c r="P717">
        <v>2660</v>
      </c>
    </row>
    <row r="718" spans="1:16" x14ac:dyDescent="0.3">
      <c r="A718" t="s">
        <v>653</v>
      </c>
      <c r="B718" s="45">
        <v>45310</v>
      </c>
      <c r="C718" t="s">
        <v>522</v>
      </c>
      <c r="D718" t="s">
        <v>138</v>
      </c>
      <c r="E718" t="s">
        <v>215</v>
      </c>
      <c r="F718">
        <v>9</v>
      </c>
      <c r="G718">
        <v>2600</v>
      </c>
      <c r="H718">
        <v>15.7</v>
      </c>
      <c r="I718">
        <v>19726.2</v>
      </c>
      <c r="J718" t="s">
        <v>87</v>
      </c>
      <c r="K718" t="s">
        <v>99</v>
      </c>
      <c r="L718" t="s">
        <v>99</v>
      </c>
      <c r="M718" t="s">
        <v>2784</v>
      </c>
      <c r="N718" t="s">
        <v>2855</v>
      </c>
      <c r="O718">
        <v>1052</v>
      </c>
      <c r="P718">
        <v>2600</v>
      </c>
    </row>
    <row r="719" spans="1:16" x14ac:dyDescent="0.3">
      <c r="A719" t="s">
        <v>657</v>
      </c>
      <c r="B719" s="45">
        <v>45312</v>
      </c>
      <c r="C719" t="s">
        <v>615</v>
      </c>
      <c r="D719" t="s">
        <v>364</v>
      </c>
      <c r="E719" t="s">
        <v>103</v>
      </c>
      <c r="F719">
        <v>8</v>
      </c>
      <c r="G719">
        <v>5330</v>
      </c>
      <c r="H719">
        <v>16.2</v>
      </c>
      <c r="I719">
        <v>35732.32</v>
      </c>
      <c r="J719" t="s">
        <v>87</v>
      </c>
      <c r="K719" t="s">
        <v>112</v>
      </c>
      <c r="L719" t="s">
        <v>112</v>
      </c>
      <c r="M719" t="s">
        <v>2784</v>
      </c>
      <c r="N719" t="s">
        <v>2855</v>
      </c>
      <c r="O719">
        <v>2405</v>
      </c>
      <c r="P719">
        <v>5330</v>
      </c>
    </row>
    <row r="720" spans="1:16" x14ac:dyDescent="0.3">
      <c r="A720" t="s">
        <v>668</v>
      </c>
      <c r="B720" s="45">
        <v>45475</v>
      </c>
      <c r="C720" t="s">
        <v>669</v>
      </c>
      <c r="D720" t="s">
        <v>267</v>
      </c>
      <c r="E720" t="s">
        <v>204</v>
      </c>
      <c r="F720">
        <v>8</v>
      </c>
      <c r="G720">
        <v>1220</v>
      </c>
      <c r="H720">
        <v>28.2</v>
      </c>
      <c r="I720">
        <v>7007.68</v>
      </c>
      <c r="J720" t="s">
        <v>87</v>
      </c>
      <c r="K720" t="s">
        <v>133</v>
      </c>
      <c r="L720" t="s">
        <v>133</v>
      </c>
      <c r="M720" t="s">
        <v>2784</v>
      </c>
      <c r="N720" t="s">
        <v>2862</v>
      </c>
      <c r="O720">
        <v>517</v>
      </c>
      <c r="P720">
        <v>1220</v>
      </c>
    </row>
    <row r="721" spans="1:16" x14ac:dyDescent="0.3">
      <c r="A721" t="s">
        <v>682</v>
      </c>
      <c r="B721" s="45">
        <v>45554</v>
      </c>
      <c r="C721" t="s">
        <v>546</v>
      </c>
      <c r="D721" t="s">
        <v>279</v>
      </c>
      <c r="E721" t="s">
        <v>132</v>
      </c>
      <c r="F721">
        <v>5</v>
      </c>
      <c r="G721">
        <v>2660</v>
      </c>
      <c r="H721">
        <v>8.3000000000000007</v>
      </c>
      <c r="I721">
        <v>12196.1</v>
      </c>
      <c r="J721" t="s">
        <v>87</v>
      </c>
      <c r="K721" t="s">
        <v>99</v>
      </c>
      <c r="L721" t="s">
        <v>99</v>
      </c>
      <c r="M721" t="s">
        <v>2784</v>
      </c>
      <c r="N721" t="s">
        <v>2862</v>
      </c>
      <c r="O721">
        <v>1259</v>
      </c>
      <c r="P721">
        <v>2660</v>
      </c>
    </row>
    <row r="722" spans="1:16" x14ac:dyDescent="0.3">
      <c r="A722" t="s">
        <v>713</v>
      </c>
      <c r="B722" s="45">
        <v>45645</v>
      </c>
      <c r="C722" t="s">
        <v>714</v>
      </c>
      <c r="D722" t="s">
        <v>248</v>
      </c>
      <c r="E722" t="s">
        <v>229</v>
      </c>
      <c r="F722">
        <v>8</v>
      </c>
      <c r="G722">
        <v>3870</v>
      </c>
      <c r="H722">
        <v>11.9</v>
      </c>
      <c r="I722">
        <v>27275.759999999998</v>
      </c>
      <c r="J722" t="s">
        <v>87</v>
      </c>
      <c r="K722" t="s">
        <v>99</v>
      </c>
      <c r="L722" t="s">
        <v>99</v>
      </c>
      <c r="M722" t="s">
        <v>2784</v>
      </c>
      <c r="N722" t="s">
        <v>2879</v>
      </c>
      <c r="O722">
        <v>1559</v>
      </c>
      <c r="P722">
        <v>3870</v>
      </c>
    </row>
    <row r="723" spans="1:16" x14ac:dyDescent="0.3">
      <c r="A723" t="s">
        <v>719</v>
      </c>
      <c r="B723" s="45">
        <v>45339</v>
      </c>
      <c r="C723" t="s">
        <v>676</v>
      </c>
      <c r="D723" t="s">
        <v>364</v>
      </c>
      <c r="E723" t="s">
        <v>86</v>
      </c>
      <c r="F723">
        <v>9</v>
      </c>
      <c r="G723">
        <v>5330</v>
      </c>
      <c r="H723">
        <v>6.2</v>
      </c>
      <c r="I723">
        <v>44995.86</v>
      </c>
      <c r="J723" t="s">
        <v>87</v>
      </c>
      <c r="K723" t="s">
        <v>88</v>
      </c>
      <c r="L723" t="s">
        <v>88</v>
      </c>
      <c r="M723" t="s">
        <v>2784</v>
      </c>
      <c r="N723" t="s">
        <v>2855</v>
      </c>
      <c r="O723">
        <v>2405</v>
      </c>
      <c r="P723">
        <v>5330</v>
      </c>
    </row>
    <row r="724" spans="1:16" x14ac:dyDescent="0.3">
      <c r="A724" t="s">
        <v>726</v>
      </c>
      <c r="B724" s="45">
        <v>45295</v>
      </c>
      <c r="C724" t="s">
        <v>119</v>
      </c>
      <c r="D724" t="s">
        <v>187</v>
      </c>
      <c r="E724" t="s">
        <v>297</v>
      </c>
      <c r="F724">
        <v>5</v>
      </c>
      <c r="G724">
        <v>3570</v>
      </c>
      <c r="H724">
        <v>12.8</v>
      </c>
      <c r="I724">
        <v>15565.2</v>
      </c>
      <c r="J724" t="s">
        <v>87</v>
      </c>
      <c r="K724" t="s">
        <v>117</v>
      </c>
      <c r="L724" t="s">
        <v>117</v>
      </c>
      <c r="M724" t="s">
        <v>2784</v>
      </c>
      <c r="N724" t="s">
        <v>2855</v>
      </c>
      <c r="O724">
        <v>1665</v>
      </c>
      <c r="P724">
        <v>3570</v>
      </c>
    </row>
    <row r="725" spans="1:16" x14ac:dyDescent="0.3">
      <c r="A725" t="s">
        <v>727</v>
      </c>
      <c r="B725" s="45">
        <v>45590</v>
      </c>
      <c r="C725" t="s">
        <v>256</v>
      </c>
      <c r="D725" t="s">
        <v>364</v>
      </c>
      <c r="E725" t="s">
        <v>229</v>
      </c>
      <c r="F725">
        <v>3</v>
      </c>
      <c r="G725">
        <v>5330</v>
      </c>
      <c r="H725">
        <v>16.2</v>
      </c>
      <c r="I725">
        <v>13399.62</v>
      </c>
      <c r="J725" t="s">
        <v>87</v>
      </c>
      <c r="K725" t="s">
        <v>133</v>
      </c>
      <c r="L725" t="s">
        <v>133</v>
      </c>
      <c r="M725" t="s">
        <v>2784</v>
      </c>
      <c r="N725" t="s">
        <v>2879</v>
      </c>
      <c r="O725">
        <v>2405</v>
      </c>
      <c r="P725">
        <v>5330</v>
      </c>
    </row>
    <row r="726" spans="1:16" x14ac:dyDescent="0.3">
      <c r="A726" t="s">
        <v>736</v>
      </c>
      <c r="B726" s="45">
        <v>45446</v>
      </c>
      <c r="C726" t="s">
        <v>197</v>
      </c>
      <c r="D726" t="s">
        <v>135</v>
      </c>
      <c r="E726" t="s">
        <v>188</v>
      </c>
      <c r="F726">
        <v>4</v>
      </c>
      <c r="G726">
        <v>2640</v>
      </c>
      <c r="H726">
        <v>23.2</v>
      </c>
      <c r="I726">
        <v>8110.08</v>
      </c>
      <c r="J726" t="s">
        <v>144</v>
      </c>
      <c r="K726" t="s">
        <v>88</v>
      </c>
      <c r="L726" t="s">
        <v>88</v>
      </c>
      <c r="M726" t="s">
        <v>2784</v>
      </c>
      <c r="N726" t="s">
        <v>2862</v>
      </c>
      <c r="O726">
        <v>1149</v>
      </c>
      <c r="P726">
        <v>2640</v>
      </c>
    </row>
    <row r="727" spans="1:16" x14ac:dyDescent="0.3">
      <c r="A727" t="s">
        <v>739</v>
      </c>
      <c r="B727" s="45">
        <v>45459</v>
      </c>
      <c r="C727" t="s">
        <v>357</v>
      </c>
      <c r="D727" t="s">
        <v>187</v>
      </c>
      <c r="E727" t="s">
        <v>343</v>
      </c>
      <c r="F727">
        <v>1</v>
      </c>
      <c r="G727">
        <v>3570</v>
      </c>
      <c r="H727">
        <v>4.3</v>
      </c>
      <c r="I727">
        <v>3416.49</v>
      </c>
      <c r="J727" t="s">
        <v>87</v>
      </c>
      <c r="K727" t="s">
        <v>99</v>
      </c>
      <c r="L727" t="s">
        <v>99</v>
      </c>
      <c r="M727" t="s">
        <v>2784</v>
      </c>
      <c r="N727" t="s">
        <v>2879</v>
      </c>
      <c r="O727">
        <v>1665</v>
      </c>
      <c r="P727">
        <v>3570</v>
      </c>
    </row>
    <row r="728" spans="1:16" x14ac:dyDescent="0.3">
      <c r="A728" t="s">
        <v>755</v>
      </c>
      <c r="B728" s="45">
        <v>45591</v>
      </c>
      <c r="C728" t="s">
        <v>378</v>
      </c>
      <c r="D728" t="s">
        <v>267</v>
      </c>
      <c r="E728" t="s">
        <v>229</v>
      </c>
      <c r="F728">
        <v>1</v>
      </c>
      <c r="G728">
        <v>1220</v>
      </c>
      <c r="H728">
        <v>16.100000000000001</v>
      </c>
      <c r="I728">
        <v>1023.58</v>
      </c>
      <c r="J728" t="s">
        <v>87</v>
      </c>
      <c r="K728" t="s">
        <v>94</v>
      </c>
      <c r="L728" t="s">
        <v>94</v>
      </c>
      <c r="M728" t="s">
        <v>2784</v>
      </c>
      <c r="N728" t="s">
        <v>2879</v>
      </c>
      <c r="O728">
        <v>517</v>
      </c>
      <c r="P728">
        <v>1220</v>
      </c>
    </row>
    <row r="729" spans="1:16" x14ac:dyDescent="0.3">
      <c r="A729" t="s">
        <v>756</v>
      </c>
      <c r="B729" s="45">
        <v>45561</v>
      </c>
      <c r="C729" t="s">
        <v>757</v>
      </c>
      <c r="D729" t="s">
        <v>187</v>
      </c>
      <c r="E729" t="s">
        <v>103</v>
      </c>
      <c r="F729">
        <v>2</v>
      </c>
      <c r="G729">
        <v>3570</v>
      </c>
      <c r="H729">
        <v>1.1000000000000001</v>
      </c>
      <c r="I729">
        <v>7061.46</v>
      </c>
      <c r="J729" t="s">
        <v>87</v>
      </c>
      <c r="K729" t="s">
        <v>117</v>
      </c>
      <c r="L729" t="s">
        <v>117</v>
      </c>
      <c r="M729" t="s">
        <v>2784</v>
      </c>
      <c r="N729" t="s">
        <v>2855</v>
      </c>
      <c r="O729">
        <v>1665</v>
      </c>
      <c r="P729">
        <v>3570</v>
      </c>
    </row>
    <row r="730" spans="1:16" x14ac:dyDescent="0.3">
      <c r="A730" t="s">
        <v>765</v>
      </c>
      <c r="B730" s="45">
        <v>45371</v>
      </c>
      <c r="C730" t="s">
        <v>485</v>
      </c>
      <c r="D730" t="s">
        <v>138</v>
      </c>
      <c r="E730" t="s">
        <v>128</v>
      </c>
      <c r="F730">
        <v>9</v>
      </c>
      <c r="G730">
        <v>2600</v>
      </c>
      <c r="H730">
        <v>4.0999999999999996</v>
      </c>
      <c r="I730">
        <v>22440.6</v>
      </c>
      <c r="J730" t="s">
        <v>87</v>
      </c>
      <c r="K730" t="s">
        <v>88</v>
      </c>
      <c r="L730" t="s">
        <v>88</v>
      </c>
      <c r="M730" t="s">
        <v>2784</v>
      </c>
      <c r="N730" t="s">
        <v>2879</v>
      </c>
      <c r="O730">
        <v>1052</v>
      </c>
      <c r="P730">
        <v>2600</v>
      </c>
    </row>
    <row r="731" spans="1:16" x14ac:dyDescent="0.3">
      <c r="A731" t="s">
        <v>777</v>
      </c>
      <c r="B731" s="45">
        <v>45296</v>
      </c>
      <c r="C731" t="s">
        <v>582</v>
      </c>
      <c r="D731" t="s">
        <v>364</v>
      </c>
      <c r="E731" t="s">
        <v>132</v>
      </c>
      <c r="F731">
        <v>7</v>
      </c>
      <c r="G731">
        <v>5330</v>
      </c>
      <c r="H731">
        <v>2.5</v>
      </c>
      <c r="I731">
        <v>36377.25</v>
      </c>
      <c r="J731" t="s">
        <v>87</v>
      </c>
      <c r="K731" t="s">
        <v>94</v>
      </c>
      <c r="L731" t="s">
        <v>94</v>
      </c>
      <c r="M731" t="s">
        <v>2784</v>
      </c>
      <c r="N731" t="s">
        <v>2862</v>
      </c>
      <c r="O731">
        <v>2405</v>
      </c>
      <c r="P731">
        <v>5330</v>
      </c>
    </row>
    <row r="732" spans="1:16" x14ac:dyDescent="0.3">
      <c r="A732" t="s">
        <v>789</v>
      </c>
      <c r="B732" s="45">
        <v>45422</v>
      </c>
      <c r="C732" t="s">
        <v>651</v>
      </c>
      <c r="D732" t="s">
        <v>279</v>
      </c>
      <c r="E732" t="s">
        <v>103</v>
      </c>
      <c r="F732">
        <v>4</v>
      </c>
      <c r="G732">
        <v>2660</v>
      </c>
      <c r="H732">
        <v>19.7</v>
      </c>
      <c r="I732">
        <v>8543.92</v>
      </c>
      <c r="J732" t="s">
        <v>140</v>
      </c>
      <c r="K732" t="s">
        <v>133</v>
      </c>
      <c r="L732" t="s">
        <v>133</v>
      </c>
      <c r="M732" t="s">
        <v>2784</v>
      </c>
      <c r="N732" t="s">
        <v>2855</v>
      </c>
      <c r="O732">
        <v>1259</v>
      </c>
      <c r="P732">
        <v>2660</v>
      </c>
    </row>
    <row r="733" spans="1:16" x14ac:dyDescent="0.3">
      <c r="A733" t="s">
        <v>790</v>
      </c>
      <c r="B733" s="45">
        <v>45386</v>
      </c>
      <c r="C733" t="s">
        <v>172</v>
      </c>
      <c r="D733" t="s">
        <v>267</v>
      </c>
      <c r="E733" t="s">
        <v>252</v>
      </c>
      <c r="F733">
        <v>10</v>
      </c>
      <c r="G733">
        <v>1220</v>
      </c>
      <c r="H733">
        <v>10.1</v>
      </c>
      <c r="I733">
        <v>10967.8</v>
      </c>
      <c r="J733" t="s">
        <v>140</v>
      </c>
      <c r="K733" t="s">
        <v>88</v>
      </c>
      <c r="L733" t="s">
        <v>88</v>
      </c>
      <c r="M733" t="s">
        <v>2784</v>
      </c>
      <c r="N733" t="s">
        <v>2862</v>
      </c>
      <c r="O733">
        <v>517</v>
      </c>
      <c r="P733">
        <v>1220</v>
      </c>
    </row>
    <row r="734" spans="1:16" x14ac:dyDescent="0.3">
      <c r="A734" t="s">
        <v>791</v>
      </c>
      <c r="B734" s="45">
        <v>45584</v>
      </c>
      <c r="C734" t="s">
        <v>676</v>
      </c>
      <c r="D734" t="s">
        <v>138</v>
      </c>
      <c r="E734" t="s">
        <v>98</v>
      </c>
      <c r="F734">
        <v>8</v>
      </c>
      <c r="G734">
        <v>2600</v>
      </c>
      <c r="H734">
        <v>26.7</v>
      </c>
      <c r="I734">
        <v>15246.4</v>
      </c>
      <c r="J734" t="s">
        <v>87</v>
      </c>
      <c r="K734" t="s">
        <v>88</v>
      </c>
      <c r="L734" t="s">
        <v>88</v>
      </c>
      <c r="M734" t="s">
        <v>2784</v>
      </c>
      <c r="N734" t="s">
        <v>2862</v>
      </c>
      <c r="O734">
        <v>1052</v>
      </c>
      <c r="P734">
        <v>2600</v>
      </c>
    </row>
    <row r="735" spans="1:16" x14ac:dyDescent="0.3">
      <c r="A735" t="s">
        <v>809</v>
      </c>
      <c r="B735" s="45">
        <v>45462</v>
      </c>
      <c r="C735" t="s">
        <v>810</v>
      </c>
      <c r="D735" t="s">
        <v>267</v>
      </c>
      <c r="E735" t="s">
        <v>325</v>
      </c>
      <c r="F735">
        <v>5</v>
      </c>
      <c r="G735">
        <v>1220</v>
      </c>
      <c r="H735">
        <v>7.6</v>
      </c>
      <c r="I735">
        <v>5636.4</v>
      </c>
      <c r="J735" t="s">
        <v>87</v>
      </c>
      <c r="K735" t="s">
        <v>112</v>
      </c>
      <c r="L735" t="s">
        <v>112</v>
      </c>
      <c r="M735" t="s">
        <v>2784</v>
      </c>
      <c r="N735" t="s">
        <v>2862</v>
      </c>
      <c r="O735">
        <v>517</v>
      </c>
      <c r="P735">
        <v>1220</v>
      </c>
    </row>
    <row r="736" spans="1:16" x14ac:dyDescent="0.3">
      <c r="A736" t="s">
        <v>813</v>
      </c>
      <c r="B736" s="45">
        <v>45506</v>
      </c>
      <c r="C736" t="s">
        <v>501</v>
      </c>
      <c r="D736" t="s">
        <v>408</v>
      </c>
      <c r="E736" t="s">
        <v>128</v>
      </c>
      <c r="F736">
        <v>2</v>
      </c>
      <c r="G736">
        <v>3970</v>
      </c>
      <c r="H736">
        <v>14</v>
      </c>
      <c r="I736">
        <v>6828.4</v>
      </c>
      <c r="J736" t="s">
        <v>87</v>
      </c>
      <c r="K736" t="s">
        <v>133</v>
      </c>
      <c r="L736" t="s">
        <v>133</v>
      </c>
      <c r="M736" t="s">
        <v>2784</v>
      </c>
      <c r="N736" t="s">
        <v>2879</v>
      </c>
      <c r="O736">
        <v>2865</v>
      </c>
      <c r="P736">
        <v>3970</v>
      </c>
    </row>
    <row r="737" spans="1:16" x14ac:dyDescent="0.3">
      <c r="A737" t="s">
        <v>814</v>
      </c>
      <c r="B737" s="45">
        <v>45349</v>
      </c>
      <c r="C737" t="s">
        <v>266</v>
      </c>
      <c r="D737" t="s">
        <v>279</v>
      </c>
      <c r="E737" t="s">
        <v>303</v>
      </c>
      <c r="F737">
        <v>9</v>
      </c>
      <c r="G737">
        <v>2660</v>
      </c>
      <c r="H737">
        <v>10.1</v>
      </c>
      <c r="I737">
        <v>21522.06</v>
      </c>
      <c r="J737" t="s">
        <v>87</v>
      </c>
      <c r="K737" t="s">
        <v>99</v>
      </c>
      <c r="L737" t="s">
        <v>99</v>
      </c>
      <c r="M737" t="s">
        <v>2784</v>
      </c>
      <c r="N737" t="s">
        <v>2871</v>
      </c>
      <c r="O737">
        <v>1259</v>
      </c>
      <c r="P737">
        <v>2660</v>
      </c>
    </row>
    <row r="738" spans="1:16" x14ac:dyDescent="0.3">
      <c r="A738" t="s">
        <v>817</v>
      </c>
      <c r="B738" s="45">
        <v>45591</v>
      </c>
      <c r="C738" t="s">
        <v>291</v>
      </c>
      <c r="D738" t="s">
        <v>267</v>
      </c>
      <c r="E738" t="s">
        <v>86</v>
      </c>
      <c r="F738">
        <v>7</v>
      </c>
      <c r="G738">
        <v>1220</v>
      </c>
      <c r="H738">
        <v>23.5</v>
      </c>
      <c r="I738">
        <v>6533.1</v>
      </c>
      <c r="J738" t="s">
        <v>144</v>
      </c>
      <c r="K738" t="s">
        <v>99</v>
      </c>
      <c r="L738" t="s">
        <v>99</v>
      </c>
      <c r="M738" t="s">
        <v>2784</v>
      </c>
      <c r="N738" t="s">
        <v>2855</v>
      </c>
      <c r="O738">
        <v>517</v>
      </c>
      <c r="P738">
        <v>1220</v>
      </c>
    </row>
    <row r="739" spans="1:16" x14ac:dyDescent="0.3">
      <c r="A739" t="s">
        <v>821</v>
      </c>
      <c r="B739" s="45">
        <v>45408</v>
      </c>
      <c r="C739" t="s">
        <v>105</v>
      </c>
      <c r="D739" t="s">
        <v>138</v>
      </c>
      <c r="E739" t="s">
        <v>252</v>
      </c>
      <c r="F739">
        <v>1</v>
      </c>
      <c r="G739">
        <v>2600</v>
      </c>
      <c r="H739">
        <v>1</v>
      </c>
      <c r="I739">
        <v>2574</v>
      </c>
      <c r="J739" t="s">
        <v>87</v>
      </c>
      <c r="K739" t="s">
        <v>94</v>
      </c>
      <c r="L739" t="s">
        <v>94</v>
      </c>
      <c r="M739" t="s">
        <v>2784</v>
      </c>
      <c r="N739" t="s">
        <v>2862</v>
      </c>
      <c r="O739">
        <v>1052</v>
      </c>
      <c r="P739">
        <v>2600</v>
      </c>
    </row>
    <row r="740" spans="1:16" x14ac:dyDescent="0.3">
      <c r="A740" t="s">
        <v>831</v>
      </c>
      <c r="B740" s="45">
        <v>45577</v>
      </c>
      <c r="C740" t="s">
        <v>373</v>
      </c>
      <c r="D740" t="s">
        <v>408</v>
      </c>
      <c r="E740" t="s">
        <v>132</v>
      </c>
      <c r="F740">
        <v>5</v>
      </c>
      <c r="G740">
        <v>3970</v>
      </c>
      <c r="H740">
        <v>26</v>
      </c>
      <c r="I740">
        <v>14689</v>
      </c>
      <c r="J740" t="s">
        <v>87</v>
      </c>
      <c r="K740" t="s">
        <v>88</v>
      </c>
      <c r="L740" t="s">
        <v>88</v>
      </c>
      <c r="M740" t="s">
        <v>2784</v>
      </c>
      <c r="N740" t="s">
        <v>2862</v>
      </c>
      <c r="O740">
        <v>2865</v>
      </c>
      <c r="P740">
        <v>3970</v>
      </c>
    </row>
    <row r="741" spans="1:16" x14ac:dyDescent="0.3">
      <c r="A741" t="s">
        <v>840</v>
      </c>
      <c r="B741" s="45">
        <v>45454</v>
      </c>
      <c r="C741" t="s">
        <v>841</v>
      </c>
      <c r="D741" t="s">
        <v>187</v>
      </c>
      <c r="E741" t="s">
        <v>111</v>
      </c>
      <c r="F741">
        <v>9</v>
      </c>
      <c r="G741">
        <v>3570</v>
      </c>
      <c r="H741">
        <v>15.2</v>
      </c>
      <c r="I741">
        <v>27246.240000000002</v>
      </c>
      <c r="J741" t="s">
        <v>87</v>
      </c>
      <c r="K741" t="s">
        <v>117</v>
      </c>
      <c r="L741" t="s">
        <v>117</v>
      </c>
      <c r="M741" t="s">
        <v>2784</v>
      </c>
      <c r="N741" t="s">
        <v>2879</v>
      </c>
      <c r="O741">
        <v>1665</v>
      </c>
      <c r="P741">
        <v>3570</v>
      </c>
    </row>
    <row r="742" spans="1:16" x14ac:dyDescent="0.3">
      <c r="A742" t="s">
        <v>844</v>
      </c>
      <c r="B742" s="45">
        <v>45624</v>
      </c>
      <c r="C742" t="s">
        <v>567</v>
      </c>
      <c r="D742" t="s">
        <v>120</v>
      </c>
      <c r="E742" t="s">
        <v>98</v>
      </c>
      <c r="F742">
        <v>10</v>
      </c>
      <c r="G742">
        <v>1430</v>
      </c>
      <c r="H742">
        <v>25.2</v>
      </c>
      <c r="I742">
        <v>10696.4</v>
      </c>
      <c r="J742" t="s">
        <v>87</v>
      </c>
      <c r="K742" t="s">
        <v>117</v>
      </c>
      <c r="L742" t="s">
        <v>117</v>
      </c>
      <c r="M742" t="s">
        <v>2784</v>
      </c>
      <c r="N742" t="s">
        <v>2862</v>
      </c>
      <c r="O742">
        <v>861</v>
      </c>
      <c r="P742">
        <v>1430</v>
      </c>
    </row>
    <row r="743" spans="1:16" x14ac:dyDescent="0.3">
      <c r="A743" t="s">
        <v>848</v>
      </c>
      <c r="B743" s="45">
        <v>45382</v>
      </c>
      <c r="C743" t="s">
        <v>563</v>
      </c>
      <c r="D743" t="s">
        <v>138</v>
      </c>
      <c r="E743" t="s">
        <v>111</v>
      </c>
      <c r="F743">
        <v>9</v>
      </c>
      <c r="G743">
        <v>2600</v>
      </c>
      <c r="H743">
        <v>7.7</v>
      </c>
      <c r="I743">
        <v>21598.2</v>
      </c>
      <c r="J743" t="s">
        <v>87</v>
      </c>
      <c r="K743" t="s">
        <v>88</v>
      </c>
      <c r="L743" t="s">
        <v>88</v>
      </c>
      <c r="M743" t="s">
        <v>2784</v>
      </c>
      <c r="N743" t="s">
        <v>2879</v>
      </c>
      <c r="O743">
        <v>1052</v>
      </c>
      <c r="P743">
        <v>2600</v>
      </c>
    </row>
    <row r="744" spans="1:16" x14ac:dyDescent="0.3">
      <c r="A744" t="s">
        <v>851</v>
      </c>
      <c r="B744" s="45">
        <v>45510</v>
      </c>
      <c r="C744" t="s">
        <v>624</v>
      </c>
      <c r="D744" t="s">
        <v>364</v>
      </c>
      <c r="E744" t="s">
        <v>148</v>
      </c>
      <c r="F744">
        <v>6</v>
      </c>
      <c r="G744">
        <v>5330</v>
      </c>
      <c r="H744">
        <v>8.4</v>
      </c>
      <c r="I744">
        <v>29293.68</v>
      </c>
      <c r="J744" t="s">
        <v>87</v>
      </c>
      <c r="K744" t="s">
        <v>88</v>
      </c>
      <c r="L744" t="s">
        <v>88</v>
      </c>
      <c r="M744" t="s">
        <v>2784</v>
      </c>
      <c r="N744" t="s">
        <v>2855</v>
      </c>
      <c r="O744">
        <v>2405</v>
      </c>
      <c r="P744">
        <v>5330</v>
      </c>
    </row>
    <row r="745" spans="1:16" x14ac:dyDescent="0.3">
      <c r="A745" t="s">
        <v>855</v>
      </c>
      <c r="B745" s="45">
        <v>45628</v>
      </c>
      <c r="C745" t="s">
        <v>856</v>
      </c>
      <c r="D745" t="s">
        <v>135</v>
      </c>
      <c r="E745" t="s">
        <v>238</v>
      </c>
      <c r="F745">
        <v>10</v>
      </c>
      <c r="G745">
        <v>2640</v>
      </c>
      <c r="H745">
        <v>12.7</v>
      </c>
      <c r="I745">
        <v>23047.200000000001</v>
      </c>
      <c r="J745" t="s">
        <v>87</v>
      </c>
      <c r="K745" t="s">
        <v>88</v>
      </c>
      <c r="L745" t="s">
        <v>88</v>
      </c>
      <c r="M745" t="s">
        <v>2784</v>
      </c>
      <c r="N745" t="s">
        <v>2871</v>
      </c>
      <c r="O745">
        <v>1149</v>
      </c>
      <c r="P745">
        <v>2640</v>
      </c>
    </row>
    <row r="746" spans="1:16" x14ac:dyDescent="0.3">
      <c r="A746" t="s">
        <v>860</v>
      </c>
      <c r="B746" s="45">
        <v>45460</v>
      </c>
      <c r="C746" t="s">
        <v>427</v>
      </c>
      <c r="D746" t="s">
        <v>120</v>
      </c>
      <c r="E746" t="s">
        <v>204</v>
      </c>
      <c r="F746">
        <v>7</v>
      </c>
      <c r="G746">
        <v>1430</v>
      </c>
      <c r="H746">
        <v>19.3</v>
      </c>
      <c r="I746">
        <v>8078.07</v>
      </c>
      <c r="J746" t="s">
        <v>87</v>
      </c>
      <c r="K746" t="s">
        <v>88</v>
      </c>
      <c r="L746" t="s">
        <v>88</v>
      </c>
      <c r="M746" t="s">
        <v>2784</v>
      </c>
      <c r="N746" t="s">
        <v>2862</v>
      </c>
      <c r="O746">
        <v>861</v>
      </c>
      <c r="P746">
        <v>1430</v>
      </c>
    </row>
    <row r="747" spans="1:16" x14ac:dyDescent="0.3">
      <c r="A747" t="s">
        <v>862</v>
      </c>
      <c r="B747" s="45">
        <v>45324</v>
      </c>
      <c r="C747" t="s">
        <v>863</v>
      </c>
      <c r="D747" t="s">
        <v>279</v>
      </c>
      <c r="E747" t="s">
        <v>297</v>
      </c>
      <c r="F747">
        <v>2</v>
      </c>
      <c r="G747">
        <v>2660</v>
      </c>
      <c r="H747">
        <v>21.4</v>
      </c>
      <c r="I747">
        <v>4181.5200000000004</v>
      </c>
      <c r="J747" t="s">
        <v>87</v>
      </c>
      <c r="K747" t="s">
        <v>94</v>
      </c>
      <c r="L747" t="s">
        <v>94</v>
      </c>
      <c r="M747" t="s">
        <v>2784</v>
      </c>
      <c r="N747" t="s">
        <v>2855</v>
      </c>
      <c r="O747">
        <v>1259</v>
      </c>
      <c r="P747">
        <v>2660</v>
      </c>
    </row>
    <row r="748" spans="1:16" x14ac:dyDescent="0.3">
      <c r="A748" t="s">
        <v>864</v>
      </c>
      <c r="B748" s="45">
        <v>45490</v>
      </c>
      <c r="C748" t="s">
        <v>181</v>
      </c>
      <c r="D748" t="s">
        <v>187</v>
      </c>
      <c r="E748" t="s">
        <v>121</v>
      </c>
      <c r="F748">
        <v>10</v>
      </c>
      <c r="G748">
        <v>3570</v>
      </c>
      <c r="H748">
        <v>20.3</v>
      </c>
      <c r="I748">
        <v>28452.9</v>
      </c>
      <c r="J748" t="s">
        <v>87</v>
      </c>
      <c r="K748" t="s">
        <v>99</v>
      </c>
      <c r="L748" t="s">
        <v>99</v>
      </c>
      <c r="M748" t="s">
        <v>2784</v>
      </c>
      <c r="N748" t="s">
        <v>2871</v>
      </c>
      <c r="O748">
        <v>1665</v>
      </c>
      <c r="P748">
        <v>3570</v>
      </c>
    </row>
    <row r="749" spans="1:16" x14ac:dyDescent="0.3">
      <c r="A749" t="s">
        <v>881</v>
      </c>
      <c r="B749" s="45">
        <v>45383</v>
      </c>
      <c r="C749" t="s">
        <v>882</v>
      </c>
      <c r="D749" t="s">
        <v>138</v>
      </c>
      <c r="E749" t="s">
        <v>285</v>
      </c>
      <c r="F749">
        <v>7</v>
      </c>
      <c r="G749">
        <v>2600</v>
      </c>
      <c r="H749">
        <v>19.899999999999999</v>
      </c>
      <c r="I749">
        <v>14578.2</v>
      </c>
      <c r="J749" t="s">
        <v>93</v>
      </c>
      <c r="K749" t="s">
        <v>112</v>
      </c>
      <c r="L749" t="s">
        <v>112</v>
      </c>
      <c r="M749" t="s">
        <v>2784</v>
      </c>
      <c r="N749" t="s">
        <v>2871</v>
      </c>
      <c r="O749">
        <v>1052</v>
      </c>
      <c r="P749">
        <v>2600</v>
      </c>
    </row>
    <row r="750" spans="1:16" x14ac:dyDescent="0.3">
      <c r="A750" t="s">
        <v>885</v>
      </c>
      <c r="B750" s="45">
        <v>45550</v>
      </c>
      <c r="C750" t="s">
        <v>886</v>
      </c>
      <c r="D750" t="s">
        <v>282</v>
      </c>
      <c r="E750" t="s">
        <v>98</v>
      </c>
      <c r="F750">
        <v>5</v>
      </c>
      <c r="G750">
        <v>300</v>
      </c>
      <c r="H750">
        <v>11.8</v>
      </c>
      <c r="I750">
        <v>1323</v>
      </c>
      <c r="J750" t="s">
        <v>87</v>
      </c>
      <c r="K750" t="s">
        <v>94</v>
      </c>
      <c r="L750" t="s">
        <v>94</v>
      </c>
      <c r="M750" t="s">
        <v>2784</v>
      </c>
      <c r="N750" t="s">
        <v>2862</v>
      </c>
      <c r="O750">
        <v>128</v>
      </c>
      <c r="P750">
        <v>300</v>
      </c>
    </row>
    <row r="751" spans="1:16" x14ac:dyDescent="0.3">
      <c r="A751" t="s">
        <v>889</v>
      </c>
      <c r="B751" s="45">
        <v>45626</v>
      </c>
      <c r="C751" t="s">
        <v>669</v>
      </c>
      <c r="D751" t="s">
        <v>279</v>
      </c>
      <c r="E751" t="s">
        <v>238</v>
      </c>
      <c r="F751">
        <v>7</v>
      </c>
      <c r="G751">
        <v>2660</v>
      </c>
      <c r="H751">
        <v>27.4</v>
      </c>
      <c r="I751">
        <v>13518.12</v>
      </c>
      <c r="J751" t="s">
        <v>140</v>
      </c>
      <c r="K751" t="s">
        <v>133</v>
      </c>
      <c r="L751" t="s">
        <v>133</v>
      </c>
      <c r="M751" t="s">
        <v>2784</v>
      </c>
      <c r="N751" t="s">
        <v>2871</v>
      </c>
      <c r="O751">
        <v>1259</v>
      </c>
      <c r="P751">
        <v>2660</v>
      </c>
    </row>
    <row r="752" spans="1:16" x14ac:dyDescent="0.3">
      <c r="A752" t="s">
        <v>892</v>
      </c>
      <c r="B752" s="45">
        <v>45315</v>
      </c>
      <c r="C752" t="s">
        <v>589</v>
      </c>
      <c r="D752" t="s">
        <v>248</v>
      </c>
      <c r="E752" t="s">
        <v>252</v>
      </c>
      <c r="F752">
        <v>3</v>
      </c>
      <c r="G752">
        <v>3870</v>
      </c>
      <c r="H752">
        <v>4.2</v>
      </c>
      <c r="I752">
        <v>11122.38</v>
      </c>
      <c r="J752" t="s">
        <v>87</v>
      </c>
      <c r="K752" t="s">
        <v>94</v>
      </c>
      <c r="L752" t="s">
        <v>94</v>
      </c>
      <c r="M752" t="s">
        <v>2784</v>
      </c>
      <c r="N752" t="s">
        <v>2862</v>
      </c>
      <c r="O752">
        <v>1559</v>
      </c>
      <c r="P752">
        <v>3870</v>
      </c>
    </row>
    <row r="753" spans="1:16" x14ac:dyDescent="0.3">
      <c r="A753" t="s">
        <v>894</v>
      </c>
      <c r="B753" s="45">
        <v>45394</v>
      </c>
      <c r="C753" t="s">
        <v>895</v>
      </c>
      <c r="D753" t="s">
        <v>364</v>
      </c>
      <c r="E753" t="s">
        <v>111</v>
      </c>
      <c r="F753">
        <v>1</v>
      </c>
      <c r="G753">
        <v>5330</v>
      </c>
      <c r="H753">
        <v>24.2</v>
      </c>
      <c r="I753">
        <v>4040.14</v>
      </c>
      <c r="J753" t="s">
        <v>87</v>
      </c>
      <c r="K753" t="s">
        <v>117</v>
      </c>
      <c r="L753" t="s">
        <v>117</v>
      </c>
      <c r="M753" t="s">
        <v>2784</v>
      </c>
      <c r="N753" t="s">
        <v>2879</v>
      </c>
      <c r="O753">
        <v>2405</v>
      </c>
      <c r="P753">
        <v>5330</v>
      </c>
    </row>
    <row r="754" spans="1:16" x14ac:dyDescent="0.3">
      <c r="A754" t="s">
        <v>904</v>
      </c>
      <c r="B754" s="45">
        <v>45588</v>
      </c>
      <c r="C754" t="s">
        <v>905</v>
      </c>
      <c r="D754" t="s">
        <v>282</v>
      </c>
      <c r="E754" t="s">
        <v>215</v>
      </c>
      <c r="F754">
        <v>9</v>
      </c>
      <c r="G754">
        <v>300</v>
      </c>
      <c r="H754">
        <v>7.9</v>
      </c>
      <c r="I754">
        <v>2486.6999999999998</v>
      </c>
      <c r="J754" t="s">
        <v>87</v>
      </c>
      <c r="K754" t="s">
        <v>112</v>
      </c>
      <c r="L754" t="s">
        <v>112</v>
      </c>
      <c r="M754" t="s">
        <v>2784</v>
      </c>
      <c r="N754" t="s">
        <v>2855</v>
      </c>
      <c r="O754">
        <v>128</v>
      </c>
      <c r="P754">
        <v>300</v>
      </c>
    </row>
    <row r="755" spans="1:16" x14ac:dyDescent="0.3">
      <c r="A755" t="s">
        <v>920</v>
      </c>
      <c r="B755" s="45">
        <v>45639</v>
      </c>
      <c r="C755" t="s">
        <v>921</v>
      </c>
      <c r="D755" t="s">
        <v>408</v>
      </c>
      <c r="E755" t="s">
        <v>285</v>
      </c>
      <c r="F755">
        <v>8</v>
      </c>
      <c r="G755">
        <v>3970</v>
      </c>
      <c r="H755">
        <v>23.7</v>
      </c>
      <c r="I755">
        <v>24232.880000000001</v>
      </c>
      <c r="J755" t="s">
        <v>87</v>
      </c>
      <c r="K755" t="s">
        <v>117</v>
      </c>
      <c r="L755" t="s">
        <v>117</v>
      </c>
      <c r="M755" t="s">
        <v>2784</v>
      </c>
      <c r="N755" t="s">
        <v>2871</v>
      </c>
      <c r="O755">
        <v>2865</v>
      </c>
      <c r="P755">
        <v>3970</v>
      </c>
    </row>
    <row r="756" spans="1:16" x14ac:dyDescent="0.3">
      <c r="A756" t="s">
        <v>924</v>
      </c>
      <c r="B756" s="45">
        <v>45428</v>
      </c>
      <c r="C756" t="s">
        <v>487</v>
      </c>
      <c r="D756" t="s">
        <v>187</v>
      </c>
      <c r="E756" t="s">
        <v>170</v>
      </c>
      <c r="F756">
        <v>4</v>
      </c>
      <c r="G756">
        <v>3570</v>
      </c>
      <c r="H756">
        <v>18.899999999999999</v>
      </c>
      <c r="I756">
        <v>11581.08</v>
      </c>
      <c r="J756" t="s">
        <v>87</v>
      </c>
      <c r="K756" t="s">
        <v>88</v>
      </c>
      <c r="L756" t="s">
        <v>88</v>
      </c>
      <c r="M756" t="s">
        <v>2784</v>
      </c>
      <c r="N756" t="s">
        <v>2879</v>
      </c>
      <c r="O756">
        <v>1665</v>
      </c>
      <c r="P756">
        <v>3570</v>
      </c>
    </row>
    <row r="757" spans="1:16" x14ac:dyDescent="0.3">
      <c r="A757" t="s">
        <v>929</v>
      </c>
      <c r="B757" s="45">
        <v>45337</v>
      </c>
      <c r="C757" t="s">
        <v>137</v>
      </c>
      <c r="D757" t="s">
        <v>282</v>
      </c>
      <c r="E757" t="s">
        <v>346</v>
      </c>
      <c r="F757">
        <v>7</v>
      </c>
      <c r="G757">
        <v>300</v>
      </c>
      <c r="H757">
        <v>21.9</v>
      </c>
      <c r="I757">
        <v>1640.1</v>
      </c>
      <c r="J757" t="s">
        <v>87</v>
      </c>
      <c r="K757" t="s">
        <v>99</v>
      </c>
      <c r="L757" t="s">
        <v>99</v>
      </c>
      <c r="M757" t="s">
        <v>2784</v>
      </c>
      <c r="N757" t="s">
        <v>2862</v>
      </c>
      <c r="O757">
        <v>128</v>
      </c>
      <c r="P757">
        <v>300</v>
      </c>
    </row>
    <row r="758" spans="1:16" x14ac:dyDescent="0.3">
      <c r="A758" t="s">
        <v>939</v>
      </c>
      <c r="B758" s="45">
        <v>45637</v>
      </c>
      <c r="C758" t="s">
        <v>357</v>
      </c>
      <c r="D758" t="s">
        <v>282</v>
      </c>
      <c r="E758" t="s">
        <v>128</v>
      </c>
      <c r="F758">
        <v>4</v>
      </c>
      <c r="G758">
        <v>300</v>
      </c>
      <c r="H758">
        <v>16.7</v>
      </c>
      <c r="I758">
        <v>999.6</v>
      </c>
      <c r="J758" t="s">
        <v>87</v>
      </c>
      <c r="K758" t="s">
        <v>99</v>
      </c>
      <c r="L758" t="s">
        <v>99</v>
      </c>
      <c r="M758" t="s">
        <v>2784</v>
      </c>
      <c r="N758" t="s">
        <v>2879</v>
      </c>
      <c r="O758">
        <v>128</v>
      </c>
      <c r="P758">
        <v>300</v>
      </c>
    </row>
    <row r="759" spans="1:16" x14ac:dyDescent="0.3">
      <c r="A759" t="s">
        <v>946</v>
      </c>
      <c r="B759" s="45">
        <v>45629</v>
      </c>
      <c r="C759" t="s">
        <v>101</v>
      </c>
      <c r="D759" t="s">
        <v>364</v>
      </c>
      <c r="E759" t="s">
        <v>154</v>
      </c>
      <c r="F759">
        <v>10</v>
      </c>
      <c r="G759">
        <v>5330</v>
      </c>
      <c r="H759">
        <v>0.7</v>
      </c>
      <c r="I759">
        <v>52926.9</v>
      </c>
      <c r="J759" t="s">
        <v>87</v>
      </c>
      <c r="K759" t="s">
        <v>99</v>
      </c>
      <c r="L759" t="s">
        <v>99</v>
      </c>
      <c r="M759" t="s">
        <v>2784</v>
      </c>
      <c r="N759" t="s">
        <v>2871</v>
      </c>
      <c r="O759">
        <v>2405</v>
      </c>
      <c r="P759">
        <v>5330</v>
      </c>
    </row>
    <row r="760" spans="1:16" x14ac:dyDescent="0.3">
      <c r="A760" t="s">
        <v>957</v>
      </c>
      <c r="B760" s="45">
        <v>45638</v>
      </c>
      <c r="C760" t="s">
        <v>186</v>
      </c>
      <c r="D760" t="s">
        <v>364</v>
      </c>
      <c r="E760" t="s">
        <v>238</v>
      </c>
      <c r="F760">
        <v>2</v>
      </c>
      <c r="G760">
        <v>5330</v>
      </c>
      <c r="H760">
        <v>26.5</v>
      </c>
      <c r="I760">
        <v>7835.1</v>
      </c>
      <c r="J760" t="s">
        <v>87</v>
      </c>
      <c r="K760" t="s">
        <v>94</v>
      </c>
      <c r="L760" t="s">
        <v>94</v>
      </c>
      <c r="M760" t="s">
        <v>2784</v>
      </c>
      <c r="N760" t="s">
        <v>2871</v>
      </c>
      <c r="O760">
        <v>2405</v>
      </c>
      <c r="P760">
        <v>5330</v>
      </c>
    </row>
    <row r="761" spans="1:16" x14ac:dyDescent="0.3">
      <c r="A761" t="s">
        <v>958</v>
      </c>
      <c r="B761" s="45">
        <v>45476</v>
      </c>
      <c r="C761" t="s">
        <v>959</v>
      </c>
      <c r="D761" t="s">
        <v>364</v>
      </c>
      <c r="E761" t="s">
        <v>188</v>
      </c>
      <c r="F761">
        <v>4</v>
      </c>
      <c r="G761">
        <v>5330</v>
      </c>
      <c r="H761">
        <v>25.6</v>
      </c>
      <c r="I761">
        <v>15862.08</v>
      </c>
      <c r="J761" t="s">
        <v>87</v>
      </c>
      <c r="K761" t="s">
        <v>112</v>
      </c>
      <c r="L761" t="s">
        <v>112</v>
      </c>
      <c r="M761" t="s">
        <v>2784</v>
      </c>
      <c r="N761" t="s">
        <v>2862</v>
      </c>
      <c r="O761">
        <v>2405</v>
      </c>
      <c r="P761">
        <v>5330</v>
      </c>
    </row>
    <row r="762" spans="1:16" x14ac:dyDescent="0.3">
      <c r="A762" t="s">
        <v>972</v>
      </c>
      <c r="B762" s="45">
        <v>45532</v>
      </c>
      <c r="C762" t="s">
        <v>524</v>
      </c>
      <c r="D762" t="s">
        <v>187</v>
      </c>
      <c r="E762" t="s">
        <v>128</v>
      </c>
      <c r="F762">
        <v>10</v>
      </c>
      <c r="G762">
        <v>3570</v>
      </c>
      <c r="H762">
        <v>1.2</v>
      </c>
      <c r="I762">
        <v>35271.599999999999</v>
      </c>
      <c r="J762" t="s">
        <v>87</v>
      </c>
      <c r="K762" t="s">
        <v>112</v>
      </c>
      <c r="L762" t="s">
        <v>112</v>
      </c>
      <c r="M762" t="s">
        <v>2784</v>
      </c>
      <c r="N762" t="s">
        <v>2879</v>
      </c>
      <c r="O762">
        <v>1665</v>
      </c>
      <c r="P762">
        <v>3570</v>
      </c>
    </row>
    <row r="763" spans="1:16" x14ac:dyDescent="0.3">
      <c r="A763" t="s">
        <v>982</v>
      </c>
      <c r="B763" s="45">
        <v>45605</v>
      </c>
      <c r="C763" t="s">
        <v>983</v>
      </c>
      <c r="D763" t="s">
        <v>120</v>
      </c>
      <c r="E763" t="s">
        <v>107</v>
      </c>
      <c r="F763">
        <v>1</v>
      </c>
      <c r="G763">
        <v>1430</v>
      </c>
      <c r="H763">
        <v>19.600000000000001</v>
      </c>
      <c r="I763">
        <v>1149.72</v>
      </c>
      <c r="J763" t="s">
        <v>87</v>
      </c>
      <c r="K763" t="s">
        <v>117</v>
      </c>
      <c r="L763" t="s">
        <v>117</v>
      </c>
      <c r="M763" t="s">
        <v>2784</v>
      </c>
      <c r="N763" t="s">
        <v>2855</v>
      </c>
      <c r="O763">
        <v>861</v>
      </c>
      <c r="P763">
        <v>1430</v>
      </c>
    </row>
    <row r="764" spans="1:16" x14ac:dyDescent="0.3">
      <c r="A764" t="s">
        <v>997</v>
      </c>
      <c r="B764" s="45">
        <v>45572</v>
      </c>
      <c r="C764" t="s">
        <v>197</v>
      </c>
      <c r="D764" t="s">
        <v>135</v>
      </c>
      <c r="E764" t="s">
        <v>204</v>
      </c>
      <c r="F764">
        <v>6</v>
      </c>
      <c r="G764">
        <v>2640</v>
      </c>
      <c r="H764">
        <v>26.3</v>
      </c>
      <c r="I764">
        <v>11674.08</v>
      </c>
      <c r="J764" t="s">
        <v>87</v>
      </c>
      <c r="K764" t="s">
        <v>88</v>
      </c>
      <c r="L764" t="s">
        <v>88</v>
      </c>
      <c r="M764" t="s">
        <v>2784</v>
      </c>
      <c r="N764" t="s">
        <v>2862</v>
      </c>
      <c r="O764">
        <v>1149</v>
      </c>
      <c r="P764">
        <v>2640</v>
      </c>
    </row>
    <row r="765" spans="1:16" x14ac:dyDescent="0.3">
      <c r="A765" t="s">
        <v>998</v>
      </c>
      <c r="B765" s="45">
        <v>45562</v>
      </c>
      <c r="C765" t="s">
        <v>425</v>
      </c>
      <c r="D765" t="s">
        <v>267</v>
      </c>
      <c r="E765" t="s">
        <v>204</v>
      </c>
      <c r="F765">
        <v>6</v>
      </c>
      <c r="G765">
        <v>1220</v>
      </c>
      <c r="H765">
        <v>22.3</v>
      </c>
      <c r="I765">
        <v>5687.64</v>
      </c>
      <c r="J765" t="s">
        <v>140</v>
      </c>
      <c r="K765" t="s">
        <v>94</v>
      </c>
      <c r="L765" t="s">
        <v>94</v>
      </c>
      <c r="M765" t="s">
        <v>2784</v>
      </c>
      <c r="N765" t="s">
        <v>2862</v>
      </c>
      <c r="O765">
        <v>517</v>
      </c>
      <c r="P765">
        <v>1220</v>
      </c>
    </row>
    <row r="766" spans="1:16" x14ac:dyDescent="0.3">
      <c r="A766" t="s">
        <v>999</v>
      </c>
      <c r="B766" s="45">
        <v>45345</v>
      </c>
      <c r="C766" t="s">
        <v>1000</v>
      </c>
      <c r="D766" t="s">
        <v>282</v>
      </c>
      <c r="E766" t="s">
        <v>252</v>
      </c>
      <c r="F766">
        <v>1</v>
      </c>
      <c r="G766">
        <v>300</v>
      </c>
      <c r="H766">
        <v>0.7</v>
      </c>
      <c r="I766">
        <v>297.89999999999998</v>
      </c>
      <c r="J766" t="s">
        <v>87</v>
      </c>
      <c r="K766" t="s">
        <v>117</v>
      </c>
      <c r="L766" t="s">
        <v>117</v>
      </c>
      <c r="M766" t="s">
        <v>2784</v>
      </c>
      <c r="N766" t="s">
        <v>2862</v>
      </c>
      <c r="O766">
        <v>128</v>
      </c>
      <c r="P766">
        <v>300</v>
      </c>
    </row>
    <row r="767" spans="1:16" x14ac:dyDescent="0.3">
      <c r="A767" t="s">
        <v>1002</v>
      </c>
      <c r="B767" s="45">
        <v>45407</v>
      </c>
      <c r="C767" t="s">
        <v>1003</v>
      </c>
      <c r="D767" t="s">
        <v>138</v>
      </c>
      <c r="E767" t="s">
        <v>273</v>
      </c>
      <c r="F767">
        <v>5</v>
      </c>
      <c r="G767">
        <v>2600</v>
      </c>
      <c r="H767">
        <v>0.8</v>
      </c>
      <c r="I767">
        <v>12896</v>
      </c>
      <c r="J767" t="s">
        <v>140</v>
      </c>
      <c r="K767" t="s">
        <v>99</v>
      </c>
      <c r="L767" t="s">
        <v>99</v>
      </c>
      <c r="M767" t="s">
        <v>2784</v>
      </c>
      <c r="N767" t="s">
        <v>2862</v>
      </c>
      <c r="O767">
        <v>1052</v>
      </c>
      <c r="P767">
        <v>2600</v>
      </c>
    </row>
    <row r="768" spans="1:16" x14ac:dyDescent="0.3">
      <c r="A768" t="s">
        <v>1017</v>
      </c>
      <c r="B768" s="45">
        <v>45654</v>
      </c>
      <c r="C768" t="s">
        <v>291</v>
      </c>
      <c r="D768" t="s">
        <v>279</v>
      </c>
      <c r="E768" t="s">
        <v>132</v>
      </c>
      <c r="F768">
        <v>1</v>
      </c>
      <c r="G768">
        <v>2660</v>
      </c>
      <c r="H768">
        <v>11.6</v>
      </c>
      <c r="I768">
        <v>2351.44</v>
      </c>
      <c r="J768" t="s">
        <v>87</v>
      </c>
      <c r="K768" t="s">
        <v>99</v>
      </c>
      <c r="L768" t="s">
        <v>99</v>
      </c>
      <c r="M768" t="s">
        <v>2784</v>
      </c>
      <c r="N768" t="s">
        <v>2862</v>
      </c>
      <c r="O768">
        <v>1259</v>
      </c>
      <c r="P768">
        <v>2660</v>
      </c>
    </row>
    <row r="769" spans="1:16" x14ac:dyDescent="0.3">
      <c r="A769" t="s">
        <v>1032</v>
      </c>
      <c r="B769" s="45">
        <v>45433</v>
      </c>
      <c r="C769" t="s">
        <v>615</v>
      </c>
      <c r="D769" t="s">
        <v>135</v>
      </c>
      <c r="E769" t="s">
        <v>139</v>
      </c>
      <c r="F769">
        <v>8</v>
      </c>
      <c r="G769">
        <v>2640</v>
      </c>
      <c r="H769">
        <v>28.8</v>
      </c>
      <c r="I769">
        <v>15037.44</v>
      </c>
      <c r="J769" t="s">
        <v>87</v>
      </c>
      <c r="K769" t="s">
        <v>112</v>
      </c>
      <c r="L769" t="s">
        <v>112</v>
      </c>
      <c r="M769" t="s">
        <v>2784</v>
      </c>
      <c r="N769" t="s">
        <v>2855</v>
      </c>
      <c r="O769">
        <v>1149</v>
      </c>
      <c r="P769">
        <v>2640</v>
      </c>
    </row>
    <row r="770" spans="1:16" x14ac:dyDescent="0.3">
      <c r="A770" t="s">
        <v>1034</v>
      </c>
      <c r="B770" s="45">
        <v>45443</v>
      </c>
      <c r="C770" t="s">
        <v>490</v>
      </c>
      <c r="D770" t="s">
        <v>364</v>
      </c>
      <c r="E770" t="s">
        <v>103</v>
      </c>
      <c r="F770">
        <v>9</v>
      </c>
      <c r="G770">
        <v>5330</v>
      </c>
      <c r="H770">
        <v>29.4</v>
      </c>
      <c r="I770">
        <v>33866.82</v>
      </c>
      <c r="J770" t="s">
        <v>140</v>
      </c>
      <c r="K770" t="s">
        <v>99</v>
      </c>
      <c r="L770" t="s">
        <v>99</v>
      </c>
      <c r="M770" t="s">
        <v>2784</v>
      </c>
      <c r="N770" t="s">
        <v>2855</v>
      </c>
      <c r="O770">
        <v>2405</v>
      </c>
      <c r="P770">
        <v>5330</v>
      </c>
    </row>
    <row r="771" spans="1:16" x14ac:dyDescent="0.3">
      <c r="A771" t="s">
        <v>1040</v>
      </c>
      <c r="B771" s="45">
        <v>45491</v>
      </c>
      <c r="C771" t="s">
        <v>301</v>
      </c>
      <c r="D771" t="s">
        <v>279</v>
      </c>
      <c r="E771" t="s">
        <v>285</v>
      </c>
      <c r="F771">
        <v>10</v>
      </c>
      <c r="G771">
        <v>2660</v>
      </c>
      <c r="H771">
        <v>2.1</v>
      </c>
      <c r="I771">
        <v>26041.4</v>
      </c>
      <c r="J771" t="s">
        <v>87</v>
      </c>
      <c r="K771" t="s">
        <v>94</v>
      </c>
      <c r="L771" t="s">
        <v>94</v>
      </c>
      <c r="M771" t="s">
        <v>2784</v>
      </c>
      <c r="N771" t="s">
        <v>2871</v>
      </c>
      <c r="O771">
        <v>1259</v>
      </c>
      <c r="P771">
        <v>2660</v>
      </c>
    </row>
    <row r="772" spans="1:16" x14ac:dyDescent="0.3">
      <c r="A772" t="s">
        <v>1044</v>
      </c>
      <c r="B772" s="45">
        <v>45351</v>
      </c>
      <c r="C772" t="s">
        <v>802</v>
      </c>
      <c r="D772" t="s">
        <v>279</v>
      </c>
      <c r="E772" t="s">
        <v>252</v>
      </c>
      <c r="F772">
        <v>9</v>
      </c>
      <c r="G772">
        <v>2660</v>
      </c>
      <c r="H772">
        <v>21.9</v>
      </c>
      <c r="I772">
        <v>18697.14</v>
      </c>
      <c r="J772" t="s">
        <v>87</v>
      </c>
      <c r="K772" t="s">
        <v>94</v>
      </c>
      <c r="L772" t="s">
        <v>94</v>
      </c>
      <c r="M772" t="s">
        <v>2784</v>
      </c>
      <c r="N772" t="s">
        <v>2862</v>
      </c>
      <c r="O772">
        <v>1259</v>
      </c>
      <c r="P772">
        <v>2660</v>
      </c>
    </row>
    <row r="773" spans="1:16" x14ac:dyDescent="0.3">
      <c r="A773" t="s">
        <v>733</v>
      </c>
      <c r="B773" s="45">
        <v>45402</v>
      </c>
      <c r="C773" t="s">
        <v>197</v>
      </c>
      <c r="D773" t="s">
        <v>248</v>
      </c>
      <c r="E773" t="s">
        <v>103</v>
      </c>
      <c r="F773">
        <v>1</v>
      </c>
      <c r="G773">
        <v>3870</v>
      </c>
      <c r="H773">
        <v>22.6</v>
      </c>
      <c r="I773">
        <v>2995.38</v>
      </c>
      <c r="J773" t="s">
        <v>87</v>
      </c>
      <c r="K773" t="s">
        <v>88</v>
      </c>
      <c r="L773" t="s">
        <v>88</v>
      </c>
      <c r="M773" t="s">
        <v>2784</v>
      </c>
      <c r="N773" t="s">
        <v>2855</v>
      </c>
      <c r="O773">
        <v>1559</v>
      </c>
      <c r="P773">
        <v>3870</v>
      </c>
    </row>
    <row r="774" spans="1:16" x14ac:dyDescent="0.3">
      <c r="A774" t="s">
        <v>1048</v>
      </c>
      <c r="B774" s="45">
        <v>45524</v>
      </c>
      <c r="C774" t="s">
        <v>465</v>
      </c>
      <c r="D774" t="s">
        <v>138</v>
      </c>
      <c r="E774" t="s">
        <v>215</v>
      </c>
      <c r="F774">
        <v>2</v>
      </c>
      <c r="G774">
        <v>2600</v>
      </c>
      <c r="H774">
        <v>5.6</v>
      </c>
      <c r="I774">
        <v>4908.8</v>
      </c>
      <c r="J774" t="s">
        <v>87</v>
      </c>
      <c r="K774" t="s">
        <v>112</v>
      </c>
      <c r="L774" t="s">
        <v>112</v>
      </c>
      <c r="M774" t="s">
        <v>2784</v>
      </c>
      <c r="N774" t="s">
        <v>2855</v>
      </c>
      <c r="O774">
        <v>1052</v>
      </c>
      <c r="P774">
        <v>2600</v>
      </c>
    </row>
    <row r="775" spans="1:16" x14ac:dyDescent="0.3">
      <c r="A775" t="s">
        <v>1057</v>
      </c>
      <c r="B775" s="45">
        <v>45410</v>
      </c>
      <c r="C775" t="s">
        <v>407</v>
      </c>
      <c r="D775" t="s">
        <v>120</v>
      </c>
      <c r="E775" t="s">
        <v>343</v>
      </c>
      <c r="F775">
        <v>6</v>
      </c>
      <c r="G775">
        <v>1430</v>
      </c>
      <c r="H775">
        <v>2</v>
      </c>
      <c r="I775">
        <v>8408.4</v>
      </c>
      <c r="J775" t="s">
        <v>93</v>
      </c>
      <c r="K775" t="s">
        <v>88</v>
      </c>
      <c r="L775" t="s">
        <v>88</v>
      </c>
      <c r="M775" t="s">
        <v>2784</v>
      </c>
      <c r="N775" t="s">
        <v>2879</v>
      </c>
      <c r="O775">
        <v>861</v>
      </c>
      <c r="P775">
        <v>1430</v>
      </c>
    </row>
    <row r="776" spans="1:16" x14ac:dyDescent="0.3">
      <c r="A776" t="s">
        <v>1059</v>
      </c>
      <c r="B776" s="45">
        <v>45412</v>
      </c>
      <c r="C776" t="s">
        <v>440</v>
      </c>
      <c r="D776" t="s">
        <v>267</v>
      </c>
      <c r="E776" t="s">
        <v>201</v>
      </c>
      <c r="F776">
        <v>8</v>
      </c>
      <c r="G776">
        <v>1220</v>
      </c>
      <c r="H776">
        <v>16.899999999999999</v>
      </c>
      <c r="I776">
        <v>8110.56</v>
      </c>
      <c r="J776" t="s">
        <v>87</v>
      </c>
      <c r="K776" t="s">
        <v>88</v>
      </c>
      <c r="L776" t="s">
        <v>88</v>
      </c>
      <c r="M776" t="s">
        <v>2784</v>
      </c>
      <c r="N776" t="s">
        <v>2879</v>
      </c>
      <c r="O776">
        <v>517</v>
      </c>
      <c r="P776">
        <v>1220</v>
      </c>
    </row>
    <row r="777" spans="1:16" x14ac:dyDescent="0.3">
      <c r="A777" t="s">
        <v>1064</v>
      </c>
      <c r="B777" s="45">
        <v>45474</v>
      </c>
      <c r="C777" t="s">
        <v>1065</v>
      </c>
      <c r="D777" t="s">
        <v>135</v>
      </c>
      <c r="E777" t="s">
        <v>343</v>
      </c>
      <c r="F777">
        <v>6</v>
      </c>
      <c r="G777">
        <v>2640</v>
      </c>
      <c r="H777">
        <v>26.2</v>
      </c>
      <c r="I777">
        <v>11689.92</v>
      </c>
      <c r="J777" t="s">
        <v>87</v>
      </c>
      <c r="K777" t="s">
        <v>94</v>
      </c>
      <c r="L777" t="s">
        <v>94</v>
      </c>
      <c r="M777" t="s">
        <v>2784</v>
      </c>
      <c r="N777" t="s">
        <v>2879</v>
      </c>
      <c r="O777">
        <v>1149</v>
      </c>
      <c r="P777">
        <v>2640</v>
      </c>
    </row>
    <row r="778" spans="1:16" x14ac:dyDescent="0.3">
      <c r="A778" t="s">
        <v>1074</v>
      </c>
      <c r="B778" s="45">
        <v>45487</v>
      </c>
      <c r="C778" t="s">
        <v>333</v>
      </c>
      <c r="D778" t="s">
        <v>187</v>
      </c>
      <c r="E778" t="s">
        <v>121</v>
      </c>
      <c r="F778">
        <v>5</v>
      </c>
      <c r="G778">
        <v>3570</v>
      </c>
      <c r="H778">
        <v>12.4</v>
      </c>
      <c r="I778">
        <v>15636.6</v>
      </c>
      <c r="J778" t="s">
        <v>87</v>
      </c>
      <c r="K778" t="s">
        <v>133</v>
      </c>
      <c r="L778" t="s">
        <v>133</v>
      </c>
      <c r="M778" t="s">
        <v>2784</v>
      </c>
      <c r="N778" t="s">
        <v>2871</v>
      </c>
      <c r="O778">
        <v>1665</v>
      </c>
      <c r="P778">
        <v>3570</v>
      </c>
    </row>
    <row r="779" spans="1:16" x14ac:dyDescent="0.3">
      <c r="A779" t="s">
        <v>1077</v>
      </c>
      <c r="B779" s="45">
        <v>45627</v>
      </c>
      <c r="C779" t="s">
        <v>729</v>
      </c>
      <c r="D779" t="s">
        <v>187</v>
      </c>
      <c r="E779" t="s">
        <v>107</v>
      </c>
      <c r="F779">
        <v>2</v>
      </c>
      <c r="G779">
        <v>3570</v>
      </c>
      <c r="H779">
        <v>6.1</v>
      </c>
      <c r="I779">
        <v>6704.46</v>
      </c>
      <c r="J779" t="s">
        <v>140</v>
      </c>
      <c r="K779" t="s">
        <v>112</v>
      </c>
      <c r="L779" t="s">
        <v>112</v>
      </c>
      <c r="M779" t="s">
        <v>2784</v>
      </c>
      <c r="N779" t="s">
        <v>2855</v>
      </c>
      <c r="O779">
        <v>1665</v>
      </c>
      <c r="P779">
        <v>3570</v>
      </c>
    </row>
    <row r="780" spans="1:16" x14ac:dyDescent="0.3">
      <c r="A780" t="s">
        <v>1084</v>
      </c>
      <c r="B780" s="45">
        <v>45609</v>
      </c>
      <c r="C780" t="s">
        <v>291</v>
      </c>
      <c r="D780" t="s">
        <v>248</v>
      </c>
      <c r="E780" t="s">
        <v>86</v>
      </c>
      <c r="F780">
        <v>6</v>
      </c>
      <c r="G780">
        <v>3870</v>
      </c>
      <c r="H780">
        <v>12.2</v>
      </c>
      <c r="I780">
        <v>20387.16</v>
      </c>
      <c r="J780" t="s">
        <v>87</v>
      </c>
      <c r="K780" t="s">
        <v>99</v>
      </c>
      <c r="L780" t="s">
        <v>99</v>
      </c>
      <c r="M780" t="s">
        <v>2784</v>
      </c>
      <c r="N780" t="s">
        <v>2855</v>
      </c>
      <c r="O780">
        <v>1559</v>
      </c>
      <c r="P780">
        <v>3870</v>
      </c>
    </row>
    <row r="781" spans="1:16" x14ac:dyDescent="0.3">
      <c r="A781" t="s">
        <v>1098</v>
      </c>
      <c r="B781" s="45">
        <v>45353</v>
      </c>
      <c r="C781" t="s">
        <v>770</v>
      </c>
      <c r="D781" t="s">
        <v>248</v>
      </c>
      <c r="E781" t="s">
        <v>192</v>
      </c>
      <c r="F781">
        <v>7</v>
      </c>
      <c r="G781">
        <v>3870</v>
      </c>
      <c r="H781">
        <v>20.3</v>
      </c>
      <c r="I781">
        <v>21590.73</v>
      </c>
      <c r="J781" t="s">
        <v>93</v>
      </c>
      <c r="K781" t="s">
        <v>88</v>
      </c>
      <c r="L781" t="s">
        <v>88</v>
      </c>
      <c r="M781" t="s">
        <v>2784</v>
      </c>
      <c r="N781" t="s">
        <v>2871</v>
      </c>
      <c r="O781">
        <v>1559</v>
      </c>
      <c r="P781">
        <v>3870</v>
      </c>
    </row>
    <row r="782" spans="1:16" x14ac:dyDescent="0.3">
      <c r="A782" t="s">
        <v>1101</v>
      </c>
      <c r="B782" s="45">
        <v>45574</v>
      </c>
      <c r="C782" t="s">
        <v>429</v>
      </c>
      <c r="D782" t="s">
        <v>279</v>
      </c>
      <c r="E782" t="s">
        <v>92</v>
      </c>
      <c r="F782">
        <v>10</v>
      </c>
      <c r="G782">
        <v>2660</v>
      </c>
      <c r="H782">
        <v>20.2</v>
      </c>
      <c r="I782">
        <v>21226.799999999999</v>
      </c>
      <c r="J782" t="s">
        <v>87</v>
      </c>
      <c r="K782" t="s">
        <v>117</v>
      </c>
      <c r="L782" t="s">
        <v>117</v>
      </c>
      <c r="M782" t="s">
        <v>2784</v>
      </c>
      <c r="N782" t="s">
        <v>2855</v>
      </c>
      <c r="O782">
        <v>1259</v>
      </c>
      <c r="P782">
        <v>2660</v>
      </c>
    </row>
    <row r="783" spans="1:16" x14ac:dyDescent="0.3">
      <c r="A783" t="s">
        <v>1106</v>
      </c>
      <c r="B783" s="45">
        <v>45418</v>
      </c>
      <c r="C783" t="s">
        <v>561</v>
      </c>
      <c r="D783" t="s">
        <v>279</v>
      </c>
      <c r="E783" t="s">
        <v>107</v>
      </c>
      <c r="F783">
        <v>4</v>
      </c>
      <c r="G783">
        <v>2660</v>
      </c>
      <c r="H783">
        <v>16.899999999999999</v>
      </c>
      <c r="I783">
        <v>8841.84</v>
      </c>
      <c r="J783" t="s">
        <v>87</v>
      </c>
      <c r="K783" t="s">
        <v>133</v>
      </c>
      <c r="L783" t="s">
        <v>133</v>
      </c>
      <c r="M783" t="s">
        <v>2784</v>
      </c>
      <c r="N783" t="s">
        <v>2855</v>
      </c>
      <c r="O783">
        <v>1259</v>
      </c>
      <c r="P783">
        <v>2660</v>
      </c>
    </row>
    <row r="784" spans="1:16" x14ac:dyDescent="0.3">
      <c r="A784" t="s">
        <v>1114</v>
      </c>
      <c r="B784" s="45">
        <v>45610</v>
      </c>
      <c r="C784" t="s">
        <v>537</v>
      </c>
      <c r="D784" t="s">
        <v>187</v>
      </c>
      <c r="E784" t="s">
        <v>128</v>
      </c>
      <c r="F784">
        <v>9</v>
      </c>
      <c r="G784">
        <v>3570</v>
      </c>
      <c r="H784">
        <v>29.9</v>
      </c>
      <c r="I784">
        <v>22523.13</v>
      </c>
      <c r="J784" t="s">
        <v>87</v>
      </c>
      <c r="K784" t="s">
        <v>133</v>
      </c>
      <c r="L784" t="s">
        <v>133</v>
      </c>
      <c r="M784" t="s">
        <v>2784</v>
      </c>
      <c r="N784" t="s">
        <v>2879</v>
      </c>
      <c r="O784">
        <v>1665</v>
      </c>
      <c r="P784">
        <v>3570</v>
      </c>
    </row>
    <row r="785" spans="1:16" x14ac:dyDescent="0.3">
      <c r="A785" t="s">
        <v>1122</v>
      </c>
      <c r="B785" s="45">
        <v>45377</v>
      </c>
      <c r="C785" t="s">
        <v>626</v>
      </c>
      <c r="D785" t="s">
        <v>138</v>
      </c>
      <c r="E785" t="s">
        <v>229</v>
      </c>
      <c r="F785">
        <v>7</v>
      </c>
      <c r="G785">
        <v>2600</v>
      </c>
      <c r="H785">
        <v>21</v>
      </c>
      <c r="I785">
        <v>14378</v>
      </c>
      <c r="J785" t="s">
        <v>87</v>
      </c>
      <c r="K785" t="s">
        <v>99</v>
      </c>
      <c r="L785" t="s">
        <v>99</v>
      </c>
      <c r="M785" t="s">
        <v>2784</v>
      </c>
      <c r="N785" t="s">
        <v>2879</v>
      </c>
      <c r="O785">
        <v>1052</v>
      </c>
      <c r="P785">
        <v>2600</v>
      </c>
    </row>
    <row r="786" spans="1:16" x14ac:dyDescent="0.3">
      <c r="A786" t="s">
        <v>1123</v>
      </c>
      <c r="B786" s="45">
        <v>45622</v>
      </c>
      <c r="C786" t="s">
        <v>105</v>
      </c>
      <c r="D786" t="s">
        <v>138</v>
      </c>
      <c r="E786" t="s">
        <v>188</v>
      </c>
      <c r="F786">
        <v>7</v>
      </c>
      <c r="G786">
        <v>2600</v>
      </c>
      <c r="H786">
        <v>6.7</v>
      </c>
      <c r="I786">
        <v>16980.599999999999</v>
      </c>
      <c r="J786" t="s">
        <v>93</v>
      </c>
      <c r="K786" t="s">
        <v>94</v>
      </c>
      <c r="L786" t="s">
        <v>94</v>
      </c>
      <c r="M786" t="s">
        <v>2784</v>
      </c>
      <c r="N786" t="s">
        <v>2862</v>
      </c>
      <c r="O786">
        <v>1052</v>
      </c>
      <c r="P786">
        <v>2600</v>
      </c>
    </row>
    <row r="787" spans="1:16" x14ac:dyDescent="0.3">
      <c r="A787" t="s">
        <v>1131</v>
      </c>
      <c r="B787" s="45">
        <v>45431</v>
      </c>
      <c r="C787" t="s">
        <v>362</v>
      </c>
      <c r="D787" t="s">
        <v>408</v>
      </c>
      <c r="E787" t="s">
        <v>192</v>
      </c>
      <c r="F787">
        <v>3</v>
      </c>
      <c r="G787">
        <v>3970</v>
      </c>
      <c r="H787">
        <v>18.3</v>
      </c>
      <c r="I787">
        <v>9730.4699999999993</v>
      </c>
      <c r="J787" t="s">
        <v>87</v>
      </c>
      <c r="K787" t="s">
        <v>94</v>
      </c>
      <c r="L787" t="s">
        <v>94</v>
      </c>
      <c r="M787" t="s">
        <v>2784</v>
      </c>
      <c r="N787" t="s">
        <v>2871</v>
      </c>
      <c r="O787">
        <v>2865</v>
      </c>
      <c r="P787">
        <v>3970</v>
      </c>
    </row>
    <row r="788" spans="1:16" x14ac:dyDescent="0.3">
      <c r="A788" t="s">
        <v>1134</v>
      </c>
      <c r="B788" s="45">
        <v>45371</v>
      </c>
      <c r="C788" t="s">
        <v>336</v>
      </c>
      <c r="D788" t="s">
        <v>408</v>
      </c>
      <c r="E788" t="s">
        <v>238</v>
      </c>
      <c r="F788">
        <v>5</v>
      </c>
      <c r="G788">
        <v>3970</v>
      </c>
      <c r="H788">
        <v>5.9</v>
      </c>
      <c r="I788">
        <v>18678.849999999999</v>
      </c>
      <c r="J788" t="s">
        <v>87</v>
      </c>
      <c r="K788" t="s">
        <v>112</v>
      </c>
      <c r="L788" t="s">
        <v>112</v>
      </c>
      <c r="M788" t="s">
        <v>2784</v>
      </c>
      <c r="N788" t="s">
        <v>2871</v>
      </c>
      <c r="O788">
        <v>2865</v>
      </c>
      <c r="P788">
        <v>3970</v>
      </c>
    </row>
    <row r="789" spans="1:16" x14ac:dyDescent="0.3">
      <c r="A789" t="s">
        <v>1140</v>
      </c>
      <c r="B789" s="45">
        <v>45632</v>
      </c>
      <c r="C789" t="s">
        <v>725</v>
      </c>
      <c r="D789" t="s">
        <v>120</v>
      </c>
      <c r="E789" t="s">
        <v>86</v>
      </c>
      <c r="F789">
        <v>1</v>
      </c>
      <c r="G789">
        <v>1430</v>
      </c>
      <c r="H789">
        <v>5.9</v>
      </c>
      <c r="I789">
        <v>1345.63</v>
      </c>
      <c r="J789" t="s">
        <v>140</v>
      </c>
      <c r="K789" t="s">
        <v>99</v>
      </c>
      <c r="L789" t="s">
        <v>99</v>
      </c>
      <c r="M789" t="s">
        <v>2784</v>
      </c>
      <c r="N789" t="s">
        <v>2855</v>
      </c>
      <c r="O789">
        <v>861</v>
      </c>
      <c r="P789">
        <v>1430</v>
      </c>
    </row>
    <row r="790" spans="1:16" x14ac:dyDescent="0.3">
      <c r="A790" t="s">
        <v>1142</v>
      </c>
      <c r="B790" s="45">
        <v>45337</v>
      </c>
      <c r="C790" t="s">
        <v>399</v>
      </c>
      <c r="D790" t="s">
        <v>120</v>
      </c>
      <c r="E790" t="s">
        <v>273</v>
      </c>
      <c r="F790">
        <v>9</v>
      </c>
      <c r="G790">
        <v>1430</v>
      </c>
      <c r="H790">
        <v>6</v>
      </c>
      <c r="I790">
        <v>12097.8</v>
      </c>
      <c r="J790" t="s">
        <v>87</v>
      </c>
      <c r="K790" t="s">
        <v>99</v>
      </c>
      <c r="L790" t="s">
        <v>99</v>
      </c>
      <c r="M790" t="s">
        <v>2784</v>
      </c>
      <c r="N790" t="s">
        <v>2862</v>
      </c>
      <c r="O790">
        <v>861</v>
      </c>
      <c r="P790">
        <v>1430</v>
      </c>
    </row>
    <row r="791" spans="1:16" x14ac:dyDescent="0.3">
      <c r="A791" t="s">
        <v>1146</v>
      </c>
      <c r="B791" s="45">
        <v>45615</v>
      </c>
      <c r="C791" t="s">
        <v>378</v>
      </c>
      <c r="D791" t="s">
        <v>135</v>
      </c>
      <c r="E791" t="s">
        <v>111</v>
      </c>
      <c r="F791">
        <v>8</v>
      </c>
      <c r="G791">
        <v>2640</v>
      </c>
      <c r="H791">
        <v>24.4</v>
      </c>
      <c r="I791">
        <v>15966.72</v>
      </c>
      <c r="J791" t="s">
        <v>87</v>
      </c>
      <c r="K791" t="s">
        <v>94</v>
      </c>
      <c r="L791" t="s">
        <v>94</v>
      </c>
      <c r="M791" t="s">
        <v>2784</v>
      </c>
      <c r="N791" t="s">
        <v>2879</v>
      </c>
      <c r="O791">
        <v>1149</v>
      </c>
      <c r="P791">
        <v>2640</v>
      </c>
    </row>
    <row r="792" spans="1:16" x14ac:dyDescent="0.3">
      <c r="A792" t="s">
        <v>1151</v>
      </c>
      <c r="B792" s="45">
        <v>45607</v>
      </c>
      <c r="C792" t="s">
        <v>565</v>
      </c>
      <c r="D792" t="s">
        <v>120</v>
      </c>
      <c r="E792" t="s">
        <v>325</v>
      </c>
      <c r="F792">
        <v>10</v>
      </c>
      <c r="G792">
        <v>1430</v>
      </c>
      <c r="H792">
        <v>16.100000000000001</v>
      </c>
      <c r="I792">
        <v>11997.7</v>
      </c>
      <c r="J792" t="s">
        <v>140</v>
      </c>
      <c r="K792" t="s">
        <v>112</v>
      </c>
      <c r="L792" t="s">
        <v>112</v>
      </c>
      <c r="M792" t="s">
        <v>2784</v>
      </c>
      <c r="N792" t="s">
        <v>2862</v>
      </c>
      <c r="O792">
        <v>861</v>
      </c>
      <c r="P792">
        <v>1430</v>
      </c>
    </row>
    <row r="793" spans="1:16" x14ac:dyDescent="0.3">
      <c r="A793" t="s">
        <v>1154</v>
      </c>
      <c r="B793" s="45">
        <v>45422</v>
      </c>
      <c r="C793" t="s">
        <v>442</v>
      </c>
      <c r="D793" t="s">
        <v>120</v>
      </c>
      <c r="E793" t="s">
        <v>148</v>
      </c>
      <c r="F793">
        <v>2</v>
      </c>
      <c r="G793">
        <v>1430</v>
      </c>
      <c r="H793">
        <v>7.4</v>
      </c>
      <c r="I793">
        <v>2648.36</v>
      </c>
      <c r="J793" t="s">
        <v>87</v>
      </c>
      <c r="K793" t="s">
        <v>88</v>
      </c>
      <c r="L793" t="s">
        <v>88</v>
      </c>
      <c r="M793" t="s">
        <v>2784</v>
      </c>
      <c r="N793" t="s">
        <v>2855</v>
      </c>
      <c r="O793">
        <v>861</v>
      </c>
      <c r="P793">
        <v>1430</v>
      </c>
    </row>
    <row r="794" spans="1:16" x14ac:dyDescent="0.3">
      <c r="A794" t="s">
        <v>1160</v>
      </c>
      <c r="B794" s="45">
        <v>45415</v>
      </c>
      <c r="C794" t="s">
        <v>353</v>
      </c>
      <c r="D794" t="s">
        <v>248</v>
      </c>
      <c r="E794" t="s">
        <v>154</v>
      </c>
      <c r="F794">
        <v>9</v>
      </c>
      <c r="G794">
        <v>3870</v>
      </c>
      <c r="H794">
        <v>6.9</v>
      </c>
      <c r="I794">
        <v>32426.73</v>
      </c>
      <c r="J794" t="s">
        <v>144</v>
      </c>
      <c r="K794" t="s">
        <v>94</v>
      </c>
      <c r="L794" t="s">
        <v>94</v>
      </c>
      <c r="M794" t="s">
        <v>2784</v>
      </c>
      <c r="N794" t="s">
        <v>2871</v>
      </c>
      <c r="O794">
        <v>1559</v>
      </c>
      <c r="P794">
        <v>3870</v>
      </c>
    </row>
    <row r="795" spans="1:16" x14ac:dyDescent="0.3">
      <c r="A795" t="s">
        <v>1171</v>
      </c>
      <c r="B795" s="45">
        <v>45551</v>
      </c>
      <c r="C795" t="s">
        <v>1172</v>
      </c>
      <c r="D795" t="s">
        <v>267</v>
      </c>
      <c r="E795" t="s">
        <v>170</v>
      </c>
      <c r="F795">
        <v>4</v>
      </c>
      <c r="G795">
        <v>1220</v>
      </c>
      <c r="H795">
        <v>24.3</v>
      </c>
      <c r="I795">
        <v>3694.16</v>
      </c>
      <c r="J795" t="s">
        <v>140</v>
      </c>
      <c r="K795" t="s">
        <v>88</v>
      </c>
      <c r="L795" t="s">
        <v>88</v>
      </c>
      <c r="M795" t="s">
        <v>2784</v>
      </c>
      <c r="N795" t="s">
        <v>2879</v>
      </c>
      <c r="O795">
        <v>517</v>
      </c>
      <c r="P795">
        <v>1220</v>
      </c>
    </row>
    <row r="796" spans="1:16" x14ac:dyDescent="0.3">
      <c r="A796" t="s">
        <v>1175</v>
      </c>
      <c r="B796" s="45">
        <v>45363</v>
      </c>
      <c r="C796" t="s">
        <v>585</v>
      </c>
      <c r="D796" t="s">
        <v>267</v>
      </c>
      <c r="E796" t="s">
        <v>325</v>
      </c>
      <c r="F796">
        <v>5</v>
      </c>
      <c r="G796">
        <v>1220</v>
      </c>
      <c r="H796">
        <v>2.6</v>
      </c>
      <c r="I796">
        <v>5941.4</v>
      </c>
      <c r="J796" t="s">
        <v>87</v>
      </c>
      <c r="K796" t="s">
        <v>94</v>
      </c>
      <c r="L796" t="s">
        <v>94</v>
      </c>
      <c r="M796" t="s">
        <v>2784</v>
      </c>
      <c r="N796" t="s">
        <v>2862</v>
      </c>
      <c r="O796">
        <v>517</v>
      </c>
      <c r="P796">
        <v>1220</v>
      </c>
    </row>
    <row r="797" spans="1:16" x14ac:dyDescent="0.3">
      <c r="A797" t="s">
        <v>1176</v>
      </c>
      <c r="B797" s="45">
        <v>45600</v>
      </c>
      <c r="C797" t="s">
        <v>524</v>
      </c>
      <c r="D797" t="s">
        <v>279</v>
      </c>
      <c r="E797" t="s">
        <v>103</v>
      </c>
      <c r="F797">
        <v>4</v>
      </c>
      <c r="G797">
        <v>2660</v>
      </c>
      <c r="H797">
        <v>19.100000000000001</v>
      </c>
      <c r="I797">
        <v>8607.76</v>
      </c>
      <c r="J797" t="s">
        <v>144</v>
      </c>
      <c r="K797" t="s">
        <v>112</v>
      </c>
      <c r="L797" t="s">
        <v>112</v>
      </c>
      <c r="M797" t="s">
        <v>2784</v>
      </c>
      <c r="N797" t="s">
        <v>2855</v>
      </c>
      <c r="O797">
        <v>1259</v>
      </c>
      <c r="P797">
        <v>2660</v>
      </c>
    </row>
    <row r="798" spans="1:16" x14ac:dyDescent="0.3">
      <c r="A798" t="s">
        <v>1187</v>
      </c>
      <c r="B798" s="45">
        <v>45530</v>
      </c>
      <c r="C798" t="s">
        <v>582</v>
      </c>
      <c r="D798" t="s">
        <v>282</v>
      </c>
      <c r="E798" t="s">
        <v>252</v>
      </c>
      <c r="F798">
        <v>6</v>
      </c>
      <c r="G798">
        <v>300</v>
      </c>
      <c r="H798">
        <v>23.9</v>
      </c>
      <c r="I798">
        <v>1369.8</v>
      </c>
      <c r="J798" t="s">
        <v>140</v>
      </c>
      <c r="K798" t="s">
        <v>94</v>
      </c>
      <c r="L798" t="s">
        <v>94</v>
      </c>
      <c r="M798" t="s">
        <v>2784</v>
      </c>
      <c r="N798" t="s">
        <v>2862</v>
      </c>
      <c r="O798">
        <v>128</v>
      </c>
      <c r="P798">
        <v>300</v>
      </c>
    </row>
    <row r="799" spans="1:16" x14ac:dyDescent="0.3">
      <c r="A799" t="s">
        <v>1190</v>
      </c>
      <c r="B799" s="45">
        <v>45562</v>
      </c>
      <c r="C799" t="s">
        <v>1191</v>
      </c>
      <c r="D799" t="s">
        <v>282</v>
      </c>
      <c r="E799" t="s">
        <v>86</v>
      </c>
      <c r="F799">
        <v>5</v>
      </c>
      <c r="G799">
        <v>300</v>
      </c>
      <c r="H799">
        <v>19.399999999999999</v>
      </c>
      <c r="I799">
        <v>1209</v>
      </c>
      <c r="J799" t="s">
        <v>87</v>
      </c>
      <c r="K799" t="s">
        <v>117</v>
      </c>
      <c r="L799" t="s">
        <v>117</v>
      </c>
      <c r="M799" t="s">
        <v>2784</v>
      </c>
      <c r="N799" t="s">
        <v>2855</v>
      </c>
      <c r="O799">
        <v>128</v>
      </c>
      <c r="P799">
        <v>300</v>
      </c>
    </row>
    <row r="800" spans="1:16" x14ac:dyDescent="0.3">
      <c r="A800" t="s">
        <v>1192</v>
      </c>
      <c r="B800" s="45">
        <v>45635</v>
      </c>
      <c r="C800" t="s">
        <v>1193</v>
      </c>
      <c r="D800" t="s">
        <v>279</v>
      </c>
      <c r="E800" t="s">
        <v>170</v>
      </c>
      <c r="F800">
        <v>3</v>
      </c>
      <c r="G800">
        <v>2660</v>
      </c>
      <c r="H800">
        <v>28.5</v>
      </c>
      <c r="I800">
        <v>5705.7</v>
      </c>
      <c r="J800" t="s">
        <v>93</v>
      </c>
      <c r="K800" t="s">
        <v>133</v>
      </c>
      <c r="L800" t="s">
        <v>133</v>
      </c>
      <c r="M800" t="s">
        <v>2784</v>
      </c>
      <c r="N800" t="s">
        <v>2879</v>
      </c>
      <c r="O800">
        <v>1259</v>
      </c>
      <c r="P800">
        <v>2660</v>
      </c>
    </row>
    <row r="801" spans="1:16" x14ac:dyDescent="0.3">
      <c r="A801" t="s">
        <v>1195</v>
      </c>
      <c r="B801" s="45">
        <v>45350</v>
      </c>
      <c r="C801" t="s">
        <v>487</v>
      </c>
      <c r="D801" t="s">
        <v>120</v>
      </c>
      <c r="E801" t="s">
        <v>325</v>
      </c>
      <c r="F801">
        <v>9</v>
      </c>
      <c r="G801">
        <v>1430</v>
      </c>
      <c r="H801">
        <v>12.1</v>
      </c>
      <c r="I801">
        <v>11312.73</v>
      </c>
      <c r="J801" t="s">
        <v>140</v>
      </c>
      <c r="K801" t="s">
        <v>88</v>
      </c>
      <c r="L801" t="s">
        <v>88</v>
      </c>
      <c r="M801" t="s">
        <v>2784</v>
      </c>
      <c r="N801" t="s">
        <v>2862</v>
      </c>
      <c r="O801">
        <v>861</v>
      </c>
      <c r="P801">
        <v>1430</v>
      </c>
    </row>
    <row r="802" spans="1:16" x14ac:dyDescent="0.3">
      <c r="A802" t="s">
        <v>1196</v>
      </c>
      <c r="B802" s="45">
        <v>45344</v>
      </c>
      <c r="C802" t="s">
        <v>225</v>
      </c>
      <c r="D802" t="s">
        <v>135</v>
      </c>
      <c r="E802" t="s">
        <v>92</v>
      </c>
      <c r="F802">
        <v>5</v>
      </c>
      <c r="G802">
        <v>2640</v>
      </c>
      <c r="H802">
        <v>26.8</v>
      </c>
      <c r="I802">
        <v>9662.4</v>
      </c>
      <c r="J802" t="s">
        <v>87</v>
      </c>
      <c r="K802" t="s">
        <v>94</v>
      </c>
      <c r="L802" t="s">
        <v>94</v>
      </c>
      <c r="M802" t="s">
        <v>2784</v>
      </c>
      <c r="N802" t="s">
        <v>2855</v>
      </c>
      <c r="O802">
        <v>1149</v>
      </c>
      <c r="P802">
        <v>2640</v>
      </c>
    </row>
    <row r="803" spans="1:16" x14ac:dyDescent="0.3">
      <c r="A803" t="s">
        <v>1201</v>
      </c>
      <c r="B803" s="45">
        <v>45584</v>
      </c>
      <c r="C803" t="s">
        <v>662</v>
      </c>
      <c r="D803" t="s">
        <v>364</v>
      </c>
      <c r="E803" t="s">
        <v>188</v>
      </c>
      <c r="F803">
        <v>7</v>
      </c>
      <c r="G803">
        <v>5330</v>
      </c>
      <c r="H803">
        <v>19.7</v>
      </c>
      <c r="I803">
        <v>29959.93</v>
      </c>
      <c r="J803" t="s">
        <v>140</v>
      </c>
      <c r="K803" t="s">
        <v>94</v>
      </c>
      <c r="L803" t="s">
        <v>94</v>
      </c>
      <c r="M803" t="s">
        <v>2784</v>
      </c>
      <c r="N803" t="s">
        <v>2862</v>
      </c>
      <c r="O803">
        <v>2405</v>
      </c>
      <c r="P803">
        <v>5330</v>
      </c>
    </row>
    <row r="804" spans="1:16" x14ac:dyDescent="0.3">
      <c r="A804" t="s">
        <v>1203</v>
      </c>
      <c r="B804" s="45">
        <v>45302</v>
      </c>
      <c r="C804" t="s">
        <v>807</v>
      </c>
      <c r="D804" t="s">
        <v>364</v>
      </c>
      <c r="E804" t="s">
        <v>170</v>
      </c>
      <c r="F804">
        <v>9</v>
      </c>
      <c r="G804">
        <v>5330</v>
      </c>
      <c r="H804">
        <v>22.9</v>
      </c>
      <c r="I804">
        <v>36984.870000000003</v>
      </c>
      <c r="J804" t="s">
        <v>87</v>
      </c>
      <c r="K804" t="s">
        <v>88</v>
      </c>
      <c r="L804" t="s">
        <v>88</v>
      </c>
      <c r="M804" t="s">
        <v>2784</v>
      </c>
      <c r="N804" t="s">
        <v>2879</v>
      </c>
      <c r="O804">
        <v>2405</v>
      </c>
      <c r="P804">
        <v>5330</v>
      </c>
    </row>
    <row r="805" spans="1:16" x14ac:dyDescent="0.3">
      <c r="A805" t="s">
        <v>1206</v>
      </c>
      <c r="B805" s="45">
        <v>45336</v>
      </c>
      <c r="C805" t="s">
        <v>472</v>
      </c>
      <c r="D805" t="s">
        <v>279</v>
      </c>
      <c r="E805" t="s">
        <v>252</v>
      </c>
      <c r="F805">
        <v>1</v>
      </c>
      <c r="G805">
        <v>2660</v>
      </c>
      <c r="H805">
        <v>6.1</v>
      </c>
      <c r="I805">
        <v>2497.7399999999998</v>
      </c>
      <c r="J805" t="s">
        <v>140</v>
      </c>
      <c r="K805" t="s">
        <v>94</v>
      </c>
      <c r="L805" t="s">
        <v>94</v>
      </c>
      <c r="M805" t="s">
        <v>2784</v>
      </c>
      <c r="N805" t="s">
        <v>2862</v>
      </c>
      <c r="O805">
        <v>1259</v>
      </c>
      <c r="P805">
        <v>2660</v>
      </c>
    </row>
    <row r="806" spans="1:16" x14ac:dyDescent="0.3">
      <c r="A806" t="s">
        <v>1243</v>
      </c>
      <c r="B806" s="45">
        <v>45652</v>
      </c>
      <c r="C806" t="s">
        <v>163</v>
      </c>
      <c r="D806" t="s">
        <v>138</v>
      </c>
      <c r="E806" t="s">
        <v>303</v>
      </c>
      <c r="F806">
        <v>1</v>
      </c>
      <c r="G806">
        <v>2600</v>
      </c>
      <c r="H806">
        <v>2.2000000000000002</v>
      </c>
      <c r="I806">
        <v>2542.8000000000002</v>
      </c>
      <c r="J806" t="s">
        <v>87</v>
      </c>
      <c r="K806" t="s">
        <v>94</v>
      </c>
      <c r="L806" t="s">
        <v>94</v>
      </c>
      <c r="M806" t="s">
        <v>2784</v>
      </c>
      <c r="N806" t="s">
        <v>2871</v>
      </c>
      <c r="O806">
        <v>1052</v>
      </c>
      <c r="P806">
        <v>2600</v>
      </c>
    </row>
    <row r="807" spans="1:16" x14ac:dyDescent="0.3">
      <c r="A807" t="s">
        <v>1247</v>
      </c>
      <c r="B807" s="45">
        <v>45418</v>
      </c>
      <c r="C807" t="s">
        <v>725</v>
      </c>
      <c r="D807" t="s">
        <v>248</v>
      </c>
      <c r="E807" t="s">
        <v>297</v>
      </c>
      <c r="F807">
        <v>6</v>
      </c>
      <c r="G807">
        <v>3870</v>
      </c>
      <c r="H807">
        <v>22.4</v>
      </c>
      <c r="I807">
        <v>18018.72</v>
      </c>
      <c r="J807" t="s">
        <v>140</v>
      </c>
      <c r="K807" t="s">
        <v>99</v>
      </c>
      <c r="L807" t="s">
        <v>99</v>
      </c>
      <c r="M807" t="s">
        <v>2784</v>
      </c>
      <c r="N807" t="s">
        <v>2855</v>
      </c>
      <c r="O807">
        <v>1559</v>
      </c>
      <c r="P807">
        <v>3870</v>
      </c>
    </row>
    <row r="808" spans="1:16" x14ac:dyDescent="0.3">
      <c r="A808" t="s">
        <v>1273</v>
      </c>
      <c r="B808" s="45">
        <v>45413</v>
      </c>
      <c r="C808" t="s">
        <v>378</v>
      </c>
      <c r="D808" t="s">
        <v>364</v>
      </c>
      <c r="E808" t="s">
        <v>204</v>
      </c>
      <c r="F808">
        <v>7</v>
      </c>
      <c r="G808">
        <v>5330</v>
      </c>
      <c r="H808">
        <v>29.7</v>
      </c>
      <c r="I808">
        <v>26228.93</v>
      </c>
      <c r="J808" t="s">
        <v>93</v>
      </c>
      <c r="K808" t="s">
        <v>94</v>
      </c>
      <c r="L808" t="s">
        <v>94</v>
      </c>
      <c r="M808" t="s">
        <v>2784</v>
      </c>
      <c r="N808" t="s">
        <v>2862</v>
      </c>
      <c r="O808">
        <v>2405</v>
      </c>
      <c r="P808">
        <v>5330</v>
      </c>
    </row>
    <row r="809" spans="1:16" x14ac:dyDescent="0.3">
      <c r="A809" t="s">
        <v>1296</v>
      </c>
      <c r="B809" s="45">
        <v>45449</v>
      </c>
      <c r="C809" t="s">
        <v>1297</v>
      </c>
      <c r="D809" t="s">
        <v>138</v>
      </c>
      <c r="E809" t="s">
        <v>192</v>
      </c>
      <c r="F809">
        <v>4</v>
      </c>
      <c r="G809">
        <v>2600</v>
      </c>
      <c r="H809">
        <v>4.2</v>
      </c>
      <c r="I809">
        <v>9963.2000000000007</v>
      </c>
      <c r="J809" t="s">
        <v>87</v>
      </c>
      <c r="K809" t="s">
        <v>112</v>
      </c>
      <c r="L809" t="s">
        <v>112</v>
      </c>
      <c r="M809" t="s">
        <v>2784</v>
      </c>
      <c r="N809" t="s">
        <v>2871</v>
      </c>
      <c r="O809">
        <v>1052</v>
      </c>
      <c r="P809">
        <v>2600</v>
      </c>
    </row>
    <row r="810" spans="1:16" x14ac:dyDescent="0.3">
      <c r="A810" t="s">
        <v>1301</v>
      </c>
      <c r="B810" s="45">
        <v>45415</v>
      </c>
      <c r="C810" t="s">
        <v>676</v>
      </c>
      <c r="D810" t="s">
        <v>248</v>
      </c>
      <c r="E810" t="s">
        <v>204</v>
      </c>
      <c r="F810">
        <v>5</v>
      </c>
      <c r="G810">
        <v>3870</v>
      </c>
      <c r="H810">
        <v>13.3</v>
      </c>
      <c r="I810">
        <v>16776.45</v>
      </c>
      <c r="J810" t="s">
        <v>140</v>
      </c>
      <c r="K810" t="s">
        <v>88</v>
      </c>
      <c r="L810" t="s">
        <v>88</v>
      </c>
      <c r="M810" t="s">
        <v>2784</v>
      </c>
      <c r="N810" t="s">
        <v>2862</v>
      </c>
      <c r="O810">
        <v>1559</v>
      </c>
      <c r="P810">
        <v>3870</v>
      </c>
    </row>
    <row r="811" spans="1:16" x14ac:dyDescent="0.3">
      <c r="A811" t="s">
        <v>1310</v>
      </c>
      <c r="B811" s="45">
        <v>45362</v>
      </c>
      <c r="C811" t="s">
        <v>472</v>
      </c>
      <c r="D811" t="s">
        <v>120</v>
      </c>
      <c r="E811" t="s">
        <v>201</v>
      </c>
      <c r="F811">
        <v>8</v>
      </c>
      <c r="G811">
        <v>1430</v>
      </c>
      <c r="H811">
        <v>8.6999999999999993</v>
      </c>
      <c r="I811">
        <v>10444.719999999999</v>
      </c>
      <c r="J811" t="s">
        <v>87</v>
      </c>
      <c r="K811" t="s">
        <v>94</v>
      </c>
      <c r="L811" t="s">
        <v>94</v>
      </c>
      <c r="M811" t="s">
        <v>2784</v>
      </c>
      <c r="N811" t="s">
        <v>2879</v>
      </c>
      <c r="O811">
        <v>861</v>
      </c>
      <c r="P811">
        <v>1430</v>
      </c>
    </row>
    <row r="812" spans="1:16" x14ac:dyDescent="0.3">
      <c r="A812" t="s">
        <v>1332</v>
      </c>
      <c r="B812" s="45">
        <v>45434</v>
      </c>
      <c r="C812" t="s">
        <v>247</v>
      </c>
      <c r="D812" t="s">
        <v>364</v>
      </c>
      <c r="E812" t="s">
        <v>188</v>
      </c>
      <c r="F812">
        <v>10</v>
      </c>
      <c r="G812">
        <v>5330</v>
      </c>
      <c r="H812">
        <v>16.100000000000001</v>
      </c>
      <c r="I812">
        <v>44718.7</v>
      </c>
      <c r="J812" t="s">
        <v>87</v>
      </c>
      <c r="K812" t="s">
        <v>117</v>
      </c>
      <c r="L812" t="s">
        <v>117</v>
      </c>
      <c r="M812" t="s">
        <v>2784</v>
      </c>
      <c r="N812" t="s">
        <v>2862</v>
      </c>
      <c r="O812">
        <v>2405</v>
      </c>
      <c r="P812">
        <v>5330</v>
      </c>
    </row>
    <row r="813" spans="1:16" x14ac:dyDescent="0.3">
      <c r="A813" t="s">
        <v>1336</v>
      </c>
      <c r="B813" s="45">
        <v>45634</v>
      </c>
      <c r="C813" t="s">
        <v>856</v>
      </c>
      <c r="D813" t="s">
        <v>267</v>
      </c>
      <c r="E813" t="s">
        <v>107</v>
      </c>
      <c r="F813">
        <v>5</v>
      </c>
      <c r="G813">
        <v>1220</v>
      </c>
      <c r="H813">
        <v>0.3</v>
      </c>
      <c r="I813">
        <v>6081.7</v>
      </c>
      <c r="J813" t="s">
        <v>87</v>
      </c>
      <c r="K813" t="s">
        <v>88</v>
      </c>
      <c r="L813" t="s">
        <v>88</v>
      </c>
      <c r="M813" t="s">
        <v>2784</v>
      </c>
      <c r="N813" t="s">
        <v>2855</v>
      </c>
      <c r="O813">
        <v>517</v>
      </c>
      <c r="P813">
        <v>1220</v>
      </c>
    </row>
    <row r="814" spans="1:16" x14ac:dyDescent="0.3">
      <c r="A814" t="s">
        <v>1337</v>
      </c>
      <c r="B814" s="45">
        <v>45308</v>
      </c>
      <c r="C814" t="s">
        <v>1172</v>
      </c>
      <c r="D814" t="s">
        <v>364</v>
      </c>
      <c r="E814" t="s">
        <v>86</v>
      </c>
      <c r="F814">
        <v>5</v>
      </c>
      <c r="G814">
        <v>5330</v>
      </c>
      <c r="H814">
        <v>29</v>
      </c>
      <c r="I814">
        <v>18921.5</v>
      </c>
      <c r="J814" t="s">
        <v>87</v>
      </c>
      <c r="K814" t="s">
        <v>88</v>
      </c>
      <c r="L814" t="s">
        <v>88</v>
      </c>
      <c r="M814" t="s">
        <v>2784</v>
      </c>
      <c r="N814" t="s">
        <v>2855</v>
      </c>
      <c r="O814">
        <v>2405</v>
      </c>
      <c r="P814">
        <v>5330</v>
      </c>
    </row>
    <row r="815" spans="1:16" x14ac:dyDescent="0.3">
      <c r="A815" t="s">
        <v>1338</v>
      </c>
      <c r="B815" s="45">
        <v>45641</v>
      </c>
      <c r="C815" t="s">
        <v>759</v>
      </c>
      <c r="D815" t="s">
        <v>187</v>
      </c>
      <c r="E815" t="s">
        <v>128</v>
      </c>
      <c r="F815">
        <v>3</v>
      </c>
      <c r="G815">
        <v>3570</v>
      </c>
      <c r="H815">
        <v>20</v>
      </c>
      <c r="I815">
        <v>8568</v>
      </c>
      <c r="J815" t="s">
        <v>140</v>
      </c>
      <c r="K815" t="s">
        <v>117</v>
      </c>
      <c r="L815" t="s">
        <v>117</v>
      </c>
      <c r="M815" t="s">
        <v>2784</v>
      </c>
      <c r="N815" t="s">
        <v>2879</v>
      </c>
      <c r="O815">
        <v>1665</v>
      </c>
      <c r="P815">
        <v>3570</v>
      </c>
    </row>
    <row r="816" spans="1:16" x14ac:dyDescent="0.3">
      <c r="A816" t="s">
        <v>1341</v>
      </c>
      <c r="B816" s="45">
        <v>45626</v>
      </c>
      <c r="C816" t="s">
        <v>169</v>
      </c>
      <c r="D816" t="s">
        <v>135</v>
      </c>
      <c r="E816" t="s">
        <v>107</v>
      </c>
      <c r="F816">
        <v>10</v>
      </c>
      <c r="G816">
        <v>2640</v>
      </c>
      <c r="H816">
        <v>17.8</v>
      </c>
      <c r="I816">
        <v>21700.799999999999</v>
      </c>
      <c r="J816" t="s">
        <v>144</v>
      </c>
      <c r="K816" t="s">
        <v>112</v>
      </c>
      <c r="L816" t="s">
        <v>112</v>
      </c>
      <c r="M816" t="s">
        <v>2784</v>
      </c>
      <c r="N816" t="s">
        <v>2855</v>
      </c>
      <c r="O816">
        <v>1149</v>
      </c>
      <c r="P816">
        <v>2640</v>
      </c>
    </row>
    <row r="817" spans="1:16" x14ac:dyDescent="0.3">
      <c r="A817" t="s">
        <v>1342</v>
      </c>
      <c r="B817" s="45">
        <v>45352</v>
      </c>
      <c r="C817" t="s">
        <v>610</v>
      </c>
      <c r="D817" t="s">
        <v>282</v>
      </c>
      <c r="E817" t="s">
        <v>116</v>
      </c>
      <c r="F817">
        <v>5</v>
      </c>
      <c r="G817">
        <v>300</v>
      </c>
      <c r="H817">
        <v>12.9</v>
      </c>
      <c r="I817">
        <v>1306.5</v>
      </c>
      <c r="J817" t="s">
        <v>87</v>
      </c>
      <c r="K817" t="s">
        <v>117</v>
      </c>
      <c r="L817" t="s">
        <v>117</v>
      </c>
      <c r="M817" t="s">
        <v>2784</v>
      </c>
      <c r="N817" t="s">
        <v>2879</v>
      </c>
      <c r="O817">
        <v>128</v>
      </c>
      <c r="P817">
        <v>300</v>
      </c>
    </row>
    <row r="818" spans="1:16" x14ac:dyDescent="0.3">
      <c r="A818" t="s">
        <v>1349</v>
      </c>
      <c r="B818" s="45">
        <v>45482</v>
      </c>
      <c r="C818" t="s">
        <v>1350</v>
      </c>
      <c r="D818" t="s">
        <v>408</v>
      </c>
      <c r="E818" t="s">
        <v>128</v>
      </c>
      <c r="F818">
        <v>3</v>
      </c>
      <c r="G818">
        <v>3970</v>
      </c>
      <c r="H818">
        <v>2.4</v>
      </c>
      <c r="I818">
        <v>11624.16</v>
      </c>
      <c r="J818" t="s">
        <v>87</v>
      </c>
      <c r="K818" t="s">
        <v>112</v>
      </c>
      <c r="L818" t="s">
        <v>112</v>
      </c>
      <c r="M818" t="s">
        <v>2784</v>
      </c>
      <c r="N818" t="s">
        <v>2879</v>
      </c>
      <c r="O818">
        <v>2865</v>
      </c>
      <c r="P818">
        <v>3970</v>
      </c>
    </row>
    <row r="819" spans="1:16" x14ac:dyDescent="0.3">
      <c r="A819" t="s">
        <v>1351</v>
      </c>
      <c r="B819" s="45">
        <v>45583</v>
      </c>
      <c r="C819" t="s">
        <v>762</v>
      </c>
      <c r="D819" t="s">
        <v>267</v>
      </c>
      <c r="E819" t="s">
        <v>86</v>
      </c>
      <c r="F819">
        <v>4</v>
      </c>
      <c r="G819">
        <v>1220</v>
      </c>
      <c r="H819">
        <v>25.3</v>
      </c>
      <c r="I819">
        <v>3645.36</v>
      </c>
      <c r="J819" t="s">
        <v>87</v>
      </c>
      <c r="K819" t="s">
        <v>133</v>
      </c>
      <c r="L819" t="s">
        <v>133</v>
      </c>
      <c r="M819" t="s">
        <v>2784</v>
      </c>
      <c r="N819" t="s">
        <v>2855</v>
      </c>
      <c r="O819">
        <v>517</v>
      </c>
      <c r="P819">
        <v>1220</v>
      </c>
    </row>
    <row r="820" spans="1:16" x14ac:dyDescent="0.3">
      <c r="A820" t="s">
        <v>1353</v>
      </c>
      <c r="B820" s="45">
        <v>45430</v>
      </c>
      <c r="C820" t="s">
        <v>613</v>
      </c>
      <c r="D820" t="s">
        <v>282</v>
      </c>
      <c r="E820" t="s">
        <v>107</v>
      </c>
      <c r="F820">
        <v>1</v>
      </c>
      <c r="G820">
        <v>300</v>
      </c>
      <c r="H820">
        <v>24.5</v>
      </c>
      <c r="I820">
        <v>226.5</v>
      </c>
      <c r="J820" t="s">
        <v>87</v>
      </c>
      <c r="K820" t="s">
        <v>112</v>
      </c>
      <c r="L820" t="s">
        <v>112</v>
      </c>
      <c r="M820" t="s">
        <v>2784</v>
      </c>
      <c r="N820" t="s">
        <v>2855</v>
      </c>
      <c r="O820">
        <v>128</v>
      </c>
      <c r="P820">
        <v>300</v>
      </c>
    </row>
    <row r="821" spans="1:16" x14ac:dyDescent="0.3">
      <c r="A821" t="s">
        <v>1366</v>
      </c>
      <c r="B821" s="45">
        <v>45638</v>
      </c>
      <c r="C821" t="s">
        <v>522</v>
      </c>
      <c r="D821" t="s">
        <v>408</v>
      </c>
      <c r="E821" t="s">
        <v>121</v>
      </c>
      <c r="F821">
        <v>9</v>
      </c>
      <c r="G821">
        <v>3970</v>
      </c>
      <c r="H821">
        <v>7</v>
      </c>
      <c r="I821">
        <v>33228.9</v>
      </c>
      <c r="J821" t="s">
        <v>87</v>
      </c>
      <c r="K821" t="s">
        <v>99</v>
      </c>
      <c r="L821" t="s">
        <v>99</v>
      </c>
      <c r="M821" t="s">
        <v>2784</v>
      </c>
      <c r="N821" t="s">
        <v>2871</v>
      </c>
      <c r="O821">
        <v>2865</v>
      </c>
      <c r="P821">
        <v>3970</v>
      </c>
    </row>
    <row r="822" spans="1:16" x14ac:dyDescent="0.3">
      <c r="A822" t="s">
        <v>1372</v>
      </c>
      <c r="B822" s="45">
        <v>45328</v>
      </c>
      <c r="C822" t="s">
        <v>261</v>
      </c>
      <c r="D822" t="s">
        <v>282</v>
      </c>
      <c r="E822" t="s">
        <v>273</v>
      </c>
      <c r="F822">
        <v>10</v>
      </c>
      <c r="G822">
        <v>300</v>
      </c>
      <c r="H822">
        <v>12.8</v>
      </c>
      <c r="I822">
        <v>2616</v>
      </c>
      <c r="J822" t="s">
        <v>140</v>
      </c>
      <c r="K822" t="s">
        <v>99</v>
      </c>
      <c r="L822" t="s">
        <v>99</v>
      </c>
      <c r="M822" t="s">
        <v>2784</v>
      </c>
      <c r="N822" t="s">
        <v>2862</v>
      </c>
      <c r="O822">
        <v>128</v>
      </c>
      <c r="P822">
        <v>300</v>
      </c>
    </row>
    <row r="823" spans="1:16" x14ac:dyDescent="0.3">
      <c r="A823" t="s">
        <v>1376</v>
      </c>
      <c r="B823" s="45">
        <v>45539</v>
      </c>
      <c r="C823" t="s">
        <v>673</v>
      </c>
      <c r="D823" t="s">
        <v>138</v>
      </c>
      <c r="E823" t="s">
        <v>252</v>
      </c>
      <c r="F823">
        <v>5</v>
      </c>
      <c r="G823">
        <v>2600</v>
      </c>
      <c r="H823">
        <v>21.4</v>
      </c>
      <c r="I823">
        <v>10218</v>
      </c>
      <c r="J823" t="s">
        <v>87</v>
      </c>
      <c r="K823" t="s">
        <v>112</v>
      </c>
      <c r="L823" t="s">
        <v>112</v>
      </c>
      <c r="M823" t="s">
        <v>2784</v>
      </c>
      <c r="N823" t="s">
        <v>2862</v>
      </c>
      <c r="O823">
        <v>1052</v>
      </c>
      <c r="P823">
        <v>2600</v>
      </c>
    </row>
    <row r="824" spans="1:16" x14ac:dyDescent="0.3">
      <c r="A824" t="s">
        <v>1054</v>
      </c>
      <c r="B824" s="45">
        <v>45436</v>
      </c>
      <c r="C824" t="s">
        <v>720</v>
      </c>
      <c r="D824" t="s">
        <v>267</v>
      </c>
      <c r="E824" t="s">
        <v>111</v>
      </c>
      <c r="F824">
        <v>10</v>
      </c>
      <c r="G824">
        <v>1220</v>
      </c>
      <c r="H824">
        <v>24.3</v>
      </c>
      <c r="I824">
        <v>9235.4</v>
      </c>
      <c r="J824" t="s">
        <v>87</v>
      </c>
      <c r="K824" t="s">
        <v>88</v>
      </c>
      <c r="L824" t="s">
        <v>88</v>
      </c>
      <c r="M824" t="s">
        <v>2784</v>
      </c>
      <c r="N824" t="s">
        <v>2879</v>
      </c>
      <c r="O824">
        <v>517</v>
      </c>
      <c r="P824">
        <v>1220</v>
      </c>
    </row>
    <row r="825" spans="1:16" x14ac:dyDescent="0.3">
      <c r="A825" t="s">
        <v>1377</v>
      </c>
      <c r="B825" s="45">
        <v>45646</v>
      </c>
      <c r="C825" t="s">
        <v>1378</v>
      </c>
      <c r="D825" t="s">
        <v>120</v>
      </c>
      <c r="E825" t="s">
        <v>188</v>
      </c>
      <c r="F825">
        <v>10</v>
      </c>
      <c r="G825">
        <v>1430</v>
      </c>
      <c r="H825">
        <v>5.0999999999999996</v>
      </c>
      <c r="I825">
        <v>13570.7</v>
      </c>
      <c r="J825" t="s">
        <v>140</v>
      </c>
      <c r="K825" t="s">
        <v>94</v>
      </c>
      <c r="L825" t="s">
        <v>94</v>
      </c>
      <c r="M825" t="s">
        <v>2784</v>
      </c>
      <c r="N825" t="s">
        <v>2862</v>
      </c>
      <c r="O825">
        <v>861</v>
      </c>
      <c r="P825">
        <v>1430</v>
      </c>
    </row>
    <row r="826" spans="1:16" x14ac:dyDescent="0.3">
      <c r="A826" t="s">
        <v>1383</v>
      </c>
      <c r="B826" s="45">
        <v>45417</v>
      </c>
      <c r="C826" t="s">
        <v>272</v>
      </c>
      <c r="D826" t="s">
        <v>187</v>
      </c>
      <c r="E826" t="s">
        <v>111</v>
      </c>
      <c r="F826">
        <v>10</v>
      </c>
      <c r="G826">
        <v>3570</v>
      </c>
      <c r="H826">
        <v>4.4000000000000004</v>
      </c>
      <c r="I826">
        <v>34129.199999999997</v>
      </c>
      <c r="J826" t="s">
        <v>87</v>
      </c>
      <c r="K826" t="s">
        <v>94</v>
      </c>
      <c r="L826" t="s">
        <v>94</v>
      </c>
      <c r="M826" t="s">
        <v>2784</v>
      </c>
      <c r="N826" t="s">
        <v>2879</v>
      </c>
      <c r="O826">
        <v>1665</v>
      </c>
      <c r="P826">
        <v>3570</v>
      </c>
    </row>
    <row r="827" spans="1:16" x14ac:dyDescent="0.3">
      <c r="A827" t="s">
        <v>1392</v>
      </c>
      <c r="B827" s="45">
        <v>45430</v>
      </c>
      <c r="C827" t="s">
        <v>318</v>
      </c>
      <c r="D827" t="s">
        <v>408</v>
      </c>
      <c r="E827" t="s">
        <v>170</v>
      </c>
      <c r="F827">
        <v>3</v>
      </c>
      <c r="G827">
        <v>3970</v>
      </c>
      <c r="H827">
        <v>24.7</v>
      </c>
      <c r="I827">
        <v>8968.23</v>
      </c>
      <c r="J827" t="s">
        <v>87</v>
      </c>
      <c r="K827" t="s">
        <v>94</v>
      </c>
      <c r="L827" t="s">
        <v>94</v>
      </c>
      <c r="M827" t="s">
        <v>2784</v>
      </c>
      <c r="N827" t="s">
        <v>2879</v>
      </c>
      <c r="O827">
        <v>2865</v>
      </c>
      <c r="P827">
        <v>3970</v>
      </c>
    </row>
    <row r="828" spans="1:16" x14ac:dyDescent="0.3">
      <c r="A828" t="s">
        <v>1395</v>
      </c>
      <c r="B828" s="45">
        <v>45375</v>
      </c>
      <c r="C828" t="s">
        <v>160</v>
      </c>
      <c r="D828" t="s">
        <v>282</v>
      </c>
      <c r="E828" t="s">
        <v>346</v>
      </c>
      <c r="F828">
        <v>7</v>
      </c>
      <c r="G828">
        <v>300</v>
      </c>
      <c r="H828">
        <v>20.399999999999999</v>
      </c>
      <c r="I828">
        <v>1671.6</v>
      </c>
      <c r="J828" t="s">
        <v>87</v>
      </c>
      <c r="K828" t="s">
        <v>112</v>
      </c>
      <c r="L828" t="s">
        <v>112</v>
      </c>
      <c r="M828" t="s">
        <v>2784</v>
      </c>
      <c r="N828" t="s">
        <v>2862</v>
      </c>
      <c r="O828">
        <v>128</v>
      </c>
      <c r="P828">
        <v>300</v>
      </c>
    </row>
    <row r="829" spans="1:16" x14ac:dyDescent="0.3">
      <c r="A829" t="s">
        <v>1396</v>
      </c>
      <c r="B829" s="45">
        <v>45397</v>
      </c>
      <c r="C829" t="s">
        <v>312</v>
      </c>
      <c r="D829" t="s">
        <v>138</v>
      </c>
      <c r="E829" t="s">
        <v>98</v>
      </c>
      <c r="F829">
        <v>8</v>
      </c>
      <c r="G829">
        <v>2600</v>
      </c>
      <c r="H829">
        <v>2.2000000000000002</v>
      </c>
      <c r="I829">
        <v>20342.400000000001</v>
      </c>
      <c r="J829" t="s">
        <v>140</v>
      </c>
      <c r="K829" t="s">
        <v>133</v>
      </c>
      <c r="L829" t="s">
        <v>133</v>
      </c>
      <c r="M829" t="s">
        <v>2784</v>
      </c>
      <c r="N829" t="s">
        <v>2862</v>
      </c>
      <c r="O829">
        <v>1052</v>
      </c>
      <c r="P829">
        <v>2600</v>
      </c>
    </row>
    <row r="830" spans="1:16" x14ac:dyDescent="0.3">
      <c r="A830" t="s">
        <v>1410</v>
      </c>
      <c r="B830" s="45">
        <v>45550</v>
      </c>
      <c r="C830" t="s">
        <v>96</v>
      </c>
      <c r="D830" t="s">
        <v>408</v>
      </c>
      <c r="E830" t="s">
        <v>215</v>
      </c>
      <c r="F830">
        <v>7</v>
      </c>
      <c r="G830">
        <v>3970</v>
      </c>
      <c r="H830">
        <v>11.7</v>
      </c>
      <c r="I830">
        <v>24538.57</v>
      </c>
      <c r="J830" t="s">
        <v>87</v>
      </c>
      <c r="K830" t="s">
        <v>99</v>
      </c>
      <c r="L830" t="s">
        <v>99</v>
      </c>
      <c r="M830" t="s">
        <v>2784</v>
      </c>
      <c r="N830" t="s">
        <v>2855</v>
      </c>
      <c r="O830">
        <v>2865</v>
      </c>
      <c r="P830">
        <v>3970</v>
      </c>
    </row>
    <row r="831" spans="1:16" x14ac:dyDescent="0.3">
      <c r="A831" t="s">
        <v>1412</v>
      </c>
      <c r="B831" s="45">
        <v>45428</v>
      </c>
      <c r="C831" t="s">
        <v>460</v>
      </c>
      <c r="D831" t="s">
        <v>187</v>
      </c>
      <c r="E831" t="s">
        <v>86</v>
      </c>
      <c r="F831">
        <v>8</v>
      </c>
      <c r="G831">
        <v>3570</v>
      </c>
      <c r="H831">
        <v>8.5</v>
      </c>
      <c r="I831">
        <v>26132.400000000001</v>
      </c>
      <c r="J831" t="s">
        <v>87</v>
      </c>
      <c r="K831" t="s">
        <v>88</v>
      </c>
      <c r="L831" t="s">
        <v>88</v>
      </c>
      <c r="M831" t="s">
        <v>2784</v>
      </c>
      <c r="N831" t="s">
        <v>2855</v>
      </c>
      <c r="O831">
        <v>1665</v>
      </c>
      <c r="P831">
        <v>3570</v>
      </c>
    </row>
    <row r="832" spans="1:16" x14ac:dyDescent="0.3">
      <c r="A832" t="s">
        <v>1413</v>
      </c>
      <c r="B832" s="45">
        <v>45517</v>
      </c>
      <c r="C832" t="s">
        <v>228</v>
      </c>
      <c r="D832" t="s">
        <v>138</v>
      </c>
      <c r="E832" t="s">
        <v>98</v>
      </c>
      <c r="F832">
        <v>7</v>
      </c>
      <c r="G832">
        <v>2600</v>
      </c>
      <c r="H832">
        <v>27.1</v>
      </c>
      <c r="I832">
        <v>13267.8</v>
      </c>
      <c r="J832" t="s">
        <v>87</v>
      </c>
      <c r="K832" t="s">
        <v>112</v>
      </c>
      <c r="L832" t="s">
        <v>112</v>
      </c>
      <c r="M832" t="s">
        <v>2784</v>
      </c>
      <c r="N832" t="s">
        <v>2862</v>
      </c>
      <c r="O832">
        <v>1052</v>
      </c>
      <c r="P832">
        <v>2600</v>
      </c>
    </row>
    <row r="833" spans="1:16" x14ac:dyDescent="0.3">
      <c r="A833" t="s">
        <v>1418</v>
      </c>
      <c r="B833" s="45">
        <v>45386</v>
      </c>
      <c r="C833" t="s">
        <v>413</v>
      </c>
      <c r="D833" t="s">
        <v>248</v>
      </c>
      <c r="E833" t="s">
        <v>170</v>
      </c>
      <c r="F833">
        <v>2</v>
      </c>
      <c r="G833">
        <v>3870</v>
      </c>
      <c r="H833">
        <v>10.5</v>
      </c>
      <c r="I833">
        <v>6927.3</v>
      </c>
      <c r="J833" t="s">
        <v>87</v>
      </c>
      <c r="K833" t="s">
        <v>88</v>
      </c>
      <c r="L833" t="s">
        <v>88</v>
      </c>
      <c r="M833" t="s">
        <v>2784</v>
      </c>
      <c r="N833" t="s">
        <v>2879</v>
      </c>
      <c r="O833">
        <v>1559</v>
      </c>
      <c r="P833">
        <v>3870</v>
      </c>
    </row>
    <row r="834" spans="1:16" x14ac:dyDescent="0.3">
      <c r="A834" t="s">
        <v>1420</v>
      </c>
      <c r="B834" s="45">
        <v>45618</v>
      </c>
      <c r="C834" t="s">
        <v>197</v>
      </c>
      <c r="D834" t="s">
        <v>408</v>
      </c>
      <c r="E834" t="s">
        <v>170</v>
      </c>
      <c r="F834">
        <v>7</v>
      </c>
      <c r="G834">
        <v>3970</v>
      </c>
      <c r="H834">
        <v>12.3</v>
      </c>
      <c r="I834">
        <v>24371.83</v>
      </c>
      <c r="J834" t="s">
        <v>87</v>
      </c>
      <c r="K834" t="s">
        <v>88</v>
      </c>
      <c r="L834" t="s">
        <v>88</v>
      </c>
      <c r="M834" t="s">
        <v>2784</v>
      </c>
      <c r="N834" t="s">
        <v>2879</v>
      </c>
      <c r="O834">
        <v>2865</v>
      </c>
      <c r="P834">
        <v>3970</v>
      </c>
    </row>
    <row r="835" spans="1:16" x14ac:dyDescent="0.3">
      <c r="A835" t="s">
        <v>1425</v>
      </c>
      <c r="B835" s="45">
        <v>45451</v>
      </c>
      <c r="C835" t="s">
        <v>759</v>
      </c>
      <c r="D835" t="s">
        <v>248</v>
      </c>
      <c r="E835" t="s">
        <v>215</v>
      </c>
      <c r="F835">
        <v>10</v>
      </c>
      <c r="G835">
        <v>3870</v>
      </c>
      <c r="H835">
        <v>12.2</v>
      </c>
      <c r="I835">
        <v>33978.6</v>
      </c>
      <c r="J835" t="s">
        <v>144</v>
      </c>
      <c r="K835" t="s">
        <v>117</v>
      </c>
      <c r="L835" t="s">
        <v>117</v>
      </c>
      <c r="M835" t="s">
        <v>2784</v>
      </c>
      <c r="N835" t="s">
        <v>2855</v>
      </c>
      <c r="O835">
        <v>1559</v>
      </c>
      <c r="P835">
        <v>3870</v>
      </c>
    </row>
    <row r="836" spans="1:16" x14ac:dyDescent="0.3">
      <c r="A836" t="s">
        <v>1426</v>
      </c>
      <c r="B836" s="45">
        <v>45488</v>
      </c>
      <c r="C836" t="s">
        <v>392</v>
      </c>
      <c r="D836" t="s">
        <v>279</v>
      </c>
      <c r="E836" t="s">
        <v>297</v>
      </c>
      <c r="F836">
        <v>7</v>
      </c>
      <c r="G836">
        <v>2660</v>
      </c>
      <c r="H836">
        <v>4.7</v>
      </c>
      <c r="I836">
        <v>17744.86</v>
      </c>
      <c r="J836" t="s">
        <v>87</v>
      </c>
      <c r="K836" t="s">
        <v>112</v>
      </c>
      <c r="L836" t="s">
        <v>112</v>
      </c>
      <c r="M836" t="s">
        <v>2784</v>
      </c>
      <c r="N836" t="s">
        <v>2855</v>
      </c>
      <c r="O836">
        <v>1259</v>
      </c>
      <c r="P836">
        <v>2660</v>
      </c>
    </row>
    <row r="837" spans="1:16" x14ac:dyDescent="0.3">
      <c r="A837" t="s">
        <v>1427</v>
      </c>
      <c r="B837" s="45">
        <v>45431</v>
      </c>
      <c r="C837" t="s">
        <v>401</v>
      </c>
      <c r="D837" t="s">
        <v>187</v>
      </c>
      <c r="E837" t="s">
        <v>204</v>
      </c>
      <c r="F837">
        <v>4</v>
      </c>
      <c r="G837">
        <v>3570</v>
      </c>
      <c r="H837">
        <v>19.3</v>
      </c>
      <c r="I837">
        <v>11523.96</v>
      </c>
      <c r="J837" t="s">
        <v>87</v>
      </c>
      <c r="K837" t="s">
        <v>94</v>
      </c>
      <c r="L837" t="s">
        <v>94</v>
      </c>
      <c r="M837" t="s">
        <v>2784</v>
      </c>
      <c r="N837" t="s">
        <v>2862</v>
      </c>
      <c r="O837">
        <v>1665</v>
      </c>
      <c r="P837">
        <v>3570</v>
      </c>
    </row>
    <row r="838" spans="1:16" x14ac:dyDescent="0.3">
      <c r="A838" t="s">
        <v>1434</v>
      </c>
      <c r="B838" s="45">
        <v>45367</v>
      </c>
      <c r="C838" t="s">
        <v>208</v>
      </c>
      <c r="D838" t="s">
        <v>364</v>
      </c>
      <c r="E838" t="s">
        <v>343</v>
      </c>
      <c r="F838">
        <v>7</v>
      </c>
      <c r="G838">
        <v>5330</v>
      </c>
      <c r="H838">
        <v>16.399999999999999</v>
      </c>
      <c r="I838">
        <v>31191.16</v>
      </c>
      <c r="J838" t="s">
        <v>87</v>
      </c>
      <c r="K838" t="s">
        <v>133</v>
      </c>
      <c r="L838" t="s">
        <v>133</v>
      </c>
      <c r="M838" t="s">
        <v>2784</v>
      </c>
      <c r="N838" t="s">
        <v>2879</v>
      </c>
      <c r="O838">
        <v>2405</v>
      </c>
      <c r="P838">
        <v>5330</v>
      </c>
    </row>
    <row r="839" spans="1:16" x14ac:dyDescent="0.3">
      <c r="A839" t="s">
        <v>1442</v>
      </c>
      <c r="B839" s="45">
        <v>45460</v>
      </c>
      <c r="C839" t="s">
        <v>570</v>
      </c>
      <c r="D839" t="s">
        <v>408</v>
      </c>
      <c r="E839" t="s">
        <v>204</v>
      </c>
      <c r="F839">
        <v>4</v>
      </c>
      <c r="G839">
        <v>3970</v>
      </c>
      <c r="H839">
        <v>4.3</v>
      </c>
      <c r="I839">
        <v>15197.16</v>
      </c>
      <c r="J839" t="s">
        <v>87</v>
      </c>
      <c r="K839" t="s">
        <v>99</v>
      </c>
      <c r="L839" t="s">
        <v>99</v>
      </c>
      <c r="M839" t="s">
        <v>2784</v>
      </c>
      <c r="N839" t="s">
        <v>2862</v>
      </c>
      <c r="O839">
        <v>2865</v>
      </c>
      <c r="P839">
        <v>3970</v>
      </c>
    </row>
    <row r="840" spans="1:16" x14ac:dyDescent="0.3">
      <c r="A840" t="s">
        <v>1445</v>
      </c>
      <c r="B840" s="45">
        <v>45441</v>
      </c>
      <c r="C840" t="s">
        <v>197</v>
      </c>
      <c r="D840" t="s">
        <v>408</v>
      </c>
      <c r="E840" t="s">
        <v>139</v>
      </c>
      <c r="F840">
        <v>10</v>
      </c>
      <c r="G840">
        <v>3970</v>
      </c>
      <c r="H840">
        <v>26.2</v>
      </c>
      <c r="I840">
        <v>29298.6</v>
      </c>
      <c r="J840" t="s">
        <v>87</v>
      </c>
      <c r="K840" t="s">
        <v>88</v>
      </c>
      <c r="L840" t="s">
        <v>88</v>
      </c>
      <c r="M840" t="s">
        <v>2784</v>
      </c>
      <c r="N840" t="s">
        <v>2855</v>
      </c>
      <c r="O840">
        <v>2865</v>
      </c>
      <c r="P840">
        <v>3970</v>
      </c>
    </row>
    <row r="841" spans="1:16" x14ac:dyDescent="0.3">
      <c r="A841" t="s">
        <v>1455</v>
      </c>
      <c r="B841" s="45">
        <v>45339</v>
      </c>
      <c r="C841" t="s">
        <v>1172</v>
      </c>
      <c r="D841" t="s">
        <v>120</v>
      </c>
      <c r="E841" t="s">
        <v>111</v>
      </c>
      <c r="F841">
        <v>5</v>
      </c>
      <c r="G841">
        <v>1430</v>
      </c>
      <c r="H841">
        <v>19.8</v>
      </c>
      <c r="I841">
        <v>5734.3</v>
      </c>
      <c r="J841" t="s">
        <v>87</v>
      </c>
      <c r="K841" t="s">
        <v>88</v>
      </c>
      <c r="L841" t="s">
        <v>88</v>
      </c>
      <c r="M841" t="s">
        <v>2784</v>
      </c>
      <c r="N841" t="s">
        <v>2879</v>
      </c>
      <c r="O841">
        <v>861</v>
      </c>
      <c r="P841">
        <v>1430</v>
      </c>
    </row>
    <row r="842" spans="1:16" x14ac:dyDescent="0.3">
      <c r="A842" t="s">
        <v>1470</v>
      </c>
      <c r="B842" s="45">
        <v>45632</v>
      </c>
      <c r="C842" t="s">
        <v>427</v>
      </c>
      <c r="D842" t="s">
        <v>248</v>
      </c>
      <c r="E842" t="s">
        <v>252</v>
      </c>
      <c r="F842">
        <v>2</v>
      </c>
      <c r="G842">
        <v>3870</v>
      </c>
      <c r="H842">
        <v>5.2</v>
      </c>
      <c r="I842">
        <v>7337.52</v>
      </c>
      <c r="J842" t="s">
        <v>87</v>
      </c>
      <c r="K842" t="s">
        <v>88</v>
      </c>
      <c r="L842" t="s">
        <v>88</v>
      </c>
      <c r="M842" t="s">
        <v>2784</v>
      </c>
      <c r="N842" t="s">
        <v>2862</v>
      </c>
      <c r="O842">
        <v>1559</v>
      </c>
      <c r="P842">
        <v>3870</v>
      </c>
    </row>
    <row r="843" spans="1:16" x14ac:dyDescent="0.3">
      <c r="A843" t="s">
        <v>1471</v>
      </c>
      <c r="B843" s="45">
        <v>45465</v>
      </c>
      <c r="C843" t="s">
        <v>429</v>
      </c>
      <c r="D843" t="s">
        <v>187</v>
      </c>
      <c r="E843" t="s">
        <v>86</v>
      </c>
      <c r="F843">
        <v>5</v>
      </c>
      <c r="G843">
        <v>3570</v>
      </c>
      <c r="H843">
        <v>19.899999999999999</v>
      </c>
      <c r="I843">
        <v>14297.85</v>
      </c>
      <c r="J843" t="s">
        <v>87</v>
      </c>
      <c r="K843" t="s">
        <v>117</v>
      </c>
      <c r="L843" t="s">
        <v>117</v>
      </c>
      <c r="M843" t="s">
        <v>2784</v>
      </c>
      <c r="N843" t="s">
        <v>2855</v>
      </c>
      <c r="O843">
        <v>1665</v>
      </c>
      <c r="P843">
        <v>3570</v>
      </c>
    </row>
    <row r="844" spans="1:16" x14ac:dyDescent="0.3">
      <c r="A844" t="s">
        <v>1492</v>
      </c>
      <c r="B844" s="45">
        <v>45483</v>
      </c>
      <c r="C844" t="s">
        <v>1193</v>
      </c>
      <c r="D844" t="s">
        <v>267</v>
      </c>
      <c r="E844" t="s">
        <v>229</v>
      </c>
      <c r="F844">
        <v>5</v>
      </c>
      <c r="G844">
        <v>1220</v>
      </c>
      <c r="H844">
        <v>13.9</v>
      </c>
      <c r="I844">
        <v>5252.1</v>
      </c>
      <c r="J844" t="s">
        <v>87</v>
      </c>
      <c r="K844" t="s">
        <v>133</v>
      </c>
      <c r="L844" t="s">
        <v>133</v>
      </c>
      <c r="M844" t="s">
        <v>2784</v>
      </c>
      <c r="N844" t="s">
        <v>2879</v>
      </c>
      <c r="O844">
        <v>517</v>
      </c>
      <c r="P844">
        <v>1220</v>
      </c>
    </row>
    <row r="845" spans="1:16" x14ac:dyDescent="0.3">
      <c r="A845" t="s">
        <v>1493</v>
      </c>
      <c r="B845" s="45">
        <v>45530</v>
      </c>
      <c r="C845" t="s">
        <v>299</v>
      </c>
      <c r="D845" t="s">
        <v>135</v>
      </c>
      <c r="E845" t="s">
        <v>188</v>
      </c>
      <c r="F845">
        <v>8</v>
      </c>
      <c r="G845">
        <v>2640</v>
      </c>
      <c r="H845">
        <v>17.3</v>
      </c>
      <c r="I845">
        <v>17466.240000000002</v>
      </c>
      <c r="J845" t="s">
        <v>87</v>
      </c>
      <c r="K845" t="s">
        <v>133</v>
      </c>
      <c r="L845" t="s">
        <v>133</v>
      </c>
      <c r="M845" t="s">
        <v>2784</v>
      </c>
      <c r="N845" t="s">
        <v>2862</v>
      </c>
      <c r="O845">
        <v>1149</v>
      </c>
      <c r="P845">
        <v>2640</v>
      </c>
    </row>
    <row r="846" spans="1:16" x14ac:dyDescent="0.3">
      <c r="A846" t="s">
        <v>1497</v>
      </c>
      <c r="B846" s="45">
        <v>45318</v>
      </c>
      <c r="C846" t="s">
        <v>359</v>
      </c>
      <c r="D846" t="s">
        <v>187</v>
      </c>
      <c r="E846" t="s">
        <v>285</v>
      </c>
      <c r="F846">
        <v>6</v>
      </c>
      <c r="G846">
        <v>3570</v>
      </c>
      <c r="H846">
        <v>9.9</v>
      </c>
      <c r="I846">
        <v>19299.419999999998</v>
      </c>
      <c r="J846" t="s">
        <v>87</v>
      </c>
      <c r="K846" t="s">
        <v>99</v>
      </c>
      <c r="L846" t="s">
        <v>99</v>
      </c>
      <c r="M846" t="s">
        <v>2784</v>
      </c>
      <c r="N846" t="s">
        <v>2871</v>
      </c>
      <c r="O846">
        <v>1665</v>
      </c>
      <c r="P846">
        <v>3570</v>
      </c>
    </row>
    <row r="847" spans="1:16" x14ac:dyDescent="0.3">
      <c r="A847" t="s">
        <v>1504</v>
      </c>
      <c r="B847" s="45">
        <v>45463</v>
      </c>
      <c r="C847" t="s">
        <v>231</v>
      </c>
      <c r="D847" t="s">
        <v>187</v>
      </c>
      <c r="E847" t="s">
        <v>215</v>
      </c>
      <c r="F847">
        <v>3</v>
      </c>
      <c r="G847">
        <v>3570</v>
      </c>
      <c r="H847">
        <v>26.3</v>
      </c>
      <c r="I847">
        <v>7893.27</v>
      </c>
      <c r="J847" t="s">
        <v>87</v>
      </c>
      <c r="K847" t="s">
        <v>117</v>
      </c>
      <c r="L847" t="s">
        <v>117</v>
      </c>
      <c r="M847" t="s">
        <v>2784</v>
      </c>
      <c r="N847" t="s">
        <v>2855</v>
      </c>
      <c r="O847">
        <v>1665</v>
      </c>
      <c r="P847">
        <v>3570</v>
      </c>
    </row>
    <row r="848" spans="1:16" x14ac:dyDescent="0.3">
      <c r="A848" t="s">
        <v>1506</v>
      </c>
      <c r="B848" s="45">
        <v>45600</v>
      </c>
      <c r="C848" t="s">
        <v>602</v>
      </c>
      <c r="D848" t="s">
        <v>120</v>
      </c>
      <c r="E848" t="s">
        <v>121</v>
      </c>
      <c r="F848">
        <v>10</v>
      </c>
      <c r="G848">
        <v>1430</v>
      </c>
      <c r="H848">
        <v>3.7</v>
      </c>
      <c r="I848">
        <v>13770.9</v>
      </c>
      <c r="J848" t="s">
        <v>87</v>
      </c>
      <c r="K848" t="s">
        <v>94</v>
      </c>
      <c r="L848" t="s">
        <v>94</v>
      </c>
      <c r="M848" t="s">
        <v>2784</v>
      </c>
      <c r="N848" t="s">
        <v>2871</v>
      </c>
      <c r="O848">
        <v>861</v>
      </c>
      <c r="P848">
        <v>1430</v>
      </c>
    </row>
    <row r="849" spans="1:16" x14ac:dyDescent="0.3">
      <c r="A849" t="s">
        <v>1510</v>
      </c>
      <c r="B849" s="45">
        <v>45461</v>
      </c>
      <c r="C849" t="s">
        <v>886</v>
      </c>
      <c r="D849" t="s">
        <v>138</v>
      </c>
      <c r="E849" t="s">
        <v>121</v>
      </c>
      <c r="F849">
        <v>9</v>
      </c>
      <c r="G849">
        <v>2600</v>
      </c>
      <c r="H849">
        <v>15.9</v>
      </c>
      <c r="I849">
        <v>19679.400000000001</v>
      </c>
      <c r="J849" t="s">
        <v>140</v>
      </c>
      <c r="K849" t="s">
        <v>94</v>
      </c>
      <c r="L849" t="s">
        <v>94</v>
      </c>
      <c r="M849" t="s">
        <v>2784</v>
      </c>
      <c r="N849" t="s">
        <v>2871</v>
      </c>
      <c r="O849">
        <v>1052</v>
      </c>
      <c r="P849">
        <v>2600</v>
      </c>
    </row>
    <row r="850" spans="1:16" x14ac:dyDescent="0.3">
      <c r="A850" t="s">
        <v>1513</v>
      </c>
      <c r="B850" s="45">
        <v>45307</v>
      </c>
      <c r="C850" t="s">
        <v>479</v>
      </c>
      <c r="D850" t="s">
        <v>267</v>
      </c>
      <c r="E850" t="s">
        <v>154</v>
      </c>
      <c r="F850">
        <v>5</v>
      </c>
      <c r="G850">
        <v>1220</v>
      </c>
      <c r="H850">
        <v>23.3</v>
      </c>
      <c r="I850">
        <v>4678.7</v>
      </c>
      <c r="J850" t="s">
        <v>87</v>
      </c>
      <c r="K850" t="s">
        <v>88</v>
      </c>
      <c r="L850" t="s">
        <v>88</v>
      </c>
      <c r="M850" t="s">
        <v>2784</v>
      </c>
      <c r="N850" t="s">
        <v>2871</v>
      </c>
      <c r="O850">
        <v>517</v>
      </c>
      <c r="P850">
        <v>1220</v>
      </c>
    </row>
    <row r="851" spans="1:16" x14ac:dyDescent="0.3">
      <c r="A851" t="s">
        <v>1527</v>
      </c>
      <c r="B851" s="45">
        <v>45468</v>
      </c>
      <c r="C851" t="s">
        <v>376</v>
      </c>
      <c r="D851" t="s">
        <v>267</v>
      </c>
      <c r="E851" t="s">
        <v>132</v>
      </c>
      <c r="F851">
        <v>1</v>
      </c>
      <c r="G851">
        <v>1220</v>
      </c>
      <c r="H851">
        <v>22.6</v>
      </c>
      <c r="I851">
        <v>944.28</v>
      </c>
      <c r="J851" t="s">
        <v>87</v>
      </c>
      <c r="K851" t="s">
        <v>117</v>
      </c>
      <c r="L851" t="s">
        <v>117</v>
      </c>
      <c r="M851" t="s">
        <v>2784</v>
      </c>
      <c r="N851" t="s">
        <v>2862</v>
      </c>
      <c r="O851">
        <v>517</v>
      </c>
      <c r="P851">
        <v>1220</v>
      </c>
    </row>
    <row r="852" spans="1:16" x14ac:dyDescent="0.3">
      <c r="A852" t="s">
        <v>1553</v>
      </c>
      <c r="B852" s="45">
        <v>45373</v>
      </c>
      <c r="C852" t="s">
        <v>602</v>
      </c>
      <c r="D852" t="s">
        <v>135</v>
      </c>
      <c r="E852" t="s">
        <v>111</v>
      </c>
      <c r="F852">
        <v>5</v>
      </c>
      <c r="G852">
        <v>2640</v>
      </c>
      <c r="H852">
        <v>1.5</v>
      </c>
      <c r="I852">
        <v>13002</v>
      </c>
      <c r="J852" t="s">
        <v>87</v>
      </c>
      <c r="K852" t="s">
        <v>94</v>
      </c>
      <c r="L852" t="s">
        <v>94</v>
      </c>
      <c r="M852" t="s">
        <v>2784</v>
      </c>
      <c r="N852" t="s">
        <v>2879</v>
      </c>
      <c r="O852">
        <v>1149</v>
      </c>
      <c r="P852">
        <v>2640</v>
      </c>
    </row>
    <row r="853" spans="1:16" x14ac:dyDescent="0.3">
      <c r="A853" t="s">
        <v>1556</v>
      </c>
      <c r="B853" s="45">
        <v>45463</v>
      </c>
      <c r="C853" t="s">
        <v>261</v>
      </c>
      <c r="D853" t="s">
        <v>364</v>
      </c>
      <c r="E853" t="s">
        <v>204</v>
      </c>
      <c r="F853">
        <v>7</v>
      </c>
      <c r="G853">
        <v>5330</v>
      </c>
      <c r="H853">
        <v>25</v>
      </c>
      <c r="I853">
        <v>27982.5</v>
      </c>
      <c r="J853" t="s">
        <v>140</v>
      </c>
      <c r="K853" t="s">
        <v>99</v>
      </c>
      <c r="L853" t="s">
        <v>99</v>
      </c>
      <c r="M853" t="s">
        <v>2784</v>
      </c>
      <c r="N853" t="s">
        <v>2862</v>
      </c>
      <c r="O853">
        <v>2405</v>
      </c>
      <c r="P853">
        <v>5330</v>
      </c>
    </row>
    <row r="854" spans="1:16" x14ac:dyDescent="0.3">
      <c r="A854" t="s">
        <v>1564</v>
      </c>
      <c r="B854" s="45">
        <v>45563</v>
      </c>
      <c r="C854" t="s">
        <v>172</v>
      </c>
      <c r="D854" t="s">
        <v>282</v>
      </c>
      <c r="E854" t="s">
        <v>229</v>
      </c>
      <c r="F854">
        <v>6</v>
      </c>
      <c r="G854">
        <v>300</v>
      </c>
      <c r="H854">
        <v>9</v>
      </c>
      <c r="I854">
        <v>1638</v>
      </c>
      <c r="J854" t="s">
        <v>87</v>
      </c>
      <c r="K854" t="s">
        <v>88</v>
      </c>
      <c r="L854" t="s">
        <v>88</v>
      </c>
      <c r="M854" t="s">
        <v>2784</v>
      </c>
      <c r="N854" t="s">
        <v>2879</v>
      </c>
      <c r="O854">
        <v>128</v>
      </c>
      <c r="P854">
        <v>300</v>
      </c>
    </row>
    <row r="855" spans="1:16" x14ac:dyDescent="0.3">
      <c r="A855" t="s">
        <v>1565</v>
      </c>
      <c r="B855" s="45">
        <v>45523</v>
      </c>
      <c r="C855" t="s">
        <v>150</v>
      </c>
      <c r="D855" t="s">
        <v>282</v>
      </c>
      <c r="E855" t="s">
        <v>325</v>
      </c>
      <c r="F855">
        <v>3</v>
      </c>
      <c r="G855">
        <v>300</v>
      </c>
      <c r="H855">
        <v>19.2</v>
      </c>
      <c r="I855">
        <v>727.2</v>
      </c>
      <c r="J855" t="s">
        <v>87</v>
      </c>
      <c r="K855" t="s">
        <v>88</v>
      </c>
      <c r="L855" t="s">
        <v>88</v>
      </c>
      <c r="M855" t="s">
        <v>2784</v>
      </c>
      <c r="N855" t="s">
        <v>2862</v>
      </c>
      <c r="O855">
        <v>128</v>
      </c>
      <c r="P855">
        <v>300</v>
      </c>
    </row>
    <row r="856" spans="1:16" x14ac:dyDescent="0.3">
      <c r="A856" t="s">
        <v>1573</v>
      </c>
      <c r="B856" s="45">
        <v>45638</v>
      </c>
      <c r="C856" t="s">
        <v>1038</v>
      </c>
      <c r="D856" t="s">
        <v>248</v>
      </c>
      <c r="E856" t="s">
        <v>92</v>
      </c>
      <c r="F856">
        <v>10</v>
      </c>
      <c r="G856">
        <v>3870</v>
      </c>
      <c r="H856">
        <v>4.9000000000000004</v>
      </c>
      <c r="I856">
        <v>36803.699999999997</v>
      </c>
      <c r="J856" t="s">
        <v>140</v>
      </c>
      <c r="K856" t="s">
        <v>117</v>
      </c>
      <c r="L856" t="s">
        <v>117</v>
      </c>
      <c r="M856" t="s">
        <v>2784</v>
      </c>
      <c r="N856" t="s">
        <v>2855</v>
      </c>
      <c r="O856">
        <v>1559</v>
      </c>
      <c r="P856">
        <v>3870</v>
      </c>
    </row>
    <row r="857" spans="1:16" x14ac:dyDescent="0.3">
      <c r="A857" t="s">
        <v>1577</v>
      </c>
      <c r="B857" s="45">
        <v>45405</v>
      </c>
      <c r="C857" t="s">
        <v>324</v>
      </c>
      <c r="D857" t="s">
        <v>408</v>
      </c>
      <c r="E857" t="s">
        <v>204</v>
      </c>
      <c r="F857">
        <v>5</v>
      </c>
      <c r="G857">
        <v>3970</v>
      </c>
      <c r="H857">
        <v>5.8</v>
      </c>
      <c r="I857">
        <v>18698.7</v>
      </c>
      <c r="J857" t="s">
        <v>87</v>
      </c>
      <c r="K857" t="s">
        <v>133</v>
      </c>
      <c r="L857" t="s">
        <v>133</v>
      </c>
      <c r="M857" t="s">
        <v>2784</v>
      </c>
      <c r="N857" t="s">
        <v>2862</v>
      </c>
      <c r="O857">
        <v>2865</v>
      </c>
      <c r="P857">
        <v>3970</v>
      </c>
    </row>
    <row r="858" spans="1:16" x14ac:dyDescent="0.3">
      <c r="A858" t="s">
        <v>1583</v>
      </c>
      <c r="B858" s="45">
        <v>45300</v>
      </c>
      <c r="C858" t="s">
        <v>948</v>
      </c>
      <c r="D858" t="s">
        <v>248</v>
      </c>
      <c r="E858" t="s">
        <v>148</v>
      </c>
      <c r="F858">
        <v>4</v>
      </c>
      <c r="G858">
        <v>3870</v>
      </c>
      <c r="H858">
        <v>20.5</v>
      </c>
      <c r="I858">
        <v>12306.6</v>
      </c>
      <c r="J858" t="s">
        <v>93</v>
      </c>
      <c r="K858" t="s">
        <v>88</v>
      </c>
      <c r="L858" t="s">
        <v>88</v>
      </c>
      <c r="M858" t="s">
        <v>2784</v>
      </c>
      <c r="N858" t="s">
        <v>2855</v>
      </c>
      <c r="O858">
        <v>1559</v>
      </c>
      <c r="P858">
        <v>3870</v>
      </c>
    </row>
    <row r="859" spans="1:16" x14ac:dyDescent="0.3">
      <c r="A859" t="s">
        <v>1585</v>
      </c>
      <c r="B859" s="45">
        <v>45622</v>
      </c>
      <c r="C859" t="s">
        <v>114</v>
      </c>
      <c r="D859" t="s">
        <v>248</v>
      </c>
      <c r="E859" t="s">
        <v>238</v>
      </c>
      <c r="F859">
        <v>3</v>
      </c>
      <c r="G859">
        <v>3870</v>
      </c>
      <c r="H859">
        <v>21.9</v>
      </c>
      <c r="I859">
        <v>9067.41</v>
      </c>
      <c r="J859" t="s">
        <v>93</v>
      </c>
      <c r="K859" t="s">
        <v>117</v>
      </c>
      <c r="L859" t="s">
        <v>117</v>
      </c>
      <c r="M859" t="s">
        <v>2784</v>
      </c>
      <c r="N859" t="s">
        <v>2871</v>
      </c>
      <c r="O859">
        <v>1559</v>
      </c>
      <c r="P859">
        <v>3870</v>
      </c>
    </row>
    <row r="860" spans="1:16" x14ac:dyDescent="0.3">
      <c r="A860" t="s">
        <v>1590</v>
      </c>
      <c r="B860" s="45">
        <v>45360</v>
      </c>
      <c r="C860" t="s">
        <v>676</v>
      </c>
      <c r="D860" t="s">
        <v>364</v>
      </c>
      <c r="E860" t="s">
        <v>188</v>
      </c>
      <c r="F860">
        <v>10</v>
      </c>
      <c r="G860">
        <v>5330</v>
      </c>
      <c r="H860">
        <v>27.3</v>
      </c>
      <c r="I860">
        <v>38749.1</v>
      </c>
      <c r="J860" t="s">
        <v>87</v>
      </c>
      <c r="K860" t="s">
        <v>88</v>
      </c>
      <c r="L860" t="s">
        <v>88</v>
      </c>
      <c r="M860" t="s">
        <v>2784</v>
      </c>
      <c r="N860" t="s">
        <v>2862</v>
      </c>
      <c r="O860">
        <v>2405</v>
      </c>
      <c r="P860">
        <v>5330</v>
      </c>
    </row>
    <row r="861" spans="1:16" x14ac:dyDescent="0.3">
      <c r="A861" t="s">
        <v>1591</v>
      </c>
      <c r="B861" s="45">
        <v>45548</v>
      </c>
      <c r="C861" t="s">
        <v>405</v>
      </c>
      <c r="D861" t="s">
        <v>187</v>
      </c>
      <c r="E861" t="s">
        <v>285</v>
      </c>
      <c r="F861">
        <v>7</v>
      </c>
      <c r="G861">
        <v>3570</v>
      </c>
      <c r="H861">
        <v>24.3</v>
      </c>
      <c r="I861">
        <v>18917.43</v>
      </c>
      <c r="J861" t="s">
        <v>87</v>
      </c>
      <c r="K861" t="s">
        <v>94</v>
      </c>
      <c r="L861" t="s">
        <v>94</v>
      </c>
      <c r="M861" t="s">
        <v>2784</v>
      </c>
      <c r="N861" t="s">
        <v>2871</v>
      </c>
      <c r="O861">
        <v>1665</v>
      </c>
      <c r="P861">
        <v>3570</v>
      </c>
    </row>
    <row r="862" spans="1:16" x14ac:dyDescent="0.3">
      <c r="A862" t="s">
        <v>1601</v>
      </c>
      <c r="B862" s="45">
        <v>45626</v>
      </c>
      <c r="C862" t="s">
        <v>900</v>
      </c>
      <c r="D862" t="s">
        <v>267</v>
      </c>
      <c r="E862" t="s">
        <v>204</v>
      </c>
      <c r="F862">
        <v>9</v>
      </c>
      <c r="G862">
        <v>1220</v>
      </c>
      <c r="H862">
        <v>24.1</v>
      </c>
      <c r="I862">
        <v>8333.82</v>
      </c>
      <c r="J862" t="s">
        <v>87</v>
      </c>
      <c r="K862" t="s">
        <v>117</v>
      </c>
      <c r="L862" t="s">
        <v>117</v>
      </c>
      <c r="M862" t="s">
        <v>2784</v>
      </c>
      <c r="N862" t="s">
        <v>2862</v>
      </c>
      <c r="O862">
        <v>517</v>
      </c>
      <c r="P862">
        <v>1220</v>
      </c>
    </row>
    <row r="863" spans="1:16" x14ac:dyDescent="0.3">
      <c r="A863" t="s">
        <v>1616</v>
      </c>
      <c r="B863" s="45">
        <v>45409</v>
      </c>
      <c r="C863" t="s">
        <v>565</v>
      </c>
      <c r="D863" t="s">
        <v>279</v>
      </c>
      <c r="E863" t="s">
        <v>103</v>
      </c>
      <c r="F863">
        <v>3</v>
      </c>
      <c r="G863">
        <v>2660</v>
      </c>
      <c r="H863">
        <v>0.2</v>
      </c>
      <c r="I863">
        <v>7964.04</v>
      </c>
      <c r="J863" t="s">
        <v>87</v>
      </c>
      <c r="K863" t="s">
        <v>112</v>
      </c>
      <c r="L863" t="s">
        <v>112</v>
      </c>
      <c r="M863" t="s">
        <v>2784</v>
      </c>
      <c r="N863" t="s">
        <v>2855</v>
      </c>
      <c r="O863">
        <v>1259</v>
      </c>
      <c r="P863">
        <v>2660</v>
      </c>
    </row>
    <row r="864" spans="1:16" x14ac:dyDescent="0.3">
      <c r="A864" t="s">
        <v>1621</v>
      </c>
      <c r="B864" s="45">
        <v>45504</v>
      </c>
      <c r="C864" t="s">
        <v>1294</v>
      </c>
      <c r="D864" t="s">
        <v>364</v>
      </c>
      <c r="E864" t="s">
        <v>346</v>
      </c>
      <c r="F864">
        <v>9</v>
      </c>
      <c r="G864">
        <v>5330</v>
      </c>
      <c r="H864">
        <v>16.5</v>
      </c>
      <c r="I864">
        <v>40054.949999999997</v>
      </c>
      <c r="J864" t="s">
        <v>87</v>
      </c>
      <c r="K864" t="s">
        <v>94</v>
      </c>
      <c r="L864" t="s">
        <v>94</v>
      </c>
      <c r="M864" t="s">
        <v>2784</v>
      </c>
      <c r="N864" t="s">
        <v>2862</v>
      </c>
      <c r="O864">
        <v>2405</v>
      </c>
      <c r="P864">
        <v>5330</v>
      </c>
    </row>
    <row r="865" spans="1:16" x14ac:dyDescent="0.3">
      <c r="A865" t="s">
        <v>1290</v>
      </c>
      <c r="B865" s="45">
        <v>45516</v>
      </c>
      <c r="C865" t="s">
        <v>589</v>
      </c>
      <c r="D865" t="s">
        <v>138</v>
      </c>
      <c r="E865" t="s">
        <v>86</v>
      </c>
      <c r="F865">
        <v>5</v>
      </c>
      <c r="G865">
        <v>2600</v>
      </c>
      <c r="H865">
        <v>0.3</v>
      </c>
      <c r="I865">
        <v>12961</v>
      </c>
      <c r="J865" t="s">
        <v>87</v>
      </c>
      <c r="K865" t="s">
        <v>94</v>
      </c>
      <c r="L865" t="s">
        <v>94</v>
      </c>
      <c r="M865" t="s">
        <v>2784</v>
      </c>
      <c r="N865" t="s">
        <v>2855</v>
      </c>
      <c r="O865">
        <v>1052</v>
      </c>
      <c r="P865">
        <v>2600</v>
      </c>
    </row>
    <row r="866" spans="1:16" x14ac:dyDescent="0.3">
      <c r="A866" t="s">
        <v>1629</v>
      </c>
      <c r="B866" s="45">
        <v>45632</v>
      </c>
      <c r="C866" t="s">
        <v>318</v>
      </c>
      <c r="D866" t="s">
        <v>282</v>
      </c>
      <c r="E866" t="s">
        <v>285</v>
      </c>
      <c r="F866">
        <v>5</v>
      </c>
      <c r="G866">
        <v>300</v>
      </c>
      <c r="H866">
        <v>3.8</v>
      </c>
      <c r="I866">
        <v>1443</v>
      </c>
      <c r="J866" t="s">
        <v>87</v>
      </c>
      <c r="K866" t="s">
        <v>94</v>
      </c>
      <c r="L866" t="s">
        <v>94</v>
      </c>
      <c r="M866" t="s">
        <v>2784</v>
      </c>
      <c r="N866" t="s">
        <v>2871</v>
      </c>
      <c r="O866">
        <v>128</v>
      </c>
      <c r="P866">
        <v>300</v>
      </c>
    </row>
    <row r="867" spans="1:16" x14ac:dyDescent="0.3">
      <c r="A867" t="s">
        <v>1630</v>
      </c>
      <c r="B867" s="45">
        <v>45358</v>
      </c>
      <c r="C867" t="s">
        <v>559</v>
      </c>
      <c r="D867" t="s">
        <v>408</v>
      </c>
      <c r="E867" t="s">
        <v>92</v>
      </c>
      <c r="F867">
        <v>9</v>
      </c>
      <c r="G867">
        <v>3970</v>
      </c>
      <c r="H867">
        <v>0.8</v>
      </c>
      <c r="I867">
        <v>35444.160000000003</v>
      </c>
      <c r="J867" t="s">
        <v>87</v>
      </c>
      <c r="K867" t="s">
        <v>88</v>
      </c>
      <c r="L867" t="s">
        <v>88</v>
      </c>
      <c r="M867" t="s">
        <v>2784</v>
      </c>
      <c r="N867" t="s">
        <v>2855</v>
      </c>
      <c r="O867">
        <v>2865</v>
      </c>
      <c r="P867">
        <v>3970</v>
      </c>
    </row>
    <row r="868" spans="1:16" x14ac:dyDescent="0.3">
      <c r="A868" t="s">
        <v>1637</v>
      </c>
      <c r="B868" s="45">
        <v>45370</v>
      </c>
      <c r="C868" t="s">
        <v>342</v>
      </c>
      <c r="D868" t="s">
        <v>187</v>
      </c>
      <c r="E868" t="s">
        <v>346</v>
      </c>
      <c r="F868">
        <v>8</v>
      </c>
      <c r="G868">
        <v>3570</v>
      </c>
      <c r="H868">
        <v>10.8</v>
      </c>
      <c r="I868">
        <v>25475.52</v>
      </c>
      <c r="J868" t="s">
        <v>87</v>
      </c>
      <c r="K868" t="s">
        <v>94</v>
      </c>
      <c r="L868" t="s">
        <v>94</v>
      </c>
      <c r="M868" t="s">
        <v>2784</v>
      </c>
      <c r="N868" t="s">
        <v>2862</v>
      </c>
      <c r="O868">
        <v>1665</v>
      </c>
      <c r="P868">
        <v>3570</v>
      </c>
    </row>
    <row r="869" spans="1:16" x14ac:dyDescent="0.3">
      <c r="A869" t="s">
        <v>1639</v>
      </c>
      <c r="B869" s="45">
        <v>45469</v>
      </c>
      <c r="C869" t="s">
        <v>420</v>
      </c>
      <c r="D869" t="s">
        <v>135</v>
      </c>
      <c r="E869" t="s">
        <v>86</v>
      </c>
      <c r="F869">
        <v>10</v>
      </c>
      <c r="G869">
        <v>2640</v>
      </c>
      <c r="H869">
        <v>29.8</v>
      </c>
      <c r="I869">
        <v>18532.8</v>
      </c>
      <c r="J869" t="s">
        <v>87</v>
      </c>
      <c r="K869" t="s">
        <v>99</v>
      </c>
      <c r="L869" t="s">
        <v>99</v>
      </c>
      <c r="M869" t="s">
        <v>2784</v>
      </c>
      <c r="N869" t="s">
        <v>2855</v>
      </c>
      <c r="O869">
        <v>1149</v>
      </c>
      <c r="P869">
        <v>2640</v>
      </c>
    </row>
    <row r="870" spans="1:16" x14ac:dyDescent="0.3">
      <c r="A870" t="s">
        <v>1641</v>
      </c>
      <c r="B870" s="45">
        <v>45627</v>
      </c>
      <c r="C870" t="s">
        <v>504</v>
      </c>
      <c r="D870" t="s">
        <v>267</v>
      </c>
      <c r="E870" t="s">
        <v>170</v>
      </c>
      <c r="F870">
        <v>3</v>
      </c>
      <c r="G870">
        <v>1220</v>
      </c>
      <c r="H870">
        <v>7.7</v>
      </c>
      <c r="I870">
        <v>3378.18</v>
      </c>
      <c r="J870" t="s">
        <v>93</v>
      </c>
      <c r="K870" t="s">
        <v>117</v>
      </c>
      <c r="L870" t="s">
        <v>117</v>
      </c>
      <c r="M870" t="s">
        <v>2784</v>
      </c>
      <c r="N870" t="s">
        <v>2879</v>
      </c>
      <c r="O870">
        <v>517</v>
      </c>
      <c r="P870">
        <v>1220</v>
      </c>
    </row>
    <row r="871" spans="1:16" x14ac:dyDescent="0.3">
      <c r="A871" t="s">
        <v>1642</v>
      </c>
      <c r="B871" s="45">
        <v>45499</v>
      </c>
      <c r="C871" t="s">
        <v>457</v>
      </c>
      <c r="D871" t="s">
        <v>135</v>
      </c>
      <c r="E871" t="s">
        <v>285</v>
      </c>
      <c r="F871">
        <v>1</v>
      </c>
      <c r="G871">
        <v>2640</v>
      </c>
      <c r="H871">
        <v>23.6</v>
      </c>
      <c r="I871">
        <v>2016.96</v>
      </c>
      <c r="J871" t="s">
        <v>87</v>
      </c>
      <c r="K871" t="s">
        <v>88</v>
      </c>
      <c r="L871" t="s">
        <v>88</v>
      </c>
      <c r="M871" t="s">
        <v>2784</v>
      </c>
      <c r="N871" t="s">
        <v>2871</v>
      </c>
      <c r="O871">
        <v>1149</v>
      </c>
      <c r="P871">
        <v>2640</v>
      </c>
    </row>
    <row r="872" spans="1:16" x14ac:dyDescent="0.3">
      <c r="A872" t="s">
        <v>1645</v>
      </c>
      <c r="B872" s="45">
        <v>45602</v>
      </c>
      <c r="C872" t="s">
        <v>487</v>
      </c>
      <c r="D872" t="s">
        <v>282</v>
      </c>
      <c r="E872" t="s">
        <v>201</v>
      </c>
      <c r="F872">
        <v>1</v>
      </c>
      <c r="G872">
        <v>300</v>
      </c>
      <c r="H872">
        <v>26.9</v>
      </c>
      <c r="I872">
        <v>219.3</v>
      </c>
      <c r="J872" t="s">
        <v>87</v>
      </c>
      <c r="K872" t="s">
        <v>88</v>
      </c>
      <c r="L872" t="s">
        <v>88</v>
      </c>
      <c r="M872" t="s">
        <v>2784</v>
      </c>
      <c r="N872" t="s">
        <v>2879</v>
      </c>
      <c r="O872">
        <v>128</v>
      </c>
      <c r="P872">
        <v>300</v>
      </c>
    </row>
    <row r="873" spans="1:16" x14ac:dyDescent="0.3">
      <c r="A873" t="s">
        <v>1647</v>
      </c>
      <c r="B873" s="45">
        <v>45294</v>
      </c>
      <c r="C873" t="s">
        <v>219</v>
      </c>
      <c r="D873" t="s">
        <v>282</v>
      </c>
      <c r="E873" t="s">
        <v>303</v>
      </c>
      <c r="F873">
        <v>8</v>
      </c>
      <c r="G873">
        <v>300</v>
      </c>
      <c r="H873">
        <v>1.2</v>
      </c>
      <c r="I873">
        <v>2371.1999999999998</v>
      </c>
      <c r="J873" t="s">
        <v>87</v>
      </c>
      <c r="K873" t="s">
        <v>99</v>
      </c>
      <c r="L873" t="s">
        <v>99</v>
      </c>
      <c r="M873" t="s">
        <v>2784</v>
      </c>
      <c r="N873" t="s">
        <v>2871</v>
      </c>
      <c r="O873">
        <v>128</v>
      </c>
      <c r="P873">
        <v>300</v>
      </c>
    </row>
    <row r="874" spans="1:16" x14ac:dyDescent="0.3">
      <c r="A874" t="s">
        <v>1652</v>
      </c>
      <c r="B874" s="45">
        <v>45603</v>
      </c>
      <c r="C874" t="s">
        <v>429</v>
      </c>
      <c r="D874" t="s">
        <v>138</v>
      </c>
      <c r="E874" t="s">
        <v>154</v>
      </c>
      <c r="F874">
        <v>3</v>
      </c>
      <c r="G874">
        <v>2600</v>
      </c>
      <c r="H874">
        <v>1.9</v>
      </c>
      <c r="I874">
        <v>7651.8</v>
      </c>
      <c r="J874" t="s">
        <v>87</v>
      </c>
      <c r="K874" t="s">
        <v>117</v>
      </c>
      <c r="L874" t="s">
        <v>117</v>
      </c>
      <c r="M874" t="s">
        <v>2784</v>
      </c>
      <c r="N874" t="s">
        <v>2871</v>
      </c>
      <c r="O874">
        <v>1052</v>
      </c>
      <c r="P874">
        <v>2600</v>
      </c>
    </row>
    <row r="875" spans="1:16" x14ac:dyDescent="0.3">
      <c r="A875" t="s">
        <v>1667</v>
      </c>
      <c r="B875" s="45">
        <v>45472</v>
      </c>
      <c r="C875" t="s">
        <v>194</v>
      </c>
      <c r="D875" t="s">
        <v>135</v>
      </c>
      <c r="E875" t="s">
        <v>116</v>
      </c>
      <c r="F875">
        <v>1</v>
      </c>
      <c r="G875">
        <v>2640</v>
      </c>
      <c r="H875">
        <v>4.0999999999999996</v>
      </c>
      <c r="I875">
        <v>2531.7600000000002</v>
      </c>
      <c r="J875" t="s">
        <v>87</v>
      </c>
      <c r="K875" t="s">
        <v>88</v>
      </c>
      <c r="L875" t="s">
        <v>88</v>
      </c>
      <c r="M875" t="s">
        <v>2784</v>
      </c>
      <c r="N875" t="s">
        <v>2855</v>
      </c>
      <c r="O875">
        <v>1149</v>
      </c>
      <c r="P875">
        <v>2640</v>
      </c>
    </row>
    <row r="876" spans="1:16" x14ac:dyDescent="0.3">
      <c r="A876" t="s">
        <v>1669</v>
      </c>
      <c r="B876" s="45">
        <v>45617</v>
      </c>
      <c r="C876" t="s">
        <v>328</v>
      </c>
      <c r="D876" t="s">
        <v>187</v>
      </c>
      <c r="E876" t="s">
        <v>111</v>
      </c>
      <c r="F876">
        <v>9</v>
      </c>
      <c r="G876">
        <v>3570</v>
      </c>
      <c r="H876">
        <v>24.8</v>
      </c>
      <c r="I876">
        <v>24161.759999999998</v>
      </c>
      <c r="J876" t="s">
        <v>87</v>
      </c>
      <c r="K876" t="s">
        <v>94</v>
      </c>
      <c r="L876" t="s">
        <v>94</v>
      </c>
      <c r="M876" t="s">
        <v>2784</v>
      </c>
      <c r="N876" t="s">
        <v>2879</v>
      </c>
      <c r="O876">
        <v>1665</v>
      </c>
      <c r="P876">
        <v>3570</v>
      </c>
    </row>
    <row r="877" spans="1:16" x14ac:dyDescent="0.3">
      <c r="A877" t="s">
        <v>1672</v>
      </c>
      <c r="B877" s="45">
        <v>45651</v>
      </c>
      <c r="C877" t="s">
        <v>703</v>
      </c>
      <c r="D877" t="s">
        <v>187</v>
      </c>
      <c r="E877" t="s">
        <v>107</v>
      </c>
      <c r="F877">
        <v>4</v>
      </c>
      <c r="G877">
        <v>3570</v>
      </c>
      <c r="H877">
        <v>0.9</v>
      </c>
      <c r="I877">
        <v>14151.48</v>
      </c>
      <c r="J877" t="s">
        <v>93</v>
      </c>
      <c r="K877" t="s">
        <v>88</v>
      </c>
      <c r="L877" t="s">
        <v>88</v>
      </c>
      <c r="M877" t="s">
        <v>2784</v>
      </c>
      <c r="N877" t="s">
        <v>2879</v>
      </c>
      <c r="O877">
        <v>1665</v>
      </c>
      <c r="P877">
        <v>3570</v>
      </c>
    </row>
    <row r="878" spans="1:16" x14ac:dyDescent="0.3">
      <c r="A878" t="s">
        <v>1674</v>
      </c>
      <c r="B878" s="45">
        <v>45432</v>
      </c>
      <c r="C878" t="s">
        <v>194</v>
      </c>
      <c r="D878" t="s">
        <v>187</v>
      </c>
      <c r="E878" t="s">
        <v>325</v>
      </c>
      <c r="F878">
        <v>1</v>
      </c>
      <c r="G878">
        <v>3570</v>
      </c>
      <c r="H878">
        <v>11.1</v>
      </c>
      <c r="I878">
        <v>3173.73</v>
      </c>
      <c r="J878" t="s">
        <v>140</v>
      </c>
      <c r="K878" t="s">
        <v>88</v>
      </c>
      <c r="L878" t="s">
        <v>88</v>
      </c>
      <c r="M878" t="s">
        <v>2784</v>
      </c>
      <c r="N878" t="s">
        <v>2855</v>
      </c>
      <c r="O878">
        <v>1665</v>
      </c>
      <c r="P878">
        <v>3570</v>
      </c>
    </row>
    <row r="879" spans="1:16" x14ac:dyDescent="0.3">
      <c r="A879" t="s">
        <v>1675</v>
      </c>
      <c r="B879" s="45">
        <v>45551</v>
      </c>
      <c r="C879" t="s">
        <v>662</v>
      </c>
      <c r="D879" t="s">
        <v>364</v>
      </c>
      <c r="E879" t="s">
        <v>325</v>
      </c>
      <c r="F879">
        <v>1</v>
      </c>
      <c r="G879">
        <v>5330</v>
      </c>
      <c r="H879">
        <v>3.5</v>
      </c>
      <c r="I879">
        <v>5143.45</v>
      </c>
      <c r="J879" t="s">
        <v>87</v>
      </c>
      <c r="K879" t="s">
        <v>94</v>
      </c>
      <c r="L879" t="s">
        <v>94</v>
      </c>
      <c r="M879" t="s">
        <v>2784</v>
      </c>
      <c r="N879" t="s">
        <v>2879</v>
      </c>
      <c r="O879">
        <v>2405</v>
      </c>
      <c r="P879">
        <v>5330</v>
      </c>
    </row>
    <row r="880" spans="1:16" x14ac:dyDescent="0.3">
      <c r="A880" t="s">
        <v>1678</v>
      </c>
      <c r="B880" s="45">
        <v>45370</v>
      </c>
      <c r="C880" t="s">
        <v>714</v>
      </c>
      <c r="D880" t="s">
        <v>187</v>
      </c>
      <c r="E880" t="s">
        <v>92</v>
      </c>
      <c r="F880">
        <v>9</v>
      </c>
      <c r="G880">
        <v>3570</v>
      </c>
      <c r="H880">
        <v>5.6</v>
      </c>
      <c r="I880">
        <v>30330.720000000001</v>
      </c>
      <c r="J880" t="s">
        <v>87</v>
      </c>
      <c r="K880" t="s">
        <v>99</v>
      </c>
      <c r="L880" t="s">
        <v>99</v>
      </c>
      <c r="M880" t="s">
        <v>2784</v>
      </c>
      <c r="N880" t="s">
        <v>2871</v>
      </c>
      <c r="O880">
        <v>1665</v>
      </c>
      <c r="P880">
        <v>3570</v>
      </c>
    </row>
    <row r="881" spans="1:16" x14ac:dyDescent="0.3">
      <c r="A881" t="s">
        <v>1680</v>
      </c>
      <c r="B881" s="45">
        <v>45357</v>
      </c>
      <c r="C881" t="s">
        <v>420</v>
      </c>
      <c r="D881" t="s">
        <v>282</v>
      </c>
      <c r="E881" t="s">
        <v>204</v>
      </c>
      <c r="F881">
        <v>10</v>
      </c>
      <c r="G881">
        <v>300</v>
      </c>
      <c r="H881">
        <v>23</v>
      </c>
      <c r="I881">
        <v>2310</v>
      </c>
      <c r="J881" t="s">
        <v>140</v>
      </c>
      <c r="K881" t="s">
        <v>99</v>
      </c>
      <c r="L881" t="s">
        <v>99</v>
      </c>
      <c r="M881" t="s">
        <v>2784</v>
      </c>
      <c r="N881" t="s">
        <v>2871</v>
      </c>
      <c r="O881">
        <v>128</v>
      </c>
      <c r="P881">
        <v>300</v>
      </c>
    </row>
    <row r="882" spans="1:16" x14ac:dyDescent="0.3">
      <c r="A882" t="s">
        <v>1688</v>
      </c>
      <c r="B882" s="45">
        <v>45518</v>
      </c>
      <c r="C882" t="s">
        <v>561</v>
      </c>
      <c r="D882" t="s">
        <v>187</v>
      </c>
      <c r="E882" t="s">
        <v>132</v>
      </c>
      <c r="F882">
        <v>7</v>
      </c>
      <c r="G882">
        <v>3570</v>
      </c>
      <c r="H882">
        <v>23.7</v>
      </c>
      <c r="I882">
        <v>19067.37</v>
      </c>
      <c r="J882" t="s">
        <v>87</v>
      </c>
      <c r="K882" t="s">
        <v>133</v>
      </c>
      <c r="L882" t="s">
        <v>133</v>
      </c>
      <c r="M882" t="s">
        <v>2784</v>
      </c>
      <c r="N882" t="s">
        <v>2862</v>
      </c>
      <c r="O882">
        <v>1665</v>
      </c>
      <c r="P882">
        <v>3570</v>
      </c>
    </row>
    <row r="883" spans="1:16" x14ac:dyDescent="0.3">
      <c r="A883" t="s">
        <v>1704</v>
      </c>
      <c r="B883" s="45">
        <v>45516</v>
      </c>
      <c r="C883" t="s">
        <v>331</v>
      </c>
      <c r="D883" t="s">
        <v>138</v>
      </c>
      <c r="E883" t="s">
        <v>170</v>
      </c>
      <c r="F883">
        <v>2</v>
      </c>
      <c r="G883">
        <v>2600</v>
      </c>
      <c r="H883">
        <v>20.2</v>
      </c>
      <c r="I883">
        <v>4149.6000000000004</v>
      </c>
      <c r="J883" t="s">
        <v>140</v>
      </c>
      <c r="K883" t="s">
        <v>117</v>
      </c>
      <c r="L883" t="s">
        <v>117</v>
      </c>
      <c r="M883" t="s">
        <v>2784</v>
      </c>
      <c r="N883" t="s">
        <v>2879</v>
      </c>
      <c r="O883">
        <v>1052</v>
      </c>
      <c r="P883">
        <v>2600</v>
      </c>
    </row>
    <row r="884" spans="1:16" x14ac:dyDescent="0.3">
      <c r="A884" t="s">
        <v>1712</v>
      </c>
      <c r="B884" s="45">
        <v>45609</v>
      </c>
      <c r="C884" t="s">
        <v>403</v>
      </c>
      <c r="D884" t="s">
        <v>408</v>
      </c>
      <c r="E884" t="s">
        <v>148</v>
      </c>
      <c r="F884">
        <v>6</v>
      </c>
      <c r="G884">
        <v>3970</v>
      </c>
      <c r="H884">
        <v>18.8</v>
      </c>
      <c r="I884">
        <v>19341.84</v>
      </c>
      <c r="J884" t="s">
        <v>93</v>
      </c>
      <c r="K884" t="s">
        <v>117</v>
      </c>
      <c r="L884" t="s">
        <v>117</v>
      </c>
      <c r="M884" t="s">
        <v>2784</v>
      </c>
      <c r="N884" t="s">
        <v>2862</v>
      </c>
      <c r="O884">
        <v>2865</v>
      </c>
      <c r="P884">
        <v>3970</v>
      </c>
    </row>
    <row r="885" spans="1:16" x14ac:dyDescent="0.3">
      <c r="A885" t="s">
        <v>1713</v>
      </c>
      <c r="B885" s="45">
        <v>45546</v>
      </c>
      <c r="C885" t="s">
        <v>482</v>
      </c>
      <c r="D885" t="s">
        <v>364</v>
      </c>
      <c r="E885" t="s">
        <v>111</v>
      </c>
      <c r="F885">
        <v>4</v>
      </c>
      <c r="G885">
        <v>5330</v>
      </c>
      <c r="H885">
        <v>19.7</v>
      </c>
      <c r="I885">
        <v>17119.96</v>
      </c>
      <c r="J885" t="s">
        <v>87</v>
      </c>
      <c r="K885" t="s">
        <v>133</v>
      </c>
      <c r="L885" t="s">
        <v>133</v>
      </c>
      <c r="M885" t="s">
        <v>2784</v>
      </c>
      <c r="N885" t="s">
        <v>2862</v>
      </c>
      <c r="O885">
        <v>2405</v>
      </c>
      <c r="P885">
        <v>5330</v>
      </c>
    </row>
    <row r="886" spans="1:16" x14ac:dyDescent="0.3">
      <c r="A886" t="s">
        <v>1714</v>
      </c>
      <c r="B886" s="45">
        <v>45607</v>
      </c>
      <c r="C886" t="s">
        <v>310</v>
      </c>
      <c r="D886" t="s">
        <v>279</v>
      </c>
      <c r="E886" t="s">
        <v>139</v>
      </c>
      <c r="F886">
        <v>7</v>
      </c>
      <c r="G886">
        <v>2660</v>
      </c>
      <c r="H886">
        <v>8.5</v>
      </c>
      <c r="I886">
        <v>17037.3</v>
      </c>
      <c r="J886" t="s">
        <v>87</v>
      </c>
      <c r="K886" t="s">
        <v>117</v>
      </c>
      <c r="L886" t="s">
        <v>117</v>
      </c>
      <c r="M886" t="s">
        <v>2784</v>
      </c>
      <c r="N886" t="s">
        <v>2871</v>
      </c>
      <c r="O886">
        <v>1259</v>
      </c>
      <c r="P886">
        <v>2660</v>
      </c>
    </row>
    <row r="887" spans="1:16" x14ac:dyDescent="0.3">
      <c r="A887" t="s">
        <v>1719</v>
      </c>
      <c r="B887" s="45">
        <v>45457</v>
      </c>
      <c r="C887" t="s">
        <v>795</v>
      </c>
      <c r="D887" t="s">
        <v>120</v>
      </c>
      <c r="E887" t="s">
        <v>170</v>
      </c>
      <c r="F887">
        <v>3</v>
      </c>
      <c r="G887">
        <v>1430</v>
      </c>
      <c r="H887">
        <v>1.5</v>
      </c>
      <c r="I887">
        <v>4225.6499999999996</v>
      </c>
      <c r="J887" t="s">
        <v>87</v>
      </c>
      <c r="K887" t="s">
        <v>94</v>
      </c>
      <c r="L887" t="s">
        <v>94</v>
      </c>
      <c r="M887" t="s">
        <v>2784</v>
      </c>
      <c r="N887" t="s">
        <v>2879</v>
      </c>
      <c r="O887">
        <v>861</v>
      </c>
      <c r="P887">
        <v>1430</v>
      </c>
    </row>
    <row r="888" spans="1:16" x14ac:dyDescent="0.3">
      <c r="A888" t="s">
        <v>1726</v>
      </c>
      <c r="B888" s="45">
        <v>45575</v>
      </c>
      <c r="C888" t="s">
        <v>314</v>
      </c>
      <c r="D888" t="s">
        <v>364</v>
      </c>
      <c r="E888" t="s">
        <v>346</v>
      </c>
      <c r="F888">
        <v>6</v>
      </c>
      <c r="G888">
        <v>5330</v>
      </c>
      <c r="H888">
        <v>0.3</v>
      </c>
      <c r="I888">
        <v>31884.06</v>
      </c>
      <c r="J888" t="s">
        <v>93</v>
      </c>
      <c r="K888" t="s">
        <v>88</v>
      </c>
      <c r="L888" t="s">
        <v>88</v>
      </c>
      <c r="M888" t="s">
        <v>2784</v>
      </c>
      <c r="N888" t="s">
        <v>2871</v>
      </c>
      <c r="O888">
        <v>2405</v>
      </c>
      <c r="P888">
        <v>5330</v>
      </c>
    </row>
    <row r="889" spans="1:16" x14ac:dyDescent="0.3">
      <c r="A889" t="s">
        <v>1729</v>
      </c>
      <c r="B889" s="45">
        <v>45368</v>
      </c>
      <c r="C889" t="s">
        <v>1628</v>
      </c>
      <c r="D889" t="s">
        <v>138</v>
      </c>
      <c r="E889" t="s">
        <v>103</v>
      </c>
      <c r="F889">
        <v>6</v>
      </c>
      <c r="G889">
        <v>2600</v>
      </c>
      <c r="H889">
        <v>25.9</v>
      </c>
      <c r="I889">
        <v>11559.6</v>
      </c>
      <c r="J889" t="s">
        <v>87</v>
      </c>
      <c r="K889" t="s">
        <v>94</v>
      </c>
      <c r="L889" t="s">
        <v>94</v>
      </c>
      <c r="M889" t="s">
        <v>2784</v>
      </c>
      <c r="N889" t="s">
        <v>2879</v>
      </c>
      <c r="O889">
        <v>1052</v>
      </c>
      <c r="P889">
        <v>2600</v>
      </c>
    </row>
    <row r="890" spans="1:16" x14ac:dyDescent="0.3">
      <c r="A890" t="s">
        <v>1730</v>
      </c>
      <c r="B890" s="45">
        <v>45298</v>
      </c>
      <c r="C890" t="s">
        <v>485</v>
      </c>
      <c r="D890" t="s">
        <v>279</v>
      </c>
      <c r="E890" t="s">
        <v>252</v>
      </c>
      <c r="F890">
        <v>7</v>
      </c>
      <c r="G890">
        <v>2660</v>
      </c>
      <c r="H890">
        <v>20.2</v>
      </c>
      <c r="I890">
        <v>14858.76</v>
      </c>
      <c r="J890" t="s">
        <v>87</v>
      </c>
      <c r="K890" t="s">
        <v>88</v>
      </c>
      <c r="L890" t="s">
        <v>88</v>
      </c>
      <c r="M890" t="s">
        <v>2784</v>
      </c>
      <c r="N890" t="s">
        <v>2879</v>
      </c>
      <c r="O890">
        <v>1259</v>
      </c>
      <c r="P890">
        <v>2660</v>
      </c>
    </row>
    <row r="891" spans="1:16" x14ac:dyDescent="0.3">
      <c r="A891" t="s">
        <v>1732</v>
      </c>
      <c r="B891" s="45">
        <v>45568</v>
      </c>
      <c r="C891" t="s">
        <v>357</v>
      </c>
      <c r="D891" t="s">
        <v>279</v>
      </c>
      <c r="E891" t="s">
        <v>188</v>
      </c>
      <c r="F891">
        <v>4</v>
      </c>
      <c r="G891">
        <v>2660</v>
      </c>
      <c r="H891">
        <v>8.9</v>
      </c>
      <c r="I891">
        <v>9693.0400000000009</v>
      </c>
      <c r="J891" t="s">
        <v>87</v>
      </c>
      <c r="K891" t="s">
        <v>99</v>
      </c>
      <c r="L891" t="s">
        <v>99</v>
      </c>
      <c r="M891" t="s">
        <v>2784</v>
      </c>
      <c r="N891" t="s">
        <v>2855</v>
      </c>
      <c r="O891">
        <v>1259</v>
      </c>
      <c r="P891">
        <v>2660</v>
      </c>
    </row>
    <row r="892" spans="1:16" x14ac:dyDescent="0.3">
      <c r="A892" t="s">
        <v>1733</v>
      </c>
      <c r="B892" s="45">
        <v>45540</v>
      </c>
      <c r="C892" t="s">
        <v>900</v>
      </c>
      <c r="D892" t="s">
        <v>364</v>
      </c>
      <c r="E892" t="s">
        <v>132</v>
      </c>
      <c r="F892">
        <v>1</v>
      </c>
      <c r="G892">
        <v>5330</v>
      </c>
      <c r="H892">
        <v>26.8</v>
      </c>
      <c r="I892">
        <v>3901.56</v>
      </c>
      <c r="J892" t="s">
        <v>87</v>
      </c>
      <c r="K892" t="s">
        <v>117</v>
      </c>
      <c r="L892" t="s">
        <v>117</v>
      </c>
      <c r="M892" t="s">
        <v>2784</v>
      </c>
      <c r="N892" t="s">
        <v>2855</v>
      </c>
      <c r="O892">
        <v>2405</v>
      </c>
      <c r="P892">
        <v>5330</v>
      </c>
    </row>
    <row r="893" spans="1:16" x14ac:dyDescent="0.3">
      <c r="A893" t="s">
        <v>1736</v>
      </c>
      <c r="B893" s="45">
        <v>45584</v>
      </c>
      <c r="C893" t="s">
        <v>621</v>
      </c>
      <c r="D893" t="s">
        <v>408</v>
      </c>
      <c r="E893" t="s">
        <v>204</v>
      </c>
      <c r="F893">
        <v>9</v>
      </c>
      <c r="G893">
        <v>3970</v>
      </c>
      <c r="H893">
        <v>18.2</v>
      </c>
      <c r="I893">
        <v>29227.14</v>
      </c>
      <c r="J893" t="s">
        <v>93</v>
      </c>
      <c r="K893" t="s">
        <v>94</v>
      </c>
      <c r="L893" t="s">
        <v>94</v>
      </c>
      <c r="M893" t="s">
        <v>2784</v>
      </c>
      <c r="N893" t="s">
        <v>2871</v>
      </c>
      <c r="O893">
        <v>2865</v>
      </c>
      <c r="P893">
        <v>3970</v>
      </c>
    </row>
    <row r="894" spans="1:16" x14ac:dyDescent="0.3">
      <c r="A894" t="s">
        <v>1743</v>
      </c>
      <c r="B894" s="45">
        <v>45482</v>
      </c>
      <c r="C894" t="s">
        <v>272</v>
      </c>
      <c r="D894" t="s">
        <v>248</v>
      </c>
      <c r="E894" t="s">
        <v>285</v>
      </c>
      <c r="F894">
        <v>8</v>
      </c>
      <c r="G894">
        <v>3870</v>
      </c>
      <c r="H894">
        <v>9.3000000000000007</v>
      </c>
      <c r="I894">
        <v>28080.720000000001</v>
      </c>
      <c r="J894" t="s">
        <v>93</v>
      </c>
      <c r="K894" t="s">
        <v>94</v>
      </c>
      <c r="L894" t="s">
        <v>94</v>
      </c>
      <c r="M894" t="s">
        <v>2784</v>
      </c>
      <c r="N894" t="s">
        <v>2855</v>
      </c>
      <c r="O894">
        <v>1559</v>
      </c>
      <c r="P894">
        <v>3870</v>
      </c>
    </row>
    <row r="895" spans="1:16" x14ac:dyDescent="0.3">
      <c r="A895" t="s">
        <v>1744</v>
      </c>
      <c r="B895" s="45">
        <v>45457</v>
      </c>
      <c r="C895" t="s">
        <v>725</v>
      </c>
      <c r="D895" t="s">
        <v>135</v>
      </c>
      <c r="E895" t="s">
        <v>238</v>
      </c>
      <c r="F895">
        <v>10</v>
      </c>
      <c r="G895">
        <v>2640</v>
      </c>
      <c r="H895">
        <v>19.899999999999999</v>
      </c>
      <c r="I895">
        <v>21146.400000000001</v>
      </c>
      <c r="J895" t="s">
        <v>87</v>
      </c>
      <c r="K895" t="s">
        <v>99</v>
      </c>
      <c r="L895" t="s">
        <v>99</v>
      </c>
      <c r="M895" t="s">
        <v>2784</v>
      </c>
      <c r="N895" t="s">
        <v>2879</v>
      </c>
      <c r="O895">
        <v>1149</v>
      </c>
      <c r="P895">
        <v>2640</v>
      </c>
    </row>
    <row r="896" spans="1:16" x14ac:dyDescent="0.3">
      <c r="A896" t="s">
        <v>1747</v>
      </c>
      <c r="B896" s="45">
        <v>45607</v>
      </c>
      <c r="C896" t="s">
        <v>163</v>
      </c>
      <c r="D896" t="s">
        <v>408</v>
      </c>
      <c r="E896" t="s">
        <v>297</v>
      </c>
      <c r="F896">
        <v>8</v>
      </c>
      <c r="G896">
        <v>3970</v>
      </c>
      <c r="H896">
        <v>22.4</v>
      </c>
      <c r="I896">
        <v>24645.759999999998</v>
      </c>
      <c r="J896" t="s">
        <v>87</v>
      </c>
      <c r="K896" t="s">
        <v>94</v>
      </c>
      <c r="L896" t="s">
        <v>94</v>
      </c>
      <c r="M896" t="s">
        <v>2784</v>
      </c>
      <c r="N896" t="s">
        <v>2879</v>
      </c>
      <c r="O896">
        <v>2865</v>
      </c>
      <c r="P896">
        <v>3970</v>
      </c>
    </row>
    <row r="897" spans="1:16" x14ac:dyDescent="0.3">
      <c r="A897" t="s">
        <v>1749</v>
      </c>
      <c r="B897" s="45">
        <v>45357</v>
      </c>
      <c r="C897" t="s">
        <v>1231</v>
      </c>
      <c r="D897" t="s">
        <v>138</v>
      </c>
      <c r="E897" t="s">
        <v>285</v>
      </c>
      <c r="F897">
        <v>7</v>
      </c>
      <c r="G897">
        <v>2600</v>
      </c>
      <c r="H897">
        <v>15.4</v>
      </c>
      <c r="I897">
        <v>15397.2</v>
      </c>
      <c r="J897" t="s">
        <v>87</v>
      </c>
      <c r="K897" t="s">
        <v>88</v>
      </c>
      <c r="L897" t="s">
        <v>88</v>
      </c>
      <c r="M897" t="s">
        <v>2784</v>
      </c>
      <c r="N897" t="s">
        <v>2855</v>
      </c>
      <c r="O897">
        <v>1052</v>
      </c>
      <c r="P897">
        <v>2600</v>
      </c>
    </row>
    <row r="898" spans="1:16" x14ac:dyDescent="0.3">
      <c r="A898" t="s">
        <v>1753</v>
      </c>
      <c r="B898" s="45">
        <v>45650</v>
      </c>
      <c r="C898" t="s">
        <v>1754</v>
      </c>
      <c r="D898" t="s">
        <v>135</v>
      </c>
      <c r="E898" t="s">
        <v>103</v>
      </c>
      <c r="F898">
        <v>8</v>
      </c>
      <c r="G898">
        <v>2640</v>
      </c>
      <c r="H898">
        <v>24.4</v>
      </c>
      <c r="I898">
        <v>15966.72</v>
      </c>
      <c r="J898" t="s">
        <v>87</v>
      </c>
      <c r="K898" t="s">
        <v>112</v>
      </c>
      <c r="L898" t="s">
        <v>112</v>
      </c>
      <c r="M898" t="s">
        <v>2784</v>
      </c>
      <c r="N898" t="s">
        <v>2855</v>
      </c>
      <c r="O898">
        <v>1149</v>
      </c>
      <c r="P898">
        <v>2640</v>
      </c>
    </row>
    <row r="899" spans="1:16" x14ac:dyDescent="0.3">
      <c r="A899" t="s">
        <v>1769</v>
      </c>
      <c r="B899" s="45">
        <v>45448</v>
      </c>
      <c r="C899" t="s">
        <v>219</v>
      </c>
      <c r="D899" t="s">
        <v>282</v>
      </c>
      <c r="E899" t="s">
        <v>170</v>
      </c>
      <c r="F899">
        <v>9</v>
      </c>
      <c r="G899">
        <v>300</v>
      </c>
      <c r="H899">
        <v>19.5</v>
      </c>
      <c r="I899">
        <v>2173.5</v>
      </c>
      <c r="J899" t="s">
        <v>87</v>
      </c>
      <c r="K899" t="s">
        <v>99</v>
      </c>
      <c r="L899" t="s">
        <v>99</v>
      </c>
      <c r="M899" t="s">
        <v>2784</v>
      </c>
      <c r="N899" t="s">
        <v>2879</v>
      </c>
      <c r="O899">
        <v>128</v>
      </c>
      <c r="P899">
        <v>300</v>
      </c>
    </row>
    <row r="900" spans="1:16" x14ac:dyDescent="0.3">
      <c r="A900" t="s">
        <v>1791</v>
      </c>
      <c r="B900" s="45">
        <v>45316</v>
      </c>
      <c r="C900" t="s">
        <v>599</v>
      </c>
      <c r="D900" t="s">
        <v>248</v>
      </c>
      <c r="E900" t="s">
        <v>154</v>
      </c>
      <c r="F900">
        <v>1</v>
      </c>
      <c r="G900">
        <v>3870</v>
      </c>
      <c r="H900">
        <v>29.6</v>
      </c>
      <c r="I900">
        <v>2724.48</v>
      </c>
      <c r="J900" t="s">
        <v>87</v>
      </c>
      <c r="K900" t="s">
        <v>117</v>
      </c>
      <c r="L900" t="s">
        <v>117</v>
      </c>
      <c r="M900" t="s">
        <v>2784</v>
      </c>
      <c r="N900" t="s">
        <v>2871</v>
      </c>
      <c r="O900">
        <v>1559</v>
      </c>
      <c r="P900">
        <v>3870</v>
      </c>
    </row>
    <row r="901" spans="1:16" x14ac:dyDescent="0.3">
      <c r="A901" t="s">
        <v>1792</v>
      </c>
      <c r="B901" s="45">
        <v>45324</v>
      </c>
      <c r="C901" t="s">
        <v>835</v>
      </c>
      <c r="D901" t="s">
        <v>187</v>
      </c>
      <c r="E901" t="s">
        <v>98</v>
      </c>
      <c r="F901">
        <v>5</v>
      </c>
      <c r="G901">
        <v>3570</v>
      </c>
      <c r="H901">
        <v>11.8</v>
      </c>
      <c r="I901">
        <v>15743.7</v>
      </c>
      <c r="J901" t="s">
        <v>144</v>
      </c>
      <c r="K901" t="s">
        <v>117</v>
      </c>
      <c r="L901" t="s">
        <v>117</v>
      </c>
      <c r="M901" t="s">
        <v>2784</v>
      </c>
      <c r="N901" t="s">
        <v>2855</v>
      </c>
      <c r="O901">
        <v>1665</v>
      </c>
      <c r="P901">
        <v>3570</v>
      </c>
    </row>
    <row r="902" spans="1:16" x14ac:dyDescent="0.3">
      <c r="A902" t="s">
        <v>1793</v>
      </c>
      <c r="B902" s="45">
        <v>45650</v>
      </c>
      <c r="C902" t="s">
        <v>1104</v>
      </c>
      <c r="D902" t="s">
        <v>364</v>
      </c>
      <c r="E902" t="s">
        <v>121</v>
      </c>
      <c r="F902">
        <v>7</v>
      </c>
      <c r="G902">
        <v>5330</v>
      </c>
      <c r="H902">
        <v>8.1999999999999993</v>
      </c>
      <c r="I902">
        <v>34250.58</v>
      </c>
      <c r="J902" t="s">
        <v>87</v>
      </c>
      <c r="K902" t="s">
        <v>117</v>
      </c>
      <c r="L902" t="s">
        <v>117</v>
      </c>
      <c r="M902" t="s">
        <v>2784</v>
      </c>
      <c r="N902" t="s">
        <v>2862</v>
      </c>
      <c r="O902">
        <v>2405</v>
      </c>
      <c r="P902">
        <v>5330</v>
      </c>
    </row>
    <row r="903" spans="1:16" x14ac:dyDescent="0.3">
      <c r="A903" t="s">
        <v>1794</v>
      </c>
      <c r="B903" s="45">
        <v>45564</v>
      </c>
      <c r="C903" t="s">
        <v>807</v>
      </c>
      <c r="D903" t="s">
        <v>267</v>
      </c>
      <c r="E903" t="s">
        <v>204</v>
      </c>
      <c r="F903">
        <v>5</v>
      </c>
      <c r="G903">
        <v>1220</v>
      </c>
      <c r="H903">
        <v>17.8</v>
      </c>
      <c r="I903">
        <v>5014.2</v>
      </c>
      <c r="J903" t="s">
        <v>144</v>
      </c>
      <c r="K903" t="s">
        <v>88</v>
      </c>
      <c r="L903" t="s">
        <v>88</v>
      </c>
      <c r="M903" t="s">
        <v>2784</v>
      </c>
      <c r="N903" t="s">
        <v>2855</v>
      </c>
      <c r="O903">
        <v>517</v>
      </c>
      <c r="P903">
        <v>1220</v>
      </c>
    </row>
    <row r="904" spans="1:16" x14ac:dyDescent="0.3">
      <c r="A904" t="s">
        <v>1798</v>
      </c>
      <c r="B904" s="45">
        <v>45647</v>
      </c>
      <c r="C904" t="s">
        <v>720</v>
      </c>
      <c r="D904" t="s">
        <v>267</v>
      </c>
      <c r="E904" t="s">
        <v>148</v>
      </c>
      <c r="F904">
        <v>1</v>
      </c>
      <c r="G904">
        <v>1220</v>
      </c>
      <c r="H904">
        <v>15.2</v>
      </c>
      <c r="I904">
        <v>1034.56</v>
      </c>
      <c r="J904" t="s">
        <v>87</v>
      </c>
      <c r="K904" t="s">
        <v>88</v>
      </c>
      <c r="L904" t="s">
        <v>88</v>
      </c>
      <c r="M904" t="s">
        <v>2784</v>
      </c>
      <c r="N904" t="s">
        <v>2871</v>
      </c>
      <c r="O904">
        <v>517</v>
      </c>
      <c r="P904">
        <v>1220</v>
      </c>
    </row>
    <row r="905" spans="1:16" x14ac:dyDescent="0.3">
      <c r="A905" t="s">
        <v>1802</v>
      </c>
      <c r="B905" s="45">
        <v>45407</v>
      </c>
      <c r="C905" t="s">
        <v>485</v>
      </c>
      <c r="D905" t="s">
        <v>282</v>
      </c>
      <c r="E905" t="s">
        <v>215</v>
      </c>
      <c r="F905">
        <v>9</v>
      </c>
      <c r="G905">
        <v>300</v>
      </c>
      <c r="H905">
        <v>19</v>
      </c>
      <c r="I905">
        <v>2187</v>
      </c>
      <c r="J905" t="s">
        <v>87</v>
      </c>
      <c r="K905" t="s">
        <v>88</v>
      </c>
      <c r="L905" t="s">
        <v>88</v>
      </c>
      <c r="M905" t="s">
        <v>2784</v>
      </c>
      <c r="N905" t="s">
        <v>2871</v>
      </c>
      <c r="O905">
        <v>128</v>
      </c>
      <c r="P905">
        <v>300</v>
      </c>
    </row>
    <row r="906" spans="1:16" x14ac:dyDescent="0.3">
      <c r="A906" t="s">
        <v>1809</v>
      </c>
      <c r="B906" s="45">
        <v>45306</v>
      </c>
      <c r="C906" t="s">
        <v>707</v>
      </c>
      <c r="D906" t="s">
        <v>279</v>
      </c>
      <c r="E906" t="s">
        <v>238</v>
      </c>
      <c r="F906">
        <v>6</v>
      </c>
      <c r="G906">
        <v>2660</v>
      </c>
      <c r="H906">
        <v>6.4</v>
      </c>
      <c r="I906">
        <v>14938.56</v>
      </c>
      <c r="J906" t="s">
        <v>87</v>
      </c>
      <c r="K906" t="s">
        <v>112</v>
      </c>
      <c r="L906" t="s">
        <v>112</v>
      </c>
      <c r="M906" t="s">
        <v>2784</v>
      </c>
      <c r="N906" t="s">
        <v>2855</v>
      </c>
      <c r="O906">
        <v>1259</v>
      </c>
      <c r="P906">
        <v>2660</v>
      </c>
    </row>
    <row r="907" spans="1:16" x14ac:dyDescent="0.3">
      <c r="A907" t="s">
        <v>1810</v>
      </c>
      <c r="B907" s="45">
        <v>45432</v>
      </c>
      <c r="C907" t="s">
        <v>324</v>
      </c>
      <c r="D907" t="s">
        <v>408</v>
      </c>
      <c r="E907" t="s">
        <v>215</v>
      </c>
      <c r="F907">
        <v>5</v>
      </c>
      <c r="G907">
        <v>3970</v>
      </c>
      <c r="H907">
        <v>18.8</v>
      </c>
      <c r="I907">
        <v>16118.2</v>
      </c>
      <c r="J907" t="s">
        <v>93</v>
      </c>
      <c r="K907" t="s">
        <v>133</v>
      </c>
      <c r="L907" t="s">
        <v>133</v>
      </c>
      <c r="M907" t="s">
        <v>2784</v>
      </c>
      <c r="N907" t="s">
        <v>2862</v>
      </c>
      <c r="O907">
        <v>2865</v>
      </c>
      <c r="P907">
        <v>3970</v>
      </c>
    </row>
    <row r="908" spans="1:16" x14ac:dyDescent="0.3">
      <c r="A908" t="s">
        <v>1814</v>
      </c>
      <c r="B908" s="45">
        <v>45389</v>
      </c>
      <c r="C908" t="s">
        <v>440</v>
      </c>
      <c r="D908" t="s">
        <v>267</v>
      </c>
      <c r="E908" t="s">
        <v>139</v>
      </c>
      <c r="F908">
        <v>4</v>
      </c>
      <c r="G908">
        <v>1220</v>
      </c>
      <c r="H908">
        <v>5.5</v>
      </c>
      <c r="I908">
        <v>4611.6000000000004</v>
      </c>
      <c r="J908" t="s">
        <v>87</v>
      </c>
      <c r="K908" t="s">
        <v>88</v>
      </c>
      <c r="L908" t="s">
        <v>88</v>
      </c>
      <c r="M908" t="s">
        <v>2784</v>
      </c>
      <c r="N908" t="s">
        <v>2862</v>
      </c>
      <c r="O908">
        <v>517</v>
      </c>
      <c r="P908">
        <v>1220</v>
      </c>
    </row>
    <row r="909" spans="1:16" x14ac:dyDescent="0.3">
      <c r="A909" t="s">
        <v>1817</v>
      </c>
      <c r="B909" s="45">
        <v>45348</v>
      </c>
      <c r="C909" t="s">
        <v>231</v>
      </c>
      <c r="D909" t="s">
        <v>282</v>
      </c>
      <c r="E909" t="s">
        <v>154</v>
      </c>
      <c r="F909">
        <v>1</v>
      </c>
      <c r="G909">
        <v>300</v>
      </c>
      <c r="H909">
        <v>12.5</v>
      </c>
      <c r="I909">
        <v>262.5</v>
      </c>
      <c r="J909" t="s">
        <v>87</v>
      </c>
      <c r="K909" t="s">
        <v>117</v>
      </c>
      <c r="L909" t="s">
        <v>117</v>
      </c>
      <c r="M909" t="s">
        <v>2784</v>
      </c>
      <c r="N909" t="s">
        <v>2862</v>
      </c>
      <c r="O909">
        <v>128</v>
      </c>
      <c r="P909">
        <v>300</v>
      </c>
    </row>
    <row r="910" spans="1:16" x14ac:dyDescent="0.3">
      <c r="A910" t="s">
        <v>1823</v>
      </c>
      <c r="B910" s="45">
        <v>45322</v>
      </c>
      <c r="C910" t="s">
        <v>570</v>
      </c>
      <c r="D910" t="s">
        <v>364</v>
      </c>
      <c r="E910" t="s">
        <v>103</v>
      </c>
      <c r="F910">
        <v>2</v>
      </c>
      <c r="G910">
        <v>5330</v>
      </c>
      <c r="H910">
        <v>4.3</v>
      </c>
      <c r="I910">
        <v>10201.620000000001</v>
      </c>
      <c r="J910" t="s">
        <v>87</v>
      </c>
      <c r="K910" t="s">
        <v>99</v>
      </c>
      <c r="L910" t="s">
        <v>99</v>
      </c>
      <c r="M910" t="s">
        <v>2784</v>
      </c>
      <c r="N910" t="s">
        <v>2862</v>
      </c>
      <c r="O910">
        <v>2405</v>
      </c>
      <c r="P910">
        <v>5330</v>
      </c>
    </row>
    <row r="911" spans="1:16" x14ac:dyDescent="0.3">
      <c r="A911" t="s">
        <v>1831</v>
      </c>
      <c r="B911" s="45">
        <v>45422</v>
      </c>
      <c r="C911" t="s">
        <v>900</v>
      </c>
      <c r="D911" t="s">
        <v>364</v>
      </c>
      <c r="E911" t="s">
        <v>128</v>
      </c>
      <c r="F911">
        <v>4</v>
      </c>
      <c r="G911">
        <v>5330</v>
      </c>
      <c r="H911">
        <v>16.2</v>
      </c>
      <c r="I911">
        <v>17866.16</v>
      </c>
      <c r="J911" t="s">
        <v>87</v>
      </c>
      <c r="K911" t="s">
        <v>117</v>
      </c>
      <c r="L911" t="s">
        <v>117</v>
      </c>
      <c r="M911" t="s">
        <v>2784</v>
      </c>
      <c r="N911" t="s">
        <v>2871</v>
      </c>
      <c r="O911">
        <v>2405</v>
      </c>
      <c r="P911">
        <v>5330</v>
      </c>
    </row>
    <row r="912" spans="1:16" x14ac:dyDescent="0.3">
      <c r="A912" t="s">
        <v>1837</v>
      </c>
      <c r="B912" s="45">
        <v>45300</v>
      </c>
      <c r="C912" t="s">
        <v>217</v>
      </c>
      <c r="D912" t="s">
        <v>279</v>
      </c>
      <c r="E912" t="s">
        <v>297</v>
      </c>
      <c r="F912">
        <v>5</v>
      </c>
      <c r="G912">
        <v>2660</v>
      </c>
      <c r="H912">
        <v>24.6</v>
      </c>
      <c r="I912">
        <v>10028.200000000001</v>
      </c>
      <c r="J912" t="s">
        <v>140</v>
      </c>
      <c r="K912" t="s">
        <v>94</v>
      </c>
      <c r="L912" t="s">
        <v>94</v>
      </c>
      <c r="M912" t="s">
        <v>2784</v>
      </c>
      <c r="N912" t="s">
        <v>2879</v>
      </c>
      <c r="O912">
        <v>1259</v>
      </c>
      <c r="P912">
        <v>2660</v>
      </c>
    </row>
    <row r="913" spans="1:16" x14ac:dyDescent="0.3">
      <c r="A913" t="s">
        <v>1859</v>
      </c>
      <c r="B913" s="45">
        <v>45330</v>
      </c>
      <c r="C913" t="s">
        <v>472</v>
      </c>
      <c r="D913" t="s">
        <v>267</v>
      </c>
      <c r="E913" t="s">
        <v>303</v>
      </c>
      <c r="F913">
        <v>7</v>
      </c>
      <c r="G913">
        <v>1220</v>
      </c>
      <c r="H913">
        <v>29.4</v>
      </c>
      <c r="I913">
        <v>6029.24</v>
      </c>
      <c r="J913" t="s">
        <v>87</v>
      </c>
      <c r="K913" t="s">
        <v>94</v>
      </c>
      <c r="L913" t="s">
        <v>94</v>
      </c>
      <c r="M913" t="s">
        <v>2784</v>
      </c>
      <c r="N913" t="s">
        <v>2879</v>
      </c>
      <c r="O913">
        <v>517</v>
      </c>
      <c r="P913">
        <v>1220</v>
      </c>
    </row>
    <row r="914" spans="1:16" x14ac:dyDescent="0.3">
      <c r="A914" t="s">
        <v>1868</v>
      </c>
      <c r="B914" s="45">
        <v>45400</v>
      </c>
      <c r="C914" t="s">
        <v>101</v>
      </c>
      <c r="D914" t="s">
        <v>408</v>
      </c>
      <c r="E914" t="s">
        <v>229</v>
      </c>
      <c r="F914">
        <v>9</v>
      </c>
      <c r="G914">
        <v>3970</v>
      </c>
      <c r="H914">
        <v>10.1</v>
      </c>
      <c r="I914">
        <v>32121.27</v>
      </c>
      <c r="J914" t="s">
        <v>140</v>
      </c>
      <c r="K914" t="s">
        <v>99</v>
      </c>
      <c r="L914" t="s">
        <v>99</v>
      </c>
      <c r="M914" t="s">
        <v>2784</v>
      </c>
      <c r="N914" t="s">
        <v>2862</v>
      </c>
      <c r="O914">
        <v>2865</v>
      </c>
      <c r="P914">
        <v>3970</v>
      </c>
    </row>
    <row r="915" spans="1:16" x14ac:dyDescent="0.3">
      <c r="A915" t="s">
        <v>1872</v>
      </c>
      <c r="B915" s="45">
        <v>45527</v>
      </c>
      <c r="C915" t="s">
        <v>729</v>
      </c>
      <c r="D915" t="s">
        <v>408</v>
      </c>
      <c r="E915" t="s">
        <v>297</v>
      </c>
      <c r="F915">
        <v>10</v>
      </c>
      <c r="G915">
        <v>3970</v>
      </c>
      <c r="H915">
        <v>13.3</v>
      </c>
      <c r="I915">
        <v>34419.9</v>
      </c>
      <c r="J915" t="s">
        <v>93</v>
      </c>
      <c r="K915" t="s">
        <v>112</v>
      </c>
      <c r="L915" t="s">
        <v>112</v>
      </c>
      <c r="M915" t="s">
        <v>2784</v>
      </c>
      <c r="N915" t="s">
        <v>2862</v>
      </c>
      <c r="O915">
        <v>2865</v>
      </c>
      <c r="P915">
        <v>3970</v>
      </c>
    </row>
    <row r="916" spans="1:16" x14ac:dyDescent="0.3">
      <c r="A916" t="s">
        <v>1873</v>
      </c>
      <c r="B916" s="45">
        <v>45534</v>
      </c>
      <c r="C916" t="s">
        <v>684</v>
      </c>
      <c r="D916" t="s">
        <v>279</v>
      </c>
      <c r="E916" t="s">
        <v>107</v>
      </c>
      <c r="F916">
        <v>8</v>
      </c>
      <c r="G916">
        <v>2660</v>
      </c>
      <c r="H916">
        <v>16.8</v>
      </c>
      <c r="I916">
        <v>17704.96</v>
      </c>
      <c r="J916" t="s">
        <v>87</v>
      </c>
      <c r="K916" t="s">
        <v>99</v>
      </c>
      <c r="L916" t="s">
        <v>99</v>
      </c>
      <c r="M916" t="s">
        <v>2784</v>
      </c>
      <c r="N916" t="s">
        <v>2862</v>
      </c>
      <c r="O916">
        <v>1259</v>
      </c>
      <c r="P916">
        <v>2660</v>
      </c>
    </row>
    <row r="917" spans="1:16" x14ac:dyDescent="0.3">
      <c r="A917" t="s">
        <v>1883</v>
      </c>
      <c r="B917" s="45">
        <v>45499</v>
      </c>
      <c r="C917" t="s">
        <v>392</v>
      </c>
      <c r="D917" t="s">
        <v>364</v>
      </c>
      <c r="E917" t="s">
        <v>154</v>
      </c>
      <c r="F917">
        <v>7</v>
      </c>
      <c r="G917">
        <v>5330</v>
      </c>
      <c r="H917">
        <v>3.5</v>
      </c>
      <c r="I917">
        <v>36004.15</v>
      </c>
      <c r="J917" t="s">
        <v>140</v>
      </c>
      <c r="K917" t="s">
        <v>112</v>
      </c>
      <c r="L917" t="s">
        <v>112</v>
      </c>
      <c r="M917" t="s">
        <v>2784</v>
      </c>
      <c r="N917" t="s">
        <v>2855</v>
      </c>
      <c r="O917">
        <v>2405</v>
      </c>
      <c r="P917">
        <v>5330</v>
      </c>
    </row>
    <row r="918" spans="1:16" x14ac:dyDescent="0.3">
      <c r="A918" t="s">
        <v>1901</v>
      </c>
      <c r="B918" s="45">
        <v>45518</v>
      </c>
      <c r="C918" t="s">
        <v>522</v>
      </c>
      <c r="D918" t="s">
        <v>187</v>
      </c>
      <c r="E918" t="s">
        <v>204</v>
      </c>
      <c r="F918">
        <v>7</v>
      </c>
      <c r="G918">
        <v>3570</v>
      </c>
      <c r="H918">
        <v>26.1</v>
      </c>
      <c r="I918">
        <v>18467.61</v>
      </c>
      <c r="J918" t="s">
        <v>87</v>
      </c>
      <c r="K918" t="s">
        <v>99</v>
      </c>
      <c r="L918" t="s">
        <v>99</v>
      </c>
      <c r="M918" t="s">
        <v>2784</v>
      </c>
      <c r="N918" t="s">
        <v>2855</v>
      </c>
      <c r="O918">
        <v>1665</v>
      </c>
      <c r="P918">
        <v>3570</v>
      </c>
    </row>
    <row r="919" spans="1:16" x14ac:dyDescent="0.3">
      <c r="A919" t="s">
        <v>1904</v>
      </c>
      <c r="B919" s="45">
        <v>45376</v>
      </c>
      <c r="C919" t="s">
        <v>872</v>
      </c>
      <c r="D919" t="s">
        <v>282</v>
      </c>
      <c r="E919" t="s">
        <v>103</v>
      </c>
      <c r="F919">
        <v>2</v>
      </c>
      <c r="G919">
        <v>300</v>
      </c>
      <c r="H919">
        <v>2.8</v>
      </c>
      <c r="I919">
        <v>583.20000000000005</v>
      </c>
      <c r="J919" t="s">
        <v>87</v>
      </c>
      <c r="K919" t="s">
        <v>112</v>
      </c>
      <c r="L919" t="s">
        <v>112</v>
      </c>
      <c r="M919" t="s">
        <v>2784</v>
      </c>
      <c r="N919" t="s">
        <v>2855</v>
      </c>
      <c r="O919">
        <v>128</v>
      </c>
      <c r="P919">
        <v>300</v>
      </c>
    </row>
    <row r="920" spans="1:16" x14ac:dyDescent="0.3">
      <c r="A920" t="s">
        <v>1906</v>
      </c>
      <c r="B920" s="45">
        <v>45320</v>
      </c>
      <c r="C920" t="s">
        <v>1191</v>
      </c>
      <c r="D920" t="s">
        <v>364</v>
      </c>
      <c r="E920" t="s">
        <v>285</v>
      </c>
      <c r="F920">
        <v>6</v>
      </c>
      <c r="G920">
        <v>5330</v>
      </c>
      <c r="H920">
        <v>2</v>
      </c>
      <c r="I920">
        <v>31340.400000000001</v>
      </c>
      <c r="J920" t="s">
        <v>87</v>
      </c>
      <c r="K920" t="s">
        <v>117</v>
      </c>
      <c r="L920" t="s">
        <v>117</v>
      </c>
      <c r="M920" t="s">
        <v>2784</v>
      </c>
      <c r="N920" t="s">
        <v>2879</v>
      </c>
      <c r="O920">
        <v>2405</v>
      </c>
      <c r="P920">
        <v>5330</v>
      </c>
    </row>
    <row r="921" spans="1:16" x14ac:dyDescent="0.3">
      <c r="A921" t="s">
        <v>1912</v>
      </c>
      <c r="B921" s="45">
        <v>45643</v>
      </c>
      <c r="C921" t="s">
        <v>539</v>
      </c>
      <c r="D921" t="s">
        <v>187</v>
      </c>
      <c r="E921" t="s">
        <v>238</v>
      </c>
      <c r="F921">
        <v>2</v>
      </c>
      <c r="G921">
        <v>3570</v>
      </c>
      <c r="H921">
        <v>9</v>
      </c>
      <c r="I921">
        <v>6497.4</v>
      </c>
      <c r="J921" t="s">
        <v>87</v>
      </c>
      <c r="K921" t="s">
        <v>133</v>
      </c>
      <c r="L921" t="s">
        <v>133</v>
      </c>
      <c r="M921" t="s">
        <v>2784</v>
      </c>
      <c r="N921" t="s">
        <v>2879</v>
      </c>
      <c r="O921">
        <v>1665</v>
      </c>
      <c r="P921">
        <v>3570</v>
      </c>
    </row>
    <row r="922" spans="1:16" x14ac:dyDescent="0.3">
      <c r="A922" t="s">
        <v>1916</v>
      </c>
      <c r="B922" s="45">
        <v>45564</v>
      </c>
      <c r="C922" t="s">
        <v>608</v>
      </c>
      <c r="D922" t="s">
        <v>282</v>
      </c>
      <c r="E922" t="s">
        <v>297</v>
      </c>
      <c r="F922">
        <v>8</v>
      </c>
      <c r="G922">
        <v>300</v>
      </c>
      <c r="H922">
        <v>19.8</v>
      </c>
      <c r="I922">
        <v>1924.8</v>
      </c>
      <c r="J922" t="s">
        <v>140</v>
      </c>
      <c r="K922" t="s">
        <v>88</v>
      </c>
      <c r="L922" t="s">
        <v>88</v>
      </c>
      <c r="M922" t="s">
        <v>2784</v>
      </c>
      <c r="N922" t="s">
        <v>2855</v>
      </c>
      <c r="O922">
        <v>128</v>
      </c>
      <c r="P922">
        <v>300</v>
      </c>
    </row>
    <row r="923" spans="1:16" x14ac:dyDescent="0.3">
      <c r="A923" t="s">
        <v>1919</v>
      </c>
      <c r="B923" s="45">
        <v>45523</v>
      </c>
      <c r="C923" t="s">
        <v>714</v>
      </c>
      <c r="D923" t="s">
        <v>267</v>
      </c>
      <c r="E923" t="s">
        <v>238</v>
      </c>
      <c r="F923">
        <v>10</v>
      </c>
      <c r="G923">
        <v>1220</v>
      </c>
      <c r="H923">
        <v>15.4</v>
      </c>
      <c r="I923">
        <v>10321.200000000001</v>
      </c>
      <c r="J923" t="s">
        <v>87</v>
      </c>
      <c r="K923" t="s">
        <v>99</v>
      </c>
      <c r="L923" t="s">
        <v>99</v>
      </c>
      <c r="M923" t="s">
        <v>2784</v>
      </c>
      <c r="N923" t="s">
        <v>2862</v>
      </c>
      <c r="O923">
        <v>517</v>
      </c>
      <c r="P923">
        <v>1220</v>
      </c>
    </row>
    <row r="924" spans="1:16" x14ac:dyDescent="0.3">
      <c r="A924" t="s">
        <v>1929</v>
      </c>
      <c r="B924" s="45">
        <v>45350</v>
      </c>
      <c r="C924" t="s">
        <v>210</v>
      </c>
      <c r="D924" t="s">
        <v>364</v>
      </c>
      <c r="E924" t="s">
        <v>325</v>
      </c>
      <c r="F924">
        <v>6</v>
      </c>
      <c r="G924">
        <v>5330</v>
      </c>
      <c r="H924">
        <v>0.6</v>
      </c>
      <c r="I924">
        <v>31788.12</v>
      </c>
      <c r="J924" t="s">
        <v>87</v>
      </c>
      <c r="K924" t="s">
        <v>99</v>
      </c>
      <c r="L924" t="s">
        <v>99</v>
      </c>
      <c r="M924" t="s">
        <v>2784</v>
      </c>
      <c r="N924" t="s">
        <v>2855</v>
      </c>
      <c r="O924">
        <v>2405</v>
      </c>
      <c r="P924">
        <v>5330</v>
      </c>
    </row>
    <row r="925" spans="1:16" x14ac:dyDescent="0.3">
      <c r="A925" t="s">
        <v>1930</v>
      </c>
      <c r="B925" s="45">
        <v>45514</v>
      </c>
      <c r="C925" t="s">
        <v>310</v>
      </c>
      <c r="D925" t="s">
        <v>135</v>
      </c>
      <c r="E925" t="s">
        <v>86</v>
      </c>
      <c r="F925">
        <v>2</v>
      </c>
      <c r="G925">
        <v>2640</v>
      </c>
      <c r="H925">
        <v>26</v>
      </c>
      <c r="I925">
        <v>3907.2</v>
      </c>
      <c r="J925" t="s">
        <v>93</v>
      </c>
      <c r="K925" t="s">
        <v>117</v>
      </c>
      <c r="L925" t="s">
        <v>117</v>
      </c>
      <c r="M925" t="s">
        <v>2784</v>
      </c>
      <c r="N925" t="s">
        <v>2871</v>
      </c>
      <c r="O925">
        <v>1149</v>
      </c>
      <c r="P925">
        <v>2640</v>
      </c>
    </row>
    <row r="926" spans="1:16" x14ac:dyDescent="0.3">
      <c r="A926" t="s">
        <v>1931</v>
      </c>
      <c r="B926" s="45">
        <v>45447</v>
      </c>
      <c r="C926" t="s">
        <v>350</v>
      </c>
      <c r="D926" t="s">
        <v>279</v>
      </c>
      <c r="E926" t="s">
        <v>325</v>
      </c>
      <c r="F926">
        <v>8</v>
      </c>
      <c r="G926">
        <v>2660</v>
      </c>
      <c r="H926">
        <v>2.9</v>
      </c>
      <c r="I926">
        <v>20662.88</v>
      </c>
      <c r="J926" t="s">
        <v>87</v>
      </c>
      <c r="K926" t="s">
        <v>112</v>
      </c>
      <c r="L926" t="s">
        <v>112</v>
      </c>
      <c r="M926" t="s">
        <v>2784</v>
      </c>
      <c r="N926" t="s">
        <v>2871</v>
      </c>
      <c r="O926">
        <v>1259</v>
      </c>
      <c r="P926">
        <v>2660</v>
      </c>
    </row>
    <row r="927" spans="1:16" x14ac:dyDescent="0.3">
      <c r="A927" t="s">
        <v>1946</v>
      </c>
      <c r="B927" s="45">
        <v>45458</v>
      </c>
      <c r="C927" t="s">
        <v>741</v>
      </c>
      <c r="D927" t="s">
        <v>267</v>
      </c>
      <c r="E927" t="s">
        <v>229</v>
      </c>
      <c r="F927">
        <v>5</v>
      </c>
      <c r="G927">
        <v>1220</v>
      </c>
      <c r="H927">
        <v>15.6</v>
      </c>
      <c r="I927">
        <v>5148.3999999999996</v>
      </c>
      <c r="J927" t="s">
        <v>87</v>
      </c>
      <c r="K927" t="s">
        <v>133</v>
      </c>
      <c r="L927" t="s">
        <v>133</v>
      </c>
      <c r="M927" t="s">
        <v>2784</v>
      </c>
      <c r="N927" t="s">
        <v>2871</v>
      </c>
      <c r="O927">
        <v>517</v>
      </c>
      <c r="P927">
        <v>1220</v>
      </c>
    </row>
    <row r="928" spans="1:16" x14ac:dyDescent="0.3">
      <c r="A928" t="s">
        <v>1954</v>
      </c>
      <c r="B928" s="45">
        <v>45324</v>
      </c>
      <c r="C928" t="s">
        <v>507</v>
      </c>
      <c r="D928" t="s">
        <v>267</v>
      </c>
      <c r="E928" t="s">
        <v>273</v>
      </c>
      <c r="F928">
        <v>3</v>
      </c>
      <c r="G928">
        <v>1220</v>
      </c>
      <c r="H928">
        <v>1.9</v>
      </c>
      <c r="I928">
        <v>3590.46</v>
      </c>
      <c r="J928" t="s">
        <v>87</v>
      </c>
      <c r="K928" t="s">
        <v>88</v>
      </c>
      <c r="L928" t="s">
        <v>88</v>
      </c>
      <c r="M928" t="s">
        <v>2784</v>
      </c>
      <c r="N928" t="s">
        <v>2879</v>
      </c>
      <c r="O928">
        <v>517</v>
      </c>
      <c r="P928">
        <v>1220</v>
      </c>
    </row>
    <row r="929" spans="1:16" x14ac:dyDescent="0.3">
      <c r="A929" t="s">
        <v>1957</v>
      </c>
      <c r="B929" s="45">
        <v>45628</v>
      </c>
      <c r="C929" t="s">
        <v>186</v>
      </c>
      <c r="D929" t="s">
        <v>120</v>
      </c>
      <c r="E929" t="s">
        <v>215</v>
      </c>
      <c r="F929">
        <v>3</v>
      </c>
      <c r="G929">
        <v>1430</v>
      </c>
      <c r="H929">
        <v>13.2</v>
      </c>
      <c r="I929">
        <v>3723.72</v>
      </c>
      <c r="J929" t="s">
        <v>87</v>
      </c>
      <c r="K929" t="s">
        <v>94</v>
      </c>
      <c r="L929" t="s">
        <v>94</v>
      </c>
      <c r="M929" t="s">
        <v>2784</v>
      </c>
      <c r="N929" t="s">
        <v>2855</v>
      </c>
      <c r="O929">
        <v>861</v>
      </c>
      <c r="P929">
        <v>1430</v>
      </c>
    </row>
    <row r="930" spans="1:16" x14ac:dyDescent="0.3">
      <c r="A930" t="s">
        <v>1961</v>
      </c>
      <c r="B930" s="45">
        <v>45632</v>
      </c>
      <c r="C930" t="s">
        <v>388</v>
      </c>
      <c r="D930" t="s">
        <v>187</v>
      </c>
      <c r="E930" t="s">
        <v>297</v>
      </c>
      <c r="F930">
        <v>6</v>
      </c>
      <c r="G930">
        <v>3570</v>
      </c>
      <c r="H930">
        <v>17.3</v>
      </c>
      <c r="I930">
        <v>17714.34</v>
      </c>
      <c r="J930" t="s">
        <v>87</v>
      </c>
      <c r="K930" t="s">
        <v>133</v>
      </c>
      <c r="L930" t="s">
        <v>133</v>
      </c>
      <c r="M930" t="s">
        <v>2784</v>
      </c>
      <c r="N930" t="s">
        <v>2879</v>
      </c>
      <c r="O930">
        <v>1665</v>
      </c>
      <c r="P930">
        <v>3570</v>
      </c>
    </row>
    <row r="931" spans="1:16" x14ac:dyDescent="0.3">
      <c r="A931" t="s">
        <v>1971</v>
      </c>
      <c r="B931" s="45">
        <v>45343</v>
      </c>
      <c r="C931" t="s">
        <v>908</v>
      </c>
      <c r="D931" t="s">
        <v>364</v>
      </c>
      <c r="E931" t="s">
        <v>215</v>
      </c>
      <c r="F931">
        <v>3</v>
      </c>
      <c r="G931">
        <v>5330</v>
      </c>
      <c r="H931">
        <v>1</v>
      </c>
      <c r="I931">
        <v>15830.1</v>
      </c>
      <c r="J931" t="s">
        <v>93</v>
      </c>
      <c r="K931" t="s">
        <v>133</v>
      </c>
      <c r="L931" t="s">
        <v>133</v>
      </c>
      <c r="M931" t="s">
        <v>2784</v>
      </c>
      <c r="N931" t="s">
        <v>2855</v>
      </c>
      <c r="O931">
        <v>2405</v>
      </c>
      <c r="P931">
        <v>5330</v>
      </c>
    </row>
    <row r="932" spans="1:16" x14ac:dyDescent="0.3">
      <c r="A932" t="s">
        <v>1975</v>
      </c>
      <c r="B932" s="45">
        <v>45525</v>
      </c>
      <c r="C932" t="s">
        <v>1976</v>
      </c>
      <c r="D932" t="s">
        <v>408</v>
      </c>
      <c r="E932" t="s">
        <v>192</v>
      </c>
      <c r="F932">
        <v>9</v>
      </c>
      <c r="G932">
        <v>3970</v>
      </c>
      <c r="H932">
        <v>28</v>
      </c>
      <c r="I932">
        <v>25725.599999999999</v>
      </c>
      <c r="J932" t="s">
        <v>87</v>
      </c>
      <c r="K932" t="s">
        <v>88</v>
      </c>
      <c r="L932" t="s">
        <v>88</v>
      </c>
      <c r="M932" t="s">
        <v>2784</v>
      </c>
      <c r="N932" t="s">
        <v>2879</v>
      </c>
      <c r="O932">
        <v>2865</v>
      </c>
      <c r="P932">
        <v>3970</v>
      </c>
    </row>
    <row r="933" spans="1:16" x14ac:dyDescent="0.3">
      <c r="A933" t="s">
        <v>1978</v>
      </c>
      <c r="B933" s="45">
        <v>45550</v>
      </c>
      <c r="C933" t="s">
        <v>299</v>
      </c>
      <c r="D933" t="s">
        <v>364</v>
      </c>
      <c r="E933" t="s">
        <v>111</v>
      </c>
      <c r="F933">
        <v>7</v>
      </c>
      <c r="G933">
        <v>5330</v>
      </c>
      <c r="H933">
        <v>17.2</v>
      </c>
      <c r="I933">
        <v>30892.68</v>
      </c>
      <c r="J933" t="s">
        <v>140</v>
      </c>
      <c r="K933" t="s">
        <v>133</v>
      </c>
      <c r="L933" t="s">
        <v>133</v>
      </c>
      <c r="M933" t="s">
        <v>2784</v>
      </c>
      <c r="N933" t="s">
        <v>2871</v>
      </c>
      <c r="O933">
        <v>2405</v>
      </c>
      <c r="P933">
        <v>5330</v>
      </c>
    </row>
    <row r="934" spans="1:16" x14ac:dyDescent="0.3">
      <c r="A934" t="s">
        <v>1981</v>
      </c>
      <c r="B934" s="45">
        <v>45343</v>
      </c>
      <c r="C934" t="s">
        <v>608</v>
      </c>
      <c r="D934" t="s">
        <v>248</v>
      </c>
      <c r="E934" t="s">
        <v>346</v>
      </c>
      <c r="F934">
        <v>9</v>
      </c>
      <c r="G934">
        <v>3870</v>
      </c>
      <c r="H934">
        <v>8.1999999999999993</v>
      </c>
      <c r="I934">
        <v>31973.94</v>
      </c>
      <c r="J934" t="s">
        <v>87</v>
      </c>
      <c r="K934" t="s">
        <v>88</v>
      </c>
      <c r="L934" t="s">
        <v>88</v>
      </c>
      <c r="M934" t="s">
        <v>2784</v>
      </c>
      <c r="N934" t="s">
        <v>2862</v>
      </c>
      <c r="O934">
        <v>1559</v>
      </c>
      <c r="P934">
        <v>3870</v>
      </c>
    </row>
    <row r="935" spans="1:16" x14ac:dyDescent="0.3">
      <c r="A935" t="s">
        <v>1982</v>
      </c>
      <c r="B935" s="45">
        <v>45491</v>
      </c>
      <c r="C935" t="s">
        <v>1047</v>
      </c>
      <c r="D935" t="s">
        <v>279</v>
      </c>
      <c r="E935" t="s">
        <v>252</v>
      </c>
      <c r="F935">
        <v>7</v>
      </c>
      <c r="G935">
        <v>2660</v>
      </c>
      <c r="H935">
        <v>15.9</v>
      </c>
      <c r="I935">
        <v>15659.42</v>
      </c>
      <c r="J935" t="s">
        <v>87</v>
      </c>
      <c r="K935" t="s">
        <v>133</v>
      </c>
      <c r="L935" t="s">
        <v>133</v>
      </c>
      <c r="M935" t="s">
        <v>2784</v>
      </c>
      <c r="N935" t="s">
        <v>2871</v>
      </c>
      <c r="O935">
        <v>1259</v>
      </c>
      <c r="P935">
        <v>2660</v>
      </c>
    </row>
    <row r="936" spans="1:16" x14ac:dyDescent="0.3">
      <c r="A936" t="s">
        <v>1983</v>
      </c>
      <c r="B936" s="45">
        <v>45619</v>
      </c>
      <c r="C936" t="s">
        <v>524</v>
      </c>
      <c r="D936" t="s">
        <v>120</v>
      </c>
      <c r="E936" t="s">
        <v>121</v>
      </c>
      <c r="F936">
        <v>4</v>
      </c>
      <c r="G936">
        <v>1430</v>
      </c>
      <c r="H936">
        <v>25.6</v>
      </c>
      <c r="I936">
        <v>4255.68</v>
      </c>
      <c r="J936" t="s">
        <v>87</v>
      </c>
      <c r="K936" t="s">
        <v>112</v>
      </c>
      <c r="L936" t="s">
        <v>112</v>
      </c>
      <c r="M936" t="s">
        <v>2784</v>
      </c>
      <c r="N936" t="s">
        <v>2855</v>
      </c>
      <c r="O936">
        <v>861</v>
      </c>
      <c r="P936">
        <v>1430</v>
      </c>
    </row>
    <row r="937" spans="1:16" x14ac:dyDescent="0.3">
      <c r="A937" t="s">
        <v>1992</v>
      </c>
      <c r="B937" s="45">
        <v>45520</v>
      </c>
      <c r="C937" t="s">
        <v>163</v>
      </c>
      <c r="D937" t="s">
        <v>248</v>
      </c>
      <c r="E937" t="s">
        <v>128</v>
      </c>
      <c r="F937">
        <v>7</v>
      </c>
      <c r="G937">
        <v>3870</v>
      </c>
      <c r="H937">
        <v>6.1</v>
      </c>
      <c r="I937">
        <v>25437.51</v>
      </c>
      <c r="J937" t="s">
        <v>87</v>
      </c>
      <c r="K937" t="s">
        <v>94</v>
      </c>
      <c r="L937" t="s">
        <v>94</v>
      </c>
      <c r="M937" t="s">
        <v>2784</v>
      </c>
      <c r="N937" t="s">
        <v>2879</v>
      </c>
      <c r="O937">
        <v>1559</v>
      </c>
      <c r="P937">
        <v>3870</v>
      </c>
    </row>
    <row r="938" spans="1:16" x14ac:dyDescent="0.3">
      <c r="A938" t="s">
        <v>1995</v>
      </c>
      <c r="B938" s="45">
        <v>45501</v>
      </c>
      <c r="C938" t="s">
        <v>90</v>
      </c>
      <c r="D938" t="s">
        <v>120</v>
      </c>
      <c r="E938" t="s">
        <v>273</v>
      </c>
      <c r="F938">
        <v>6</v>
      </c>
      <c r="G938">
        <v>1430</v>
      </c>
      <c r="H938">
        <v>0.1</v>
      </c>
      <c r="I938">
        <v>8571.42</v>
      </c>
      <c r="J938" t="s">
        <v>87</v>
      </c>
      <c r="K938" t="s">
        <v>94</v>
      </c>
      <c r="L938" t="s">
        <v>94</v>
      </c>
      <c r="M938" t="s">
        <v>2784</v>
      </c>
      <c r="N938" t="s">
        <v>2879</v>
      </c>
      <c r="O938">
        <v>861</v>
      </c>
      <c r="P938">
        <v>1430</v>
      </c>
    </row>
    <row r="939" spans="1:16" x14ac:dyDescent="0.3">
      <c r="A939" t="s">
        <v>1999</v>
      </c>
      <c r="B939" s="45">
        <v>45483</v>
      </c>
      <c r="C939" t="s">
        <v>680</v>
      </c>
      <c r="D939" t="s">
        <v>187</v>
      </c>
      <c r="E939" t="s">
        <v>204</v>
      </c>
      <c r="F939">
        <v>9</v>
      </c>
      <c r="G939">
        <v>3570</v>
      </c>
      <c r="H939">
        <v>12</v>
      </c>
      <c r="I939">
        <v>28274.400000000001</v>
      </c>
      <c r="J939" t="s">
        <v>87</v>
      </c>
      <c r="K939" t="s">
        <v>94</v>
      </c>
      <c r="L939" t="s">
        <v>94</v>
      </c>
      <c r="M939" t="s">
        <v>2784</v>
      </c>
      <c r="N939" t="s">
        <v>2855</v>
      </c>
      <c r="O939">
        <v>1665</v>
      </c>
      <c r="P939">
        <v>3570</v>
      </c>
    </row>
    <row r="940" spans="1:16" x14ac:dyDescent="0.3">
      <c r="A940" t="s">
        <v>2012</v>
      </c>
      <c r="B940" s="45">
        <v>45375</v>
      </c>
      <c r="C940" t="s">
        <v>340</v>
      </c>
      <c r="D940" t="s">
        <v>408</v>
      </c>
      <c r="E940" t="s">
        <v>192</v>
      </c>
      <c r="F940">
        <v>9</v>
      </c>
      <c r="G940">
        <v>3970</v>
      </c>
      <c r="H940">
        <v>18.5</v>
      </c>
      <c r="I940">
        <v>29119.95</v>
      </c>
      <c r="J940" t="s">
        <v>87</v>
      </c>
      <c r="K940" t="s">
        <v>88</v>
      </c>
      <c r="L940" t="s">
        <v>88</v>
      </c>
      <c r="M940" t="s">
        <v>2784</v>
      </c>
      <c r="N940" t="s">
        <v>2862</v>
      </c>
      <c r="O940">
        <v>2865</v>
      </c>
      <c r="P940">
        <v>3970</v>
      </c>
    </row>
    <row r="941" spans="1:16" x14ac:dyDescent="0.3">
      <c r="A941" t="s">
        <v>2015</v>
      </c>
      <c r="B941" s="45">
        <v>45342</v>
      </c>
      <c r="C941" t="s">
        <v>266</v>
      </c>
      <c r="D941" t="s">
        <v>408</v>
      </c>
      <c r="E941" t="s">
        <v>154</v>
      </c>
      <c r="F941">
        <v>7</v>
      </c>
      <c r="G941">
        <v>3970</v>
      </c>
      <c r="H941">
        <v>15.6</v>
      </c>
      <c r="I941">
        <v>23454.76</v>
      </c>
      <c r="J941" t="s">
        <v>87</v>
      </c>
      <c r="K941" t="s">
        <v>99</v>
      </c>
      <c r="L941" t="s">
        <v>99</v>
      </c>
      <c r="M941" t="s">
        <v>2784</v>
      </c>
      <c r="N941" t="s">
        <v>2862</v>
      </c>
      <c r="O941">
        <v>2865</v>
      </c>
      <c r="P941">
        <v>3970</v>
      </c>
    </row>
    <row r="942" spans="1:16" x14ac:dyDescent="0.3">
      <c r="A942" t="s">
        <v>2024</v>
      </c>
      <c r="B942" s="45">
        <v>45546</v>
      </c>
      <c r="C942" t="s">
        <v>440</v>
      </c>
      <c r="D942" t="s">
        <v>408</v>
      </c>
      <c r="E942" t="s">
        <v>229</v>
      </c>
      <c r="F942">
        <v>3</v>
      </c>
      <c r="G942">
        <v>3970</v>
      </c>
      <c r="H942">
        <v>7.7</v>
      </c>
      <c r="I942">
        <v>10992.93</v>
      </c>
      <c r="J942" t="s">
        <v>87</v>
      </c>
      <c r="K942" t="s">
        <v>88</v>
      </c>
      <c r="L942" t="s">
        <v>88</v>
      </c>
      <c r="M942" t="s">
        <v>2784</v>
      </c>
      <c r="N942" t="s">
        <v>2862</v>
      </c>
      <c r="O942">
        <v>2865</v>
      </c>
      <c r="P942">
        <v>3970</v>
      </c>
    </row>
    <row r="943" spans="1:16" x14ac:dyDescent="0.3">
      <c r="A943" t="s">
        <v>2026</v>
      </c>
      <c r="B943" s="45">
        <v>45472</v>
      </c>
      <c r="C943" t="s">
        <v>322</v>
      </c>
      <c r="D943" t="s">
        <v>248</v>
      </c>
      <c r="E943" t="s">
        <v>111</v>
      </c>
      <c r="F943">
        <v>3</v>
      </c>
      <c r="G943">
        <v>3870</v>
      </c>
      <c r="H943">
        <v>1.9</v>
      </c>
      <c r="I943">
        <v>11389.41</v>
      </c>
      <c r="J943" t="s">
        <v>87</v>
      </c>
      <c r="K943" t="s">
        <v>99</v>
      </c>
      <c r="L943" t="s">
        <v>99</v>
      </c>
      <c r="M943" t="s">
        <v>2784</v>
      </c>
      <c r="N943" t="s">
        <v>2879</v>
      </c>
      <c r="O943">
        <v>1559</v>
      </c>
      <c r="P943">
        <v>3870</v>
      </c>
    </row>
    <row r="944" spans="1:16" x14ac:dyDescent="0.3">
      <c r="A944" t="s">
        <v>2042</v>
      </c>
      <c r="B944" s="45">
        <v>45653</v>
      </c>
      <c r="C944" t="s">
        <v>305</v>
      </c>
      <c r="D944" t="s">
        <v>279</v>
      </c>
      <c r="E944" t="s">
        <v>325</v>
      </c>
      <c r="F944">
        <v>5</v>
      </c>
      <c r="G944">
        <v>2660</v>
      </c>
      <c r="H944">
        <v>20.399999999999999</v>
      </c>
      <c r="I944">
        <v>10586.8</v>
      </c>
      <c r="J944" t="s">
        <v>87</v>
      </c>
      <c r="K944" t="s">
        <v>133</v>
      </c>
      <c r="L944" t="s">
        <v>133</v>
      </c>
      <c r="M944" t="s">
        <v>2784</v>
      </c>
      <c r="N944" t="s">
        <v>2862</v>
      </c>
      <c r="O944">
        <v>1259</v>
      </c>
      <c r="P944">
        <v>2660</v>
      </c>
    </row>
    <row r="945" spans="1:16" x14ac:dyDescent="0.3">
      <c r="A945" t="s">
        <v>2044</v>
      </c>
      <c r="B945" s="45">
        <v>45621</v>
      </c>
      <c r="C945" t="s">
        <v>507</v>
      </c>
      <c r="D945" t="s">
        <v>408</v>
      </c>
      <c r="E945" t="s">
        <v>139</v>
      </c>
      <c r="F945">
        <v>4</v>
      </c>
      <c r="G945">
        <v>3970</v>
      </c>
      <c r="H945">
        <v>22.5</v>
      </c>
      <c r="I945">
        <v>12307</v>
      </c>
      <c r="J945" t="s">
        <v>87</v>
      </c>
      <c r="K945" t="s">
        <v>88</v>
      </c>
      <c r="L945" t="s">
        <v>88</v>
      </c>
      <c r="M945" t="s">
        <v>2784</v>
      </c>
      <c r="N945" t="s">
        <v>2855</v>
      </c>
      <c r="O945">
        <v>2865</v>
      </c>
      <c r="P945">
        <v>3970</v>
      </c>
    </row>
    <row r="946" spans="1:16" x14ac:dyDescent="0.3">
      <c r="A946" t="s">
        <v>2047</v>
      </c>
      <c r="B946" s="45">
        <v>45304</v>
      </c>
      <c r="C946" t="s">
        <v>333</v>
      </c>
      <c r="D946" t="s">
        <v>267</v>
      </c>
      <c r="E946" t="s">
        <v>204</v>
      </c>
      <c r="F946">
        <v>10</v>
      </c>
      <c r="G946">
        <v>1220</v>
      </c>
      <c r="H946">
        <v>19.5</v>
      </c>
      <c r="I946">
        <v>9821</v>
      </c>
      <c r="J946" t="s">
        <v>87</v>
      </c>
      <c r="K946" t="s">
        <v>133</v>
      </c>
      <c r="L946" t="s">
        <v>133</v>
      </c>
      <c r="M946" t="s">
        <v>2784</v>
      </c>
      <c r="N946" t="s">
        <v>2879</v>
      </c>
      <c r="O946">
        <v>517</v>
      </c>
      <c r="P946">
        <v>1220</v>
      </c>
    </row>
    <row r="947" spans="1:16" x14ac:dyDescent="0.3">
      <c r="A947" t="s">
        <v>2054</v>
      </c>
      <c r="B947" s="45">
        <v>45295</v>
      </c>
      <c r="C947" t="s">
        <v>717</v>
      </c>
      <c r="D947" t="s">
        <v>135</v>
      </c>
      <c r="E947" t="s">
        <v>116</v>
      </c>
      <c r="F947">
        <v>3</v>
      </c>
      <c r="G947">
        <v>2640</v>
      </c>
      <c r="H947">
        <v>29.3</v>
      </c>
      <c r="I947">
        <v>5599.44</v>
      </c>
      <c r="J947" t="s">
        <v>87</v>
      </c>
      <c r="K947" t="s">
        <v>94</v>
      </c>
      <c r="L947" t="s">
        <v>94</v>
      </c>
      <c r="M947" t="s">
        <v>2784</v>
      </c>
      <c r="N947" t="s">
        <v>2879</v>
      </c>
      <c r="O947">
        <v>1149</v>
      </c>
      <c r="P947">
        <v>2640</v>
      </c>
    </row>
    <row r="948" spans="1:16" x14ac:dyDescent="0.3">
      <c r="A948" t="s">
        <v>2058</v>
      </c>
      <c r="B948" s="45">
        <v>45426</v>
      </c>
      <c r="C948" t="s">
        <v>1038</v>
      </c>
      <c r="D948" t="s">
        <v>248</v>
      </c>
      <c r="E948" t="s">
        <v>116</v>
      </c>
      <c r="F948">
        <v>1</v>
      </c>
      <c r="G948">
        <v>3870</v>
      </c>
      <c r="H948">
        <v>18.2</v>
      </c>
      <c r="I948">
        <v>3165.66</v>
      </c>
      <c r="J948" t="s">
        <v>93</v>
      </c>
      <c r="K948" t="s">
        <v>117</v>
      </c>
      <c r="L948" t="s">
        <v>117</v>
      </c>
      <c r="M948" t="s">
        <v>2784</v>
      </c>
      <c r="N948" t="s">
        <v>2862</v>
      </c>
      <c r="O948">
        <v>1559</v>
      </c>
      <c r="P948">
        <v>3870</v>
      </c>
    </row>
    <row r="949" spans="1:16" x14ac:dyDescent="0.3">
      <c r="A949" t="s">
        <v>2059</v>
      </c>
      <c r="B949" s="45">
        <v>45385</v>
      </c>
      <c r="C949" t="s">
        <v>1096</v>
      </c>
      <c r="D949" t="s">
        <v>364</v>
      </c>
      <c r="E949" t="s">
        <v>103</v>
      </c>
      <c r="F949">
        <v>1</v>
      </c>
      <c r="G949">
        <v>5330</v>
      </c>
      <c r="H949">
        <v>3.9</v>
      </c>
      <c r="I949">
        <v>5122.13</v>
      </c>
      <c r="J949" t="s">
        <v>144</v>
      </c>
      <c r="K949" t="s">
        <v>88</v>
      </c>
      <c r="L949" t="s">
        <v>88</v>
      </c>
      <c r="M949" t="s">
        <v>2784</v>
      </c>
      <c r="N949" t="s">
        <v>2871</v>
      </c>
      <c r="O949">
        <v>2405</v>
      </c>
      <c r="P949">
        <v>5330</v>
      </c>
    </row>
    <row r="950" spans="1:16" x14ac:dyDescent="0.3">
      <c r="A950" t="s">
        <v>2061</v>
      </c>
      <c r="B950" s="45">
        <v>45622</v>
      </c>
      <c r="C950" t="s">
        <v>465</v>
      </c>
      <c r="D950" t="s">
        <v>282</v>
      </c>
      <c r="E950" t="s">
        <v>192</v>
      </c>
      <c r="F950">
        <v>7</v>
      </c>
      <c r="G950">
        <v>300</v>
      </c>
      <c r="H950">
        <v>7.1</v>
      </c>
      <c r="I950">
        <v>1950.9</v>
      </c>
      <c r="J950" t="s">
        <v>87</v>
      </c>
      <c r="K950" t="s">
        <v>112</v>
      </c>
      <c r="L950" t="s">
        <v>112</v>
      </c>
      <c r="M950" t="s">
        <v>2784</v>
      </c>
      <c r="N950" t="s">
        <v>2855</v>
      </c>
      <c r="O950">
        <v>128</v>
      </c>
      <c r="P950">
        <v>300</v>
      </c>
    </row>
    <row r="951" spans="1:16" x14ac:dyDescent="0.3">
      <c r="A951" t="s">
        <v>2067</v>
      </c>
      <c r="B951" s="45">
        <v>45342</v>
      </c>
      <c r="C951" t="s">
        <v>418</v>
      </c>
      <c r="D951" t="s">
        <v>138</v>
      </c>
      <c r="E951" t="s">
        <v>158</v>
      </c>
      <c r="F951">
        <v>2</v>
      </c>
      <c r="G951">
        <v>2600</v>
      </c>
      <c r="H951">
        <v>27</v>
      </c>
      <c r="I951">
        <v>3796</v>
      </c>
      <c r="J951" t="s">
        <v>87</v>
      </c>
      <c r="K951" t="s">
        <v>133</v>
      </c>
      <c r="L951" t="s">
        <v>133</v>
      </c>
      <c r="M951" t="s">
        <v>2784</v>
      </c>
      <c r="N951" t="s">
        <v>2855</v>
      </c>
      <c r="O951">
        <v>1052</v>
      </c>
      <c r="P951">
        <v>2600</v>
      </c>
    </row>
    <row r="952" spans="1:16" x14ac:dyDescent="0.3">
      <c r="A952" t="s">
        <v>2068</v>
      </c>
      <c r="B952" s="45">
        <v>45304</v>
      </c>
      <c r="C952" t="s">
        <v>983</v>
      </c>
      <c r="D952" t="s">
        <v>187</v>
      </c>
      <c r="E952" t="s">
        <v>116</v>
      </c>
      <c r="F952">
        <v>4</v>
      </c>
      <c r="G952">
        <v>3570</v>
      </c>
      <c r="H952">
        <v>12.3</v>
      </c>
      <c r="I952">
        <v>12523.56</v>
      </c>
      <c r="J952" t="s">
        <v>87</v>
      </c>
      <c r="K952" t="s">
        <v>117</v>
      </c>
      <c r="L952" t="s">
        <v>117</v>
      </c>
      <c r="M952" t="s">
        <v>2784</v>
      </c>
      <c r="N952" t="s">
        <v>2879</v>
      </c>
      <c r="O952">
        <v>1665</v>
      </c>
      <c r="P952">
        <v>3570</v>
      </c>
    </row>
    <row r="953" spans="1:16" x14ac:dyDescent="0.3">
      <c r="A953" t="s">
        <v>2072</v>
      </c>
      <c r="B953" s="45">
        <v>45625</v>
      </c>
      <c r="C953" t="s">
        <v>705</v>
      </c>
      <c r="D953" t="s">
        <v>267</v>
      </c>
      <c r="E953" t="s">
        <v>343</v>
      </c>
      <c r="F953">
        <v>4</v>
      </c>
      <c r="G953">
        <v>1220</v>
      </c>
      <c r="H953">
        <v>12.6</v>
      </c>
      <c r="I953">
        <v>4265.12</v>
      </c>
      <c r="J953" t="s">
        <v>87</v>
      </c>
      <c r="K953" t="s">
        <v>99</v>
      </c>
      <c r="L953" t="s">
        <v>99</v>
      </c>
      <c r="M953" t="s">
        <v>2784</v>
      </c>
      <c r="N953" t="s">
        <v>2879</v>
      </c>
      <c r="O953">
        <v>517</v>
      </c>
      <c r="P953">
        <v>1220</v>
      </c>
    </row>
    <row r="954" spans="1:16" x14ac:dyDescent="0.3">
      <c r="A954" t="s">
        <v>2078</v>
      </c>
      <c r="B954" s="45">
        <v>45592</v>
      </c>
      <c r="C954" t="s">
        <v>316</v>
      </c>
      <c r="D954" t="s">
        <v>138</v>
      </c>
      <c r="E954" t="s">
        <v>303</v>
      </c>
      <c r="F954">
        <v>6</v>
      </c>
      <c r="G954">
        <v>2600</v>
      </c>
      <c r="H954">
        <v>5.0999999999999996</v>
      </c>
      <c r="I954">
        <v>14804.4</v>
      </c>
      <c r="J954" t="s">
        <v>87</v>
      </c>
      <c r="K954" t="s">
        <v>88</v>
      </c>
      <c r="L954" t="s">
        <v>88</v>
      </c>
      <c r="M954" t="s">
        <v>2784</v>
      </c>
      <c r="N954" t="s">
        <v>2879</v>
      </c>
      <c r="O954">
        <v>1052</v>
      </c>
      <c r="P954">
        <v>2600</v>
      </c>
    </row>
    <row r="955" spans="1:16" x14ac:dyDescent="0.3">
      <c r="A955" t="s">
        <v>2079</v>
      </c>
      <c r="B955" s="45">
        <v>45403</v>
      </c>
      <c r="C955" t="s">
        <v>169</v>
      </c>
      <c r="D955" t="s">
        <v>248</v>
      </c>
      <c r="E955" t="s">
        <v>343</v>
      </c>
      <c r="F955">
        <v>9</v>
      </c>
      <c r="G955">
        <v>3870</v>
      </c>
      <c r="H955">
        <v>1.8</v>
      </c>
      <c r="I955">
        <v>34203.06</v>
      </c>
      <c r="J955" t="s">
        <v>140</v>
      </c>
      <c r="K955" t="s">
        <v>112</v>
      </c>
      <c r="L955" t="s">
        <v>112</v>
      </c>
      <c r="M955" t="s">
        <v>2784</v>
      </c>
      <c r="N955" t="s">
        <v>2855</v>
      </c>
      <c r="O955">
        <v>1559</v>
      </c>
      <c r="P955">
        <v>3870</v>
      </c>
    </row>
    <row r="956" spans="1:16" x14ac:dyDescent="0.3">
      <c r="A956" t="s">
        <v>2080</v>
      </c>
      <c r="B956" s="45">
        <v>45459</v>
      </c>
      <c r="C956" t="s">
        <v>407</v>
      </c>
      <c r="D956" t="s">
        <v>408</v>
      </c>
      <c r="E956" t="s">
        <v>103</v>
      </c>
      <c r="F956">
        <v>3</v>
      </c>
      <c r="G956">
        <v>3970</v>
      </c>
      <c r="H956">
        <v>8.1999999999999993</v>
      </c>
      <c r="I956">
        <v>10933.38</v>
      </c>
      <c r="J956" t="s">
        <v>87</v>
      </c>
      <c r="K956" t="s">
        <v>88</v>
      </c>
      <c r="L956" t="s">
        <v>88</v>
      </c>
      <c r="M956" t="s">
        <v>2784</v>
      </c>
      <c r="N956" t="s">
        <v>2862</v>
      </c>
      <c r="O956">
        <v>2865</v>
      </c>
      <c r="P956">
        <v>3970</v>
      </c>
    </row>
    <row r="957" spans="1:16" x14ac:dyDescent="0.3">
      <c r="A957" t="s">
        <v>2088</v>
      </c>
      <c r="B957" s="45">
        <v>45336</v>
      </c>
      <c r="C957" t="s">
        <v>504</v>
      </c>
      <c r="D957" t="s">
        <v>408</v>
      </c>
      <c r="E957" t="s">
        <v>297</v>
      </c>
      <c r="F957">
        <v>3</v>
      </c>
      <c r="G957">
        <v>3970</v>
      </c>
      <c r="H957">
        <v>6.8</v>
      </c>
      <c r="I957">
        <v>11100.12</v>
      </c>
      <c r="J957" t="s">
        <v>87</v>
      </c>
      <c r="K957" t="s">
        <v>117</v>
      </c>
      <c r="L957" t="s">
        <v>117</v>
      </c>
      <c r="M957" t="s">
        <v>2784</v>
      </c>
      <c r="N957" t="s">
        <v>2879</v>
      </c>
      <c r="O957">
        <v>2865</v>
      </c>
      <c r="P957">
        <v>3970</v>
      </c>
    </row>
    <row r="958" spans="1:16" x14ac:dyDescent="0.3">
      <c r="A958" t="s">
        <v>2098</v>
      </c>
      <c r="B958" s="45">
        <v>45465</v>
      </c>
      <c r="C958" t="s">
        <v>608</v>
      </c>
      <c r="D958" t="s">
        <v>135</v>
      </c>
      <c r="E958" t="s">
        <v>285</v>
      </c>
      <c r="F958">
        <v>1</v>
      </c>
      <c r="G958">
        <v>2640</v>
      </c>
      <c r="H958">
        <v>5.9</v>
      </c>
      <c r="I958">
        <v>2484.2399999999998</v>
      </c>
      <c r="J958" t="s">
        <v>87</v>
      </c>
      <c r="K958" t="s">
        <v>88</v>
      </c>
      <c r="L958" t="s">
        <v>88</v>
      </c>
      <c r="M958" t="s">
        <v>2784</v>
      </c>
      <c r="N958" t="s">
        <v>2855</v>
      </c>
      <c r="O958">
        <v>1149</v>
      </c>
      <c r="P958">
        <v>2640</v>
      </c>
    </row>
    <row r="959" spans="1:16" x14ac:dyDescent="0.3">
      <c r="A959" t="s">
        <v>2099</v>
      </c>
      <c r="B959" s="45">
        <v>45354</v>
      </c>
      <c r="C959" t="s">
        <v>585</v>
      </c>
      <c r="D959" t="s">
        <v>187</v>
      </c>
      <c r="E959" t="s">
        <v>192</v>
      </c>
      <c r="F959">
        <v>10</v>
      </c>
      <c r="G959">
        <v>3570</v>
      </c>
      <c r="H959">
        <v>21.5</v>
      </c>
      <c r="I959">
        <v>28024.5</v>
      </c>
      <c r="J959" t="s">
        <v>87</v>
      </c>
      <c r="K959" t="s">
        <v>94</v>
      </c>
      <c r="L959" t="s">
        <v>94</v>
      </c>
      <c r="M959" t="s">
        <v>2784</v>
      </c>
      <c r="N959" t="s">
        <v>2862</v>
      </c>
      <c r="O959">
        <v>1665</v>
      </c>
      <c r="P959">
        <v>3570</v>
      </c>
    </row>
    <row r="960" spans="1:16" x14ac:dyDescent="0.3">
      <c r="A960" t="s">
        <v>2100</v>
      </c>
      <c r="B960" s="45">
        <v>45581</v>
      </c>
      <c r="C960" t="s">
        <v>592</v>
      </c>
      <c r="D960" t="s">
        <v>120</v>
      </c>
      <c r="E960" t="s">
        <v>346</v>
      </c>
      <c r="F960">
        <v>10</v>
      </c>
      <c r="G960">
        <v>1430</v>
      </c>
      <c r="H960">
        <v>11.4</v>
      </c>
      <c r="I960">
        <v>12669.8</v>
      </c>
      <c r="J960" t="s">
        <v>140</v>
      </c>
      <c r="K960" t="s">
        <v>133</v>
      </c>
      <c r="L960" t="s">
        <v>133</v>
      </c>
      <c r="M960" t="s">
        <v>2784</v>
      </c>
      <c r="N960" t="s">
        <v>2862</v>
      </c>
      <c r="O960">
        <v>861</v>
      </c>
      <c r="P960">
        <v>1430</v>
      </c>
    </row>
    <row r="961" spans="1:16" x14ac:dyDescent="0.3">
      <c r="A961" t="s">
        <v>2106</v>
      </c>
      <c r="B961" s="45">
        <v>45317</v>
      </c>
      <c r="C961" t="s">
        <v>463</v>
      </c>
      <c r="D961" t="s">
        <v>135</v>
      </c>
      <c r="E961" t="s">
        <v>107</v>
      </c>
      <c r="F961">
        <v>8</v>
      </c>
      <c r="G961">
        <v>2640</v>
      </c>
      <c r="H961">
        <v>14.5</v>
      </c>
      <c r="I961">
        <v>18057.599999999999</v>
      </c>
      <c r="J961" t="s">
        <v>144</v>
      </c>
      <c r="K961" t="s">
        <v>117</v>
      </c>
      <c r="L961" t="s">
        <v>117</v>
      </c>
      <c r="M961" t="s">
        <v>2784</v>
      </c>
      <c r="N961" t="s">
        <v>2855</v>
      </c>
      <c r="O961">
        <v>1149</v>
      </c>
      <c r="P961">
        <v>2640</v>
      </c>
    </row>
    <row r="962" spans="1:16" x14ac:dyDescent="0.3">
      <c r="A962" t="s">
        <v>2112</v>
      </c>
      <c r="B962" s="45">
        <v>45642</v>
      </c>
      <c r="C962" t="s">
        <v>520</v>
      </c>
      <c r="D962" t="s">
        <v>364</v>
      </c>
      <c r="E962" t="s">
        <v>303</v>
      </c>
      <c r="F962">
        <v>3</v>
      </c>
      <c r="G962">
        <v>5330</v>
      </c>
      <c r="H962">
        <v>22.2</v>
      </c>
      <c r="I962">
        <v>12440.22</v>
      </c>
      <c r="J962" t="s">
        <v>87</v>
      </c>
      <c r="K962" t="s">
        <v>112</v>
      </c>
      <c r="L962" t="s">
        <v>112</v>
      </c>
      <c r="M962" t="s">
        <v>2784</v>
      </c>
      <c r="N962" t="s">
        <v>2855</v>
      </c>
      <c r="O962">
        <v>2405</v>
      </c>
      <c r="P962">
        <v>5330</v>
      </c>
    </row>
    <row r="963" spans="1:16" x14ac:dyDescent="0.3">
      <c r="A963" t="s">
        <v>2114</v>
      </c>
      <c r="B963" s="45">
        <v>45460</v>
      </c>
      <c r="C963" t="s">
        <v>101</v>
      </c>
      <c r="D963" t="s">
        <v>267</v>
      </c>
      <c r="E963" t="s">
        <v>285</v>
      </c>
      <c r="F963">
        <v>10</v>
      </c>
      <c r="G963">
        <v>1220</v>
      </c>
      <c r="H963">
        <v>5.7</v>
      </c>
      <c r="I963">
        <v>11504.6</v>
      </c>
      <c r="J963" t="s">
        <v>87</v>
      </c>
      <c r="K963" t="s">
        <v>99</v>
      </c>
      <c r="L963" t="s">
        <v>99</v>
      </c>
      <c r="M963" t="s">
        <v>2784</v>
      </c>
      <c r="N963" t="s">
        <v>2862</v>
      </c>
      <c r="O963">
        <v>517</v>
      </c>
      <c r="P963">
        <v>1220</v>
      </c>
    </row>
    <row r="964" spans="1:16" x14ac:dyDescent="0.3">
      <c r="A964" t="s">
        <v>2123</v>
      </c>
      <c r="B964" s="45">
        <v>45601</v>
      </c>
      <c r="C964" t="s">
        <v>291</v>
      </c>
      <c r="D964" t="s">
        <v>138</v>
      </c>
      <c r="E964" t="s">
        <v>92</v>
      </c>
      <c r="F964">
        <v>10</v>
      </c>
      <c r="G964">
        <v>2600</v>
      </c>
      <c r="H964">
        <v>29.4</v>
      </c>
      <c r="I964">
        <v>18356</v>
      </c>
      <c r="J964" t="s">
        <v>87</v>
      </c>
      <c r="K964" t="s">
        <v>99</v>
      </c>
      <c r="L964" t="s">
        <v>99</v>
      </c>
      <c r="M964" t="s">
        <v>2784</v>
      </c>
      <c r="N964" t="s">
        <v>2855</v>
      </c>
      <c r="O964">
        <v>1052</v>
      </c>
      <c r="P964">
        <v>2600</v>
      </c>
    </row>
    <row r="965" spans="1:16" x14ac:dyDescent="0.3">
      <c r="A965" t="s">
        <v>2125</v>
      </c>
      <c r="B965" s="45">
        <v>45421</v>
      </c>
      <c r="C965" t="s">
        <v>250</v>
      </c>
      <c r="D965" t="s">
        <v>135</v>
      </c>
      <c r="E965" t="s">
        <v>148</v>
      </c>
      <c r="F965">
        <v>10</v>
      </c>
      <c r="G965">
        <v>2640</v>
      </c>
      <c r="H965">
        <v>26.8</v>
      </c>
      <c r="I965">
        <v>19324.8</v>
      </c>
      <c r="J965" t="s">
        <v>93</v>
      </c>
      <c r="K965" t="s">
        <v>117</v>
      </c>
      <c r="L965" t="s">
        <v>117</v>
      </c>
      <c r="M965" t="s">
        <v>2784</v>
      </c>
      <c r="N965" t="s">
        <v>2862</v>
      </c>
      <c r="O965">
        <v>1149</v>
      </c>
      <c r="P965">
        <v>2640</v>
      </c>
    </row>
    <row r="966" spans="1:16" x14ac:dyDescent="0.3">
      <c r="A966" t="s">
        <v>2132</v>
      </c>
      <c r="B966" s="45">
        <v>45329</v>
      </c>
      <c r="C966" t="s">
        <v>617</v>
      </c>
      <c r="D966" t="s">
        <v>279</v>
      </c>
      <c r="E966" t="s">
        <v>285</v>
      </c>
      <c r="F966">
        <v>1</v>
      </c>
      <c r="G966">
        <v>2660</v>
      </c>
      <c r="H966">
        <v>14.6</v>
      </c>
      <c r="I966">
        <v>2271.64</v>
      </c>
      <c r="J966" t="s">
        <v>87</v>
      </c>
      <c r="K966" t="s">
        <v>112</v>
      </c>
      <c r="L966" t="s">
        <v>112</v>
      </c>
      <c r="M966" t="s">
        <v>2784</v>
      </c>
      <c r="N966" t="s">
        <v>2871</v>
      </c>
      <c r="O966">
        <v>1259</v>
      </c>
      <c r="P966">
        <v>2660</v>
      </c>
    </row>
    <row r="967" spans="1:16" x14ac:dyDescent="0.3">
      <c r="A967" t="s">
        <v>2135</v>
      </c>
      <c r="B967" s="45">
        <v>45364</v>
      </c>
      <c r="C967" t="s">
        <v>214</v>
      </c>
      <c r="D967" t="s">
        <v>279</v>
      </c>
      <c r="E967" t="s">
        <v>103</v>
      </c>
      <c r="F967">
        <v>2</v>
      </c>
      <c r="G967">
        <v>2660</v>
      </c>
      <c r="H967">
        <v>7.2</v>
      </c>
      <c r="I967">
        <v>4936.96</v>
      </c>
      <c r="J967" t="s">
        <v>140</v>
      </c>
      <c r="K967" t="s">
        <v>117</v>
      </c>
      <c r="L967" t="s">
        <v>117</v>
      </c>
      <c r="M967" t="s">
        <v>2784</v>
      </c>
      <c r="N967" t="s">
        <v>2855</v>
      </c>
      <c r="O967">
        <v>1259</v>
      </c>
      <c r="P967">
        <v>2660</v>
      </c>
    </row>
    <row r="968" spans="1:16" x14ac:dyDescent="0.3">
      <c r="A968" t="s">
        <v>2147</v>
      </c>
      <c r="B968" s="45">
        <v>45625</v>
      </c>
      <c r="C968" t="s">
        <v>258</v>
      </c>
      <c r="D968" t="s">
        <v>248</v>
      </c>
      <c r="E968" t="s">
        <v>229</v>
      </c>
      <c r="F968">
        <v>8</v>
      </c>
      <c r="G968">
        <v>3870</v>
      </c>
      <c r="H968">
        <v>21.2</v>
      </c>
      <c r="I968">
        <v>24396.48</v>
      </c>
      <c r="J968" t="s">
        <v>93</v>
      </c>
      <c r="K968" t="s">
        <v>99</v>
      </c>
      <c r="L968" t="s">
        <v>99</v>
      </c>
      <c r="M968" t="s">
        <v>2784</v>
      </c>
      <c r="N968" t="s">
        <v>2855</v>
      </c>
      <c r="O968">
        <v>1559</v>
      </c>
      <c r="P968">
        <v>3870</v>
      </c>
    </row>
    <row r="969" spans="1:16" x14ac:dyDescent="0.3">
      <c r="A969" t="s">
        <v>2153</v>
      </c>
      <c r="B969" s="45">
        <v>45654</v>
      </c>
      <c r="C969" t="s">
        <v>472</v>
      </c>
      <c r="D969" t="s">
        <v>248</v>
      </c>
      <c r="E969" t="s">
        <v>325</v>
      </c>
      <c r="F969">
        <v>7</v>
      </c>
      <c r="G969">
        <v>3870</v>
      </c>
      <c r="H969">
        <v>5.9</v>
      </c>
      <c r="I969">
        <v>25491.69</v>
      </c>
      <c r="J969" t="s">
        <v>87</v>
      </c>
      <c r="K969" t="s">
        <v>94</v>
      </c>
      <c r="L969" t="s">
        <v>94</v>
      </c>
      <c r="M969" t="s">
        <v>2784</v>
      </c>
      <c r="N969" t="s">
        <v>2862</v>
      </c>
      <c r="O969">
        <v>1559</v>
      </c>
      <c r="P969">
        <v>3870</v>
      </c>
    </row>
    <row r="970" spans="1:16" x14ac:dyDescent="0.3">
      <c r="A970" t="s">
        <v>2154</v>
      </c>
      <c r="B970" s="45">
        <v>45412</v>
      </c>
      <c r="C970" t="s">
        <v>1006</v>
      </c>
      <c r="D970" t="s">
        <v>187</v>
      </c>
      <c r="E970" t="s">
        <v>192</v>
      </c>
      <c r="F970">
        <v>8</v>
      </c>
      <c r="G970">
        <v>3570</v>
      </c>
      <c r="H970">
        <v>24.6</v>
      </c>
      <c r="I970">
        <v>21534.240000000002</v>
      </c>
      <c r="J970" t="s">
        <v>87</v>
      </c>
      <c r="K970" t="s">
        <v>117</v>
      </c>
      <c r="L970" t="s">
        <v>117</v>
      </c>
      <c r="M970" t="s">
        <v>2784</v>
      </c>
      <c r="N970" t="s">
        <v>2862</v>
      </c>
      <c r="O970">
        <v>1665</v>
      </c>
      <c r="P970">
        <v>3570</v>
      </c>
    </row>
    <row r="971" spans="1:16" x14ac:dyDescent="0.3">
      <c r="A971" t="s">
        <v>2161</v>
      </c>
      <c r="B971" s="45">
        <v>45426</v>
      </c>
      <c r="C971" t="s">
        <v>524</v>
      </c>
      <c r="D971" t="s">
        <v>135</v>
      </c>
      <c r="E971" t="s">
        <v>252</v>
      </c>
      <c r="F971">
        <v>8</v>
      </c>
      <c r="G971">
        <v>2640</v>
      </c>
      <c r="H971">
        <v>4.2</v>
      </c>
      <c r="I971">
        <v>20232.96</v>
      </c>
      <c r="J971" t="s">
        <v>144</v>
      </c>
      <c r="K971" t="s">
        <v>112</v>
      </c>
      <c r="L971" t="s">
        <v>112</v>
      </c>
      <c r="M971" t="s">
        <v>2784</v>
      </c>
      <c r="N971" t="s">
        <v>2855</v>
      </c>
      <c r="O971">
        <v>1149</v>
      </c>
      <c r="P971">
        <v>2640</v>
      </c>
    </row>
    <row r="972" spans="1:16" x14ac:dyDescent="0.3">
      <c r="A972" t="s">
        <v>2177</v>
      </c>
      <c r="B972" s="45">
        <v>45462</v>
      </c>
      <c r="C972" t="s">
        <v>669</v>
      </c>
      <c r="D972" t="s">
        <v>120</v>
      </c>
      <c r="E972" t="s">
        <v>229</v>
      </c>
      <c r="F972">
        <v>6</v>
      </c>
      <c r="G972">
        <v>1430</v>
      </c>
      <c r="H972">
        <v>18.399999999999999</v>
      </c>
      <c r="I972">
        <v>7001.28</v>
      </c>
      <c r="J972" t="s">
        <v>93</v>
      </c>
      <c r="K972" t="s">
        <v>133</v>
      </c>
      <c r="L972" t="s">
        <v>133</v>
      </c>
      <c r="M972" t="s">
        <v>2784</v>
      </c>
      <c r="N972" t="s">
        <v>2871</v>
      </c>
      <c r="O972">
        <v>861</v>
      </c>
      <c r="P972">
        <v>1430</v>
      </c>
    </row>
    <row r="973" spans="1:16" x14ac:dyDescent="0.3">
      <c r="A973" t="s">
        <v>2186</v>
      </c>
      <c r="B973" s="45">
        <v>45596</v>
      </c>
      <c r="C973" t="s">
        <v>551</v>
      </c>
      <c r="D973" t="s">
        <v>248</v>
      </c>
      <c r="E973" t="s">
        <v>229</v>
      </c>
      <c r="F973">
        <v>4</v>
      </c>
      <c r="G973">
        <v>3870</v>
      </c>
      <c r="H973">
        <v>15.9</v>
      </c>
      <c r="I973">
        <v>13018.68</v>
      </c>
      <c r="J973" t="s">
        <v>87</v>
      </c>
      <c r="K973" t="s">
        <v>112</v>
      </c>
      <c r="L973" t="s">
        <v>112</v>
      </c>
      <c r="M973" t="s">
        <v>2784</v>
      </c>
      <c r="N973" t="s">
        <v>2862</v>
      </c>
      <c r="O973">
        <v>1559</v>
      </c>
      <c r="P973">
        <v>3870</v>
      </c>
    </row>
    <row r="974" spans="1:16" x14ac:dyDescent="0.3">
      <c r="A974" t="s">
        <v>2193</v>
      </c>
      <c r="B974" s="45">
        <v>45629</v>
      </c>
      <c r="C974" t="s">
        <v>1261</v>
      </c>
      <c r="D974" t="s">
        <v>267</v>
      </c>
      <c r="E974" t="s">
        <v>139</v>
      </c>
      <c r="F974">
        <v>7</v>
      </c>
      <c r="G974">
        <v>1220</v>
      </c>
      <c r="H974">
        <v>18.8</v>
      </c>
      <c r="I974">
        <v>6934.48</v>
      </c>
      <c r="J974" t="s">
        <v>93</v>
      </c>
      <c r="K974" t="s">
        <v>117</v>
      </c>
      <c r="L974" t="s">
        <v>117</v>
      </c>
      <c r="M974" t="s">
        <v>2784</v>
      </c>
      <c r="N974" t="s">
        <v>2871</v>
      </c>
      <c r="O974">
        <v>517</v>
      </c>
      <c r="P974">
        <v>1220</v>
      </c>
    </row>
    <row r="975" spans="1:16" x14ac:dyDescent="0.3">
      <c r="A975" t="s">
        <v>2196</v>
      </c>
      <c r="B975" s="45">
        <v>45626</v>
      </c>
      <c r="C975" t="s">
        <v>561</v>
      </c>
      <c r="D975" t="s">
        <v>187</v>
      </c>
      <c r="E975" t="s">
        <v>201</v>
      </c>
      <c r="F975">
        <v>3</v>
      </c>
      <c r="G975">
        <v>3570</v>
      </c>
      <c r="H975">
        <v>18.399999999999999</v>
      </c>
      <c r="I975">
        <v>8739.36</v>
      </c>
      <c r="J975" t="s">
        <v>144</v>
      </c>
      <c r="K975" t="s">
        <v>133</v>
      </c>
      <c r="L975" t="s">
        <v>133</v>
      </c>
      <c r="M975" t="s">
        <v>2784</v>
      </c>
      <c r="N975" t="s">
        <v>2855</v>
      </c>
      <c r="O975">
        <v>1665</v>
      </c>
      <c r="P975">
        <v>3570</v>
      </c>
    </row>
    <row r="976" spans="1:16" x14ac:dyDescent="0.3">
      <c r="A976" t="s">
        <v>2197</v>
      </c>
      <c r="B976" s="45">
        <v>45502</v>
      </c>
      <c r="C976" t="s">
        <v>689</v>
      </c>
      <c r="D976" t="s">
        <v>267</v>
      </c>
      <c r="E976" t="s">
        <v>139</v>
      </c>
      <c r="F976">
        <v>7</v>
      </c>
      <c r="G976">
        <v>1220</v>
      </c>
      <c r="H976">
        <v>25.8</v>
      </c>
      <c r="I976">
        <v>6336.68</v>
      </c>
      <c r="J976" t="s">
        <v>144</v>
      </c>
      <c r="K976" t="s">
        <v>133</v>
      </c>
      <c r="L976" t="s">
        <v>133</v>
      </c>
      <c r="M976" t="s">
        <v>2784</v>
      </c>
      <c r="N976" t="s">
        <v>2862</v>
      </c>
      <c r="O976">
        <v>517</v>
      </c>
      <c r="P976">
        <v>1220</v>
      </c>
    </row>
    <row r="977" spans="1:16" x14ac:dyDescent="0.3">
      <c r="A977" t="s">
        <v>2204</v>
      </c>
      <c r="B977" s="45">
        <v>45622</v>
      </c>
      <c r="C977" t="s">
        <v>835</v>
      </c>
      <c r="D977" t="s">
        <v>138</v>
      </c>
      <c r="E977" t="s">
        <v>303</v>
      </c>
      <c r="F977">
        <v>1</v>
      </c>
      <c r="G977">
        <v>2600</v>
      </c>
      <c r="H977">
        <v>5.9</v>
      </c>
      <c r="I977">
        <v>2446.6</v>
      </c>
      <c r="J977" t="s">
        <v>87</v>
      </c>
      <c r="K977" t="s">
        <v>117</v>
      </c>
      <c r="L977" t="s">
        <v>117</v>
      </c>
      <c r="M977" t="s">
        <v>2784</v>
      </c>
      <c r="N977" t="s">
        <v>2862</v>
      </c>
      <c r="O977">
        <v>1052</v>
      </c>
      <c r="P977">
        <v>2600</v>
      </c>
    </row>
    <row r="978" spans="1:16" x14ac:dyDescent="0.3">
      <c r="A978" t="s">
        <v>2206</v>
      </c>
      <c r="B978" s="45">
        <v>45352</v>
      </c>
      <c r="C978" t="s">
        <v>729</v>
      </c>
      <c r="D978" t="s">
        <v>364</v>
      </c>
      <c r="E978" t="s">
        <v>192</v>
      </c>
      <c r="F978">
        <v>9</v>
      </c>
      <c r="G978">
        <v>5330</v>
      </c>
      <c r="H978">
        <v>23.5</v>
      </c>
      <c r="I978">
        <v>36697.050000000003</v>
      </c>
      <c r="J978" t="s">
        <v>87</v>
      </c>
      <c r="K978" t="s">
        <v>112</v>
      </c>
      <c r="L978" t="s">
        <v>112</v>
      </c>
      <c r="M978" t="s">
        <v>2784</v>
      </c>
      <c r="N978" t="s">
        <v>2862</v>
      </c>
      <c r="O978">
        <v>2405</v>
      </c>
      <c r="P978">
        <v>5330</v>
      </c>
    </row>
    <row r="979" spans="1:16" x14ac:dyDescent="0.3">
      <c r="A979" t="s">
        <v>2215</v>
      </c>
      <c r="B979" s="45">
        <v>45612</v>
      </c>
      <c r="C979" t="s">
        <v>561</v>
      </c>
      <c r="D979" t="s">
        <v>248</v>
      </c>
      <c r="E979" t="s">
        <v>252</v>
      </c>
      <c r="F979">
        <v>1</v>
      </c>
      <c r="G979">
        <v>3870</v>
      </c>
      <c r="H979">
        <v>27.3</v>
      </c>
      <c r="I979">
        <v>2813.49</v>
      </c>
      <c r="J979" t="s">
        <v>87</v>
      </c>
      <c r="K979" t="s">
        <v>133</v>
      </c>
      <c r="L979" t="s">
        <v>133</v>
      </c>
      <c r="M979" t="s">
        <v>2784</v>
      </c>
      <c r="N979" t="s">
        <v>2871</v>
      </c>
      <c r="O979">
        <v>1559</v>
      </c>
      <c r="P979">
        <v>3870</v>
      </c>
    </row>
    <row r="980" spans="1:16" x14ac:dyDescent="0.3">
      <c r="A980" t="s">
        <v>2216</v>
      </c>
      <c r="B980" s="45">
        <v>45301</v>
      </c>
      <c r="C980" t="s">
        <v>662</v>
      </c>
      <c r="D980" t="s">
        <v>282</v>
      </c>
      <c r="E980" t="s">
        <v>86</v>
      </c>
      <c r="F980">
        <v>10</v>
      </c>
      <c r="G980">
        <v>300</v>
      </c>
      <c r="H980">
        <v>14.1</v>
      </c>
      <c r="I980">
        <v>2577</v>
      </c>
      <c r="J980" t="s">
        <v>140</v>
      </c>
      <c r="K980" t="s">
        <v>94</v>
      </c>
      <c r="L980" t="s">
        <v>94</v>
      </c>
      <c r="M980" t="s">
        <v>2784</v>
      </c>
      <c r="N980" t="s">
        <v>2855</v>
      </c>
      <c r="O980">
        <v>128</v>
      </c>
      <c r="P980">
        <v>300</v>
      </c>
    </row>
    <row r="981" spans="1:16" x14ac:dyDescent="0.3">
      <c r="A981" t="s">
        <v>2219</v>
      </c>
      <c r="B981" s="45">
        <v>45382</v>
      </c>
      <c r="C981" t="s">
        <v>501</v>
      </c>
      <c r="D981" t="s">
        <v>364</v>
      </c>
      <c r="E981" t="s">
        <v>297</v>
      </c>
      <c r="F981">
        <v>8</v>
      </c>
      <c r="G981">
        <v>5330</v>
      </c>
      <c r="H981">
        <v>16.399999999999999</v>
      </c>
      <c r="I981">
        <v>35647.040000000001</v>
      </c>
      <c r="J981" t="s">
        <v>87</v>
      </c>
      <c r="K981" t="s">
        <v>133</v>
      </c>
      <c r="L981" t="s">
        <v>133</v>
      </c>
      <c r="M981" t="s">
        <v>2784</v>
      </c>
      <c r="N981" t="s">
        <v>2871</v>
      </c>
      <c r="O981">
        <v>2405</v>
      </c>
      <c r="P981">
        <v>5330</v>
      </c>
    </row>
    <row r="982" spans="1:16" x14ac:dyDescent="0.3">
      <c r="A982" t="s">
        <v>2221</v>
      </c>
      <c r="B982" s="45">
        <v>45376</v>
      </c>
      <c r="C982" t="s">
        <v>109</v>
      </c>
      <c r="D982" t="s">
        <v>279</v>
      </c>
      <c r="E982" t="s">
        <v>121</v>
      </c>
      <c r="F982">
        <v>10</v>
      </c>
      <c r="G982">
        <v>2660</v>
      </c>
      <c r="H982">
        <v>29.3</v>
      </c>
      <c r="I982">
        <v>18806.2</v>
      </c>
      <c r="J982" t="s">
        <v>87</v>
      </c>
      <c r="K982" t="s">
        <v>112</v>
      </c>
      <c r="L982" t="s">
        <v>112</v>
      </c>
      <c r="M982" t="s">
        <v>2784</v>
      </c>
      <c r="N982" t="s">
        <v>2862</v>
      </c>
      <c r="O982">
        <v>1259</v>
      </c>
      <c r="P982">
        <v>2660</v>
      </c>
    </row>
    <row r="983" spans="1:16" x14ac:dyDescent="0.3">
      <c r="A983" t="s">
        <v>2222</v>
      </c>
      <c r="B983" s="45">
        <v>45506</v>
      </c>
      <c r="C983" t="s">
        <v>169</v>
      </c>
      <c r="D983" t="s">
        <v>408</v>
      </c>
      <c r="E983" t="s">
        <v>273</v>
      </c>
      <c r="F983">
        <v>9</v>
      </c>
      <c r="G983">
        <v>3970</v>
      </c>
      <c r="H983">
        <v>10.4</v>
      </c>
      <c r="I983">
        <v>32014.080000000002</v>
      </c>
      <c r="J983" t="s">
        <v>93</v>
      </c>
      <c r="K983" t="s">
        <v>112</v>
      </c>
      <c r="L983" t="s">
        <v>112</v>
      </c>
      <c r="M983" t="s">
        <v>2784</v>
      </c>
      <c r="N983" t="s">
        <v>2855</v>
      </c>
      <c r="O983">
        <v>2865</v>
      </c>
      <c r="P983">
        <v>3970</v>
      </c>
    </row>
    <row r="984" spans="1:16" x14ac:dyDescent="0.3">
      <c r="A984" t="s">
        <v>2233</v>
      </c>
      <c r="B984" s="45">
        <v>45455</v>
      </c>
      <c r="C984" t="s">
        <v>382</v>
      </c>
      <c r="D984" t="s">
        <v>135</v>
      </c>
      <c r="E984" t="s">
        <v>132</v>
      </c>
      <c r="F984">
        <v>8</v>
      </c>
      <c r="G984">
        <v>2640</v>
      </c>
      <c r="H984">
        <v>16.399999999999999</v>
      </c>
      <c r="I984">
        <v>17656.32</v>
      </c>
      <c r="J984" t="s">
        <v>87</v>
      </c>
      <c r="K984" t="s">
        <v>99</v>
      </c>
      <c r="L984" t="s">
        <v>99</v>
      </c>
      <c r="M984" t="s">
        <v>2784</v>
      </c>
      <c r="N984" t="s">
        <v>2855</v>
      </c>
      <c r="O984">
        <v>1149</v>
      </c>
      <c r="P984">
        <v>2640</v>
      </c>
    </row>
    <row r="985" spans="1:16" x14ac:dyDescent="0.3">
      <c r="A985" t="s">
        <v>2256</v>
      </c>
      <c r="B985" s="45">
        <v>45459</v>
      </c>
      <c r="C985" t="s">
        <v>1234</v>
      </c>
      <c r="D985" t="s">
        <v>135</v>
      </c>
      <c r="E985" t="s">
        <v>192</v>
      </c>
      <c r="F985">
        <v>6</v>
      </c>
      <c r="G985">
        <v>2640</v>
      </c>
      <c r="H985">
        <v>3.4</v>
      </c>
      <c r="I985">
        <v>15301.44</v>
      </c>
      <c r="J985" t="s">
        <v>87</v>
      </c>
      <c r="K985" t="s">
        <v>112</v>
      </c>
      <c r="L985" t="s">
        <v>112</v>
      </c>
      <c r="M985" t="s">
        <v>2784</v>
      </c>
      <c r="N985" t="s">
        <v>2855</v>
      </c>
      <c r="O985">
        <v>1149</v>
      </c>
      <c r="P985">
        <v>2640</v>
      </c>
    </row>
    <row r="986" spans="1:16" x14ac:dyDescent="0.3">
      <c r="A986" t="s">
        <v>2261</v>
      </c>
      <c r="B986" s="45">
        <v>45341</v>
      </c>
      <c r="C986" t="s">
        <v>757</v>
      </c>
      <c r="D986" t="s">
        <v>282</v>
      </c>
      <c r="E986" t="s">
        <v>132</v>
      </c>
      <c r="F986">
        <v>9</v>
      </c>
      <c r="G986">
        <v>300</v>
      </c>
      <c r="H986">
        <v>25.2</v>
      </c>
      <c r="I986">
        <v>2019.6</v>
      </c>
      <c r="J986" t="s">
        <v>87</v>
      </c>
      <c r="K986" t="s">
        <v>117</v>
      </c>
      <c r="L986" t="s">
        <v>117</v>
      </c>
      <c r="M986" t="s">
        <v>2784</v>
      </c>
      <c r="N986" t="s">
        <v>2871</v>
      </c>
      <c r="O986">
        <v>128</v>
      </c>
      <c r="P986">
        <v>300</v>
      </c>
    </row>
    <row r="987" spans="1:16" x14ac:dyDescent="0.3">
      <c r="A987" t="s">
        <v>2265</v>
      </c>
      <c r="B987" s="45">
        <v>45597</v>
      </c>
      <c r="C987" t="s">
        <v>986</v>
      </c>
      <c r="D987" t="s">
        <v>282</v>
      </c>
      <c r="E987" t="s">
        <v>215</v>
      </c>
      <c r="F987">
        <v>3</v>
      </c>
      <c r="G987">
        <v>300</v>
      </c>
      <c r="H987">
        <v>7.5</v>
      </c>
      <c r="I987">
        <v>832.5</v>
      </c>
      <c r="J987" t="s">
        <v>144</v>
      </c>
      <c r="K987" t="s">
        <v>94</v>
      </c>
      <c r="L987" t="s">
        <v>94</v>
      </c>
      <c r="M987" t="s">
        <v>2784</v>
      </c>
      <c r="N987" t="s">
        <v>2879</v>
      </c>
      <c r="O987">
        <v>128</v>
      </c>
      <c r="P987">
        <v>300</v>
      </c>
    </row>
    <row r="988" spans="1:16" x14ac:dyDescent="0.3">
      <c r="A988" t="s">
        <v>2278</v>
      </c>
      <c r="B988" s="45">
        <v>45644</v>
      </c>
      <c r="C988" t="s">
        <v>795</v>
      </c>
      <c r="D988" t="s">
        <v>135</v>
      </c>
      <c r="E988" t="s">
        <v>238</v>
      </c>
      <c r="F988">
        <v>3</v>
      </c>
      <c r="G988">
        <v>2640</v>
      </c>
      <c r="H988">
        <v>10.199999999999999</v>
      </c>
      <c r="I988">
        <v>7112.16</v>
      </c>
      <c r="J988" t="s">
        <v>140</v>
      </c>
      <c r="K988" t="s">
        <v>94</v>
      </c>
      <c r="L988" t="s">
        <v>94</v>
      </c>
      <c r="M988" t="s">
        <v>2784</v>
      </c>
      <c r="N988" t="s">
        <v>2871</v>
      </c>
      <c r="O988">
        <v>1149</v>
      </c>
      <c r="P988">
        <v>2640</v>
      </c>
    </row>
    <row r="989" spans="1:16" x14ac:dyDescent="0.3">
      <c r="A989" t="s">
        <v>2290</v>
      </c>
      <c r="B989" s="45">
        <v>45600</v>
      </c>
      <c r="C989" t="s">
        <v>390</v>
      </c>
      <c r="D989" t="s">
        <v>279</v>
      </c>
      <c r="E989" t="s">
        <v>92</v>
      </c>
      <c r="F989">
        <v>6</v>
      </c>
      <c r="G989">
        <v>2660</v>
      </c>
      <c r="H989">
        <v>14.9</v>
      </c>
      <c r="I989">
        <v>13581.96</v>
      </c>
      <c r="J989" t="s">
        <v>87</v>
      </c>
      <c r="K989" t="s">
        <v>88</v>
      </c>
      <c r="L989" t="s">
        <v>88</v>
      </c>
      <c r="M989" t="s">
        <v>2784</v>
      </c>
      <c r="N989" t="s">
        <v>2855</v>
      </c>
      <c r="O989">
        <v>1259</v>
      </c>
      <c r="P989">
        <v>2660</v>
      </c>
    </row>
    <row r="990" spans="1:16" x14ac:dyDescent="0.3">
      <c r="A990" t="s">
        <v>2293</v>
      </c>
      <c r="B990" s="45">
        <v>45444</v>
      </c>
      <c r="C990" t="s">
        <v>762</v>
      </c>
      <c r="D990" t="s">
        <v>267</v>
      </c>
      <c r="E990" t="s">
        <v>86</v>
      </c>
      <c r="F990">
        <v>1</v>
      </c>
      <c r="G990">
        <v>1220</v>
      </c>
      <c r="H990">
        <v>0.6</v>
      </c>
      <c r="I990">
        <v>1212.68</v>
      </c>
      <c r="J990" t="s">
        <v>144</v>
      </c>
      <c r="K990" t="s">
        <v>133</v>
      </c>
      <c r="L990" t="s">
        <v>133</v>
      </c>
      <c r="M990" t="s">
        <v>2784</v>
      </c>
      <c r="N990" t="s">
        <v>2862</v>
      </c>
      <c r="O990">
        <v>517</v>
      </c>
      <c r="P990">
        <v>1220</v>
      </c>
    </row>
    <row r="991" spans="1:16" x14ac:dyDescent="0.3">
      <c r="A991" t="s">
        <v>2298</v>
      </c>
      <c r="B991" s="45">
        <v>45457</v>
      </c>
      <c r="C991" t="s">
        <v>208</v>
      </c>
      <c r="D991" t="s">
        <v>267</v>
      </c>
      <c r="E991" t="s">
        <v>121</v>
      </c>
      <c r="F991">
        <v>7</v>
      </c>
      <c r="G991">
        <v>1220</v>
      </c>
      <c r="H991">
        <v>13.1</v>
      </c>
      <c r="I991">
        <v>7421.26</v>
      </c>
      <c r="J991" t="s">
        <v>87</v>
      </c>
      <c r="K991" t="s">
        <v>133</v>
      </c>
      <c r="L991" t="s">
        <v>133</v>
      </c>
      <c r="M991" t="s">
        <v>2784</v>
      </c>
      <c r="N991" t="s">
        <v>2862</v>
      </c>
      <c r="O991">
        <v>517</v>
      </c>
      <c r="P991">
        <v>1220</v>
      </c>
    </row>
    <row r="992" spans="1:16" x14ac:dyDescent="0.3">
      <c r="A992" t="s">
        <v>2300</v>
      </c>
      <c r="B992" s="45">
        <v>45405</v>
      </c>
      <c r="C992" t="s">
        <v>420</v>
      </c>
      <c r="D992" t="s">
        <v>279</v>
      </c>
      <c r="E992" t="s">
        <v>297</v>
      </c>
      <c r="F992">
        <v>8</v>
      </c>
      <c r="G992">
        <v>2660</v>
      </c>
      <c r="H992">
        <v>16.100000000000001</v>
      </c>
      <c r="I992">
        <v>17853.919999999998</v>
      </c>
      <c r="J992" t="s">
        <v>87</v>
      </c>
      <c r="K992" t="s">
        <v>99</v>
      </c>
      <c r="L992" t="s">
        <v>99</v>
      </c>
      <c r="M992" t="s">
        <v>2784</v>
      </c>
      <c r="N992" t="s">
        <v>2862</v>
      </c>
      <c r="O992">
        <v>1259</v>
      </c>
      <c r="P992">
        <v>2660</v>
      </c>
    </row>
    <row r="993" spans="1:16" x14ac:dyDescent="0.3">
      <c r="A993" t="s">
        <v>2306</v>
      </c>
      <c r="B993" s="45">
        <v>45420</v>
      </c>
      <c r="C993" t="s">
        <v>178</v>
      </c>
      <c r="D993" t="s">
        <v>408</v>
      </c>
      <c r="E993" t="s">
        <v>229</v>
      </c>
      <c r="F993">
        <v>2</v>
      </c>
      <c r="G993">
        <v>3970</v>
      </c>
      <c r="H993">
        <v>24.9</v>
      </c>
      <c r="I993">
        <v>5962.94</v>
      </c>
      <c r="J993" t="s">
        <v>87</v>
      </c>
      <c r="K993" t="s">
        <v>94</v>
      </c>
      <c r="L993" t="s">
        <v>94</v>
      </c>
      <c r="M993" t="s">
        <v>2784</v>
      </c>
      <c r="N993" t="s">
        <v>2855</v>
      </c>
      <c r="O993">
        <v>2865</v>
      </c>
      <c r="P993">
        <v>3970</v>
      </c>
    </row>
    <row r="994" spans="1:16" x14ac:dyDescent="0.3">
      <c r="A994" t="s">
        <v>2311</v>
      </c>
      <c r="B994" s="45">
        <v>45330</v>
      </c>
      <c r="C994" t="s">
        <v>592</v>
      </c>
      <c r="D994" t="s">
        <v>248</v>
      </c>
      <c r="E994" t="s">
        <v>252</v>
      </c>
      <c r="F994">
        <v>10</v>
      </c>
      <c r="G994">
        <v>3870</v>
      </c>
      <c r="H994">
        <v>22.4</v>
      </c>
      <c r="I994">
        <v>30031.200000000001</v>
      </c>
      <c r="J994" t="s">
        <v>93</v>
      </c>
      <c r="K994" t="s">
        <v>133</v>
      </c>
      <c r="L994" t="s">
        <v>133</v>
      </c>
      <c r="M994" t="s">
        <v>2784</v>
      </c>
      <c r="N994" t="s">
        <v>2871</v>
      </c>
      <c r="O994">
        <v>1559</v>
      </c>
      <c r="P994">
        <v>3870</v>
      </c>
    </row>
    <row r="995" spans="1:16" x14ac:dyDescent="0.3">
      <c r="A995" t="s">
        <v>2313</v>
      </c>
      <c r="B995" s="45">
        <v>45321</v>
      </c>
      <c r="C995" t="s">
        <v>2314</v>
      </c>
      <c r="D995" t="s">
        <v>248</v>
      </c>
      <c r="E995" t="s">
        <v>201</v>
      </c>
      <c r="F995">
        <v>3</v>
      </c>
      <c r="G995">
        <v>3870</v>
      </c>
      <c r="H995">
        <v>7.6</v>
      </c>
      <c r="I995">
        <v>10727.64</v>
      </c>
      <c r="J995" t="s">
        <v>140</v>
      </c>
      <c r="K995" t="s">
        <v>94</v>
      </c>
      <c r="L995" t="s">
        <v>94</v>
      </c>
      <c r="M995" t="s">
        <v>2784</v>
      </c>
      <c r="N995" t="s">
        <v>2871</v>
      </c>
      <c r="O995">
        <v>1559</v>
      </c>
      <c r="P995">
        <v>3870</v>
      </c>
    </row>
    <row r="996" spans="1:16" x14ac:dyDescent="0.3">
      <c r="A996" t="s">
        <v>2316</v>
      </c>
      <c r="B996" s="45">
        <v>45643</v>
      </c>
      <c r="C996" t="s">
        <v>602</v>
      </c>
      <c r="D996" t="s">
        <v>135</v>
      </c>
      <c r="E996" t="s">
        <v>215</v>
      </c>
      <c r="F996">
        <v>8</v>
      </c>
      <c r="G996">
        <v>2640</v>
      </c>
      <c r="H996">
        <v>22.3</v>
      </c>
      <c r="I996">
        <v>16410.240000000002</v>
      </c>
      <c r="J996" t="s">
        <v>87</v>
      </c>
      <c r="K996" t="s">
        <v>94</v>
      </c>
      <c r="L996" t="s">
        <v>94</v>
      </c>
      <c r="M996" t="s">
        <v>2784</v>
      </c>
      <c r="N996" t="s">
        <v>2862</v>
      </c>
      <c r="O996">
        <v>1149</v>
      </c>
      <c r="P996">
        <v>2640</v>
      </c>
    </row>
    <row r="997" spans="1:16" x14ac:dyDescent="0.3">
      <c r="A997" t="s">
        <v>2337</v>
      </c>
      <c r="B997" s="45">
        <v>45453</v>
      </c>
      <c r="C997" t="s">
        <v>350</v>
      </c>
      <c r="D997" t="s">
        <v>282</v>
      </c>
      <c r="E997" t="s">
        <v>303</v>
      </c>
      <c r="F997">
        <v>6</v>
      </c>
      <c r="G997">
        <v>300</v>
      </c>
      <c r="H997">
        <v>13.3</v>
      </c>
      <c r="I997">
        <v>1560.6</v>
      </c>
      <c r="J997" t="s">
        <v>87</v>
      </c>
      <c r="K997" t="s">
        <v>112</v>
      </c>
      <c r="L997" t="s">
        <v>112</v>
      </c>
      <c r="M997" t="s">
        <v>2784</v>
      </c>
      <c r="N997" t="s">
        <v>2879</v>
      </c>
      <c r="O997">
        <v>128</v>
      </c>
      <c r="P997">
        <v>300</v>
      </c>
    </row>
    <row r="998" spans="1:16" x14ac:dyDescent="0.3">
      <c r="A998" t="s">
        <v>2341</v>
      </c>
      <c r="B998" s="45">
        <v>45506</v>
      </c>
      <c r="C998" t="s">
        <v>752</v>
      </c>
      <c r="D998" t="s">
        <v>267</v>
      </c>
      <c r="E998" t="s">
        <v>201</v>
      </c>
      <c r="F998">
        <v>2</v>
      </c>
      <c r="G998">
        <v>1220</v>
      </c>
      <c r="H998">
        <v>10.5</v>
      </c>
      <c r="I998">
        <v>2183.8000000000002</v>
      </c>
      <c r="J998" t="s">
        <v>87</v>
      </c>
      <c r="K998" t="s">
        <v>117</v>
      </c>
      <c r="L998" t="s">
        <v>117</v>
      </c>
      <c r="M998" t="s">
        <v>2784</v>
      </c>
      <c r="N998" t="s">
        <v>2871</v>
      </c>
      <c r="O998">
        <v>517</v>
      </c>
      <c r="P998">
        <v>1220</v>
      </c>
    </row>
    <row r="999" spans="1:16" x14ac:dyDescent="0.3">
      <c r="A999" t="s">
        <v>2351</v>
      </c>
      <c r="B999" s="45">
        <v>45650</v>
      </c>
      <c r="C999" t="s">
        <v>541</v>
      </c>
      <c r="D999" t="s">
        <v>267</v>
      </c>
      <c r="E999" t="s">
        <v>238</v>
      </c>
      <c r="F999">
        <v>5</v>
      </c>
      <c r="G999">
        <v>1220</v>
      </c>
      <c r="H999">
        <v>18.7</v>
      </c>
      <c r="I999">
        <v>4959.3</v>
      </c>
      <c r="J999" t="s">
        <v>87</v>
      </c>
      <c r="K999" t="s">
        <v>94</v>
      </c>
      <c r="L999" t="s">
        <v>94</v>
      </c>
      <c r="M999" t="s">
        <v>2784</v>
      </c>
      <c r="N999" t="s">
        <v>2879</v>
      </c>
      <c r="O999">
        <v>517</v>
      </c>
      <c r="P999">
        <v>1220</v>
      </c>
    </row>
    <row r="1000" spans="1:16" x14ac:dyDescent="0.3">
      <c r="A1000" t="s">
        <v>2359</v>
      </c>
      <c r="B1000" s="45">
        <v>45463</v>
      </c>
      <c r="C1000" t="s">
        <v>487</v>
      </c>
      <c r="D1000" t="s">
        <v>282</v>
      </c>
      <c r="E1000" t="s">
        <v>188</v>
      </c>
      <c r="F1000">
        <v>7</v>
      </c>
      <c r="G1000">
        <v>300</v>
      </c>
      <c r="H1000">
        <v>15.3</v>
      </c>
      <c r="I1000">
        <v>1778.7</v>
      </c>
      <c r="J1000" t="s">
        <v>87</v>
      </c>
      <c r="K1000" t="s">
        <v>88</v>
      </c>
      <c r="L1000" t="s">
        <v>88</v>
      </c>
      <c r="M1000" t="s">
        <v>2784</v>
      </c>
      <c r="N1000" t="s">
        <v>2879</v>
      </c>
      <c r="O1000">
        <v>128</v>
      </c>
      <c r="P1000">
        <v>300</v>
      </c>
    </row>
    <row r="1001" spans="1:16" x14ac:dyDescent="0.3">
      <c r="A1001" t="s">
        <v>2375</v>
      </c>
      <c r="B1001" s="45">
        <v>45351</v>
      </c>
      <c r="C1001" t="s">
        <v>472</v>
      </c>
      <c r="D1001" t="s">
        <v>135</v>
      </c>
      <c r="E1001" t="s">
        <v>303</v>
      </c>
      <c r="F1001">
        <v>5</v>
      </c>
      <c r="G1001">
        <v>2640</v>
      </c>
      <c r="H1001">
        <v>21.3</v>
      </c>
      <c r="I1001">
        <v>10388.4</v>
      </c>
      <c r="J1001" t="s">
        <v>93</v>
      </c>
      <c r="K1001" t="s">
        <v>94</v>
      </c>
      <c r="L1001" t="s">
        <v>94</v>
      </c>
      <c r="M1001" t="s">
        <v>2784</v>
      </c>
      <c r="N1001" t="s">
        <v>2862</v>
      </c>
      <c r="O1001">
        <v>1149</v>
      </c>
      <c r="P1001">
        <v>2640</v>
      </c>
    </row>
    <row r="1002" spans="1:16" x14ac:dyDescent="0.3">
      <c r="A1002" t="s">
        <v>2386</v>
      </c>
      <c r="B1002" s="45">
        <v>45380</v>
      </c>
      <c r="C1002" t="s">
        <v>316</v>
      </c>
      <c r="D1002" t="s">
        <v>138</v>
      </c>
      <c r="E1002" t="s">
        <v>98</v>
      </c>
      <c r="F1002">
        <v>9</v>
      </c>
      <c r="G1002">
        <v>2600</v>
      </c>
      <c r="H1002">
        <v>3.1</v>
      </c>
      <c r="I1002">
        <v>22674.6</v>
      </c>
      <c r="J1002" t="s">
        <v>87</v>
      </c>
      <c r="K1002" t="s">
        <v>88</v>
      </c>
      <c r="L1002" t="s">
        <v>88</v>
      </c>
      <c r="M1002" t="s">
        <v>2784</v>
      </c>
      <c r="N1002" t="s">
        <v>2862</v>
      </c>
      <c r="O1002">
        <v>1052</v>
      </c>
      <c r="P1002">
        <v>2600</v>
      </c>
    </row>
    <row r="1003" spans="1:16" x14ac:dyDescent="0.3">
      <c r="A1003" t="s">
        <v>2389</v>
      </c>
      <c r="B1003" s="45">
        <v>45603</v>
      </c>
      <c r="C1003" t="s">
        <v>281</v>
      </c>
      <c r="D1003" t="s">
        <v>282</v>
      </c>
      <c r="E1003" t="s">
        <v>92</v>
      </c>
      <c r="F1003">
        <v>10</v>
      </c>
      <c r="G1003">
        <v>300</v>
      </c>
      <c r="H1003">
        <v>23.9</v>
      </c>
      <c r="I1003">
        <v>2283</v>
      </c>
      <c r="J1003" t="s">
        <v>87</v>
      </c>
      <c r="K1003" t="s">
        <v>88</v>
      </c>
      <c r="L1003" t="s">
        <v>88</v>
      </c>
      <c r="M1003" t="s">
        <v>2784</v>
      </c>
      <c r="N1003" t="s">
        <v>2855</v>
      </c>
      <c r="O1003">
        <v>128</v>
      </c>
      <c r="P1003">
        <v>300</v>
      </c>
    </row>
    <row r="1004" spans="1:16" x14ac:dyDescent="0.3">
      <c r="A1004" t="s">
        <v>2401</v>
      </c>
      <c r="B1004" s="45">
        <v>45367</v>
      </c>
      <c r="C1004" t="s">
        <v>328</v>
      </c>
      <c r="D1004" t="s">
        <v>135</v>
      </c>
      <c r="E1004" t="s">
        <v>103</v>
      </c>
      <c r="F1004">
        <v>8</v>
      </c>
      <c r="G1004">
        <v>2640</v>
      </c>
      <c r="H1004">
        <v>11.8</v>
      </c>
      <c r="I1004">
        <v>18627.84</v>
      </c>
      <c r="J1004" t="s">
        <v>87</v>
      </c>
      <c r="K1004" t="s">
        <v>94</v>
      </c>
      <c r="L1004" t="s">
        <v>94</v>
      </c>
      <c r="M1004" t="s">
        <v>2784</v>
      </c>
      <c r="N1004" t="s">
        <v>2862</v>
      </c>
      <c r="O1004">
        <v>1149</v>
      </c>
      <c r="P1004">
        <v>2640</v>
      </c>
    </row>
    <row r="1005" spans="1:16" x14ac:dyDescent="0.3">
      <c r="A1005" t="s">
        <v>2407</v>
      </c>
      <c r="B1005" s="45">
        <v>45555</v>
      </c>
      <c r="C1005" t="s">
        <v>493</v>
      </c>
      <c r="D1005" t="s">
        <v>187</v>
      </c>
      <c r="E1005" t="s">
        <v>111</v>
      </c>
      <c r="F1005">
        <v>10</v>
      </c>
      <c r="G1005">
        <v>3570</v>
      </c>
      <c r="H1005">
        <v>3</v>
      </c>
      <c r="I1005">
        <v>34629</v>
      </c>
      <c r="J1005" t="s">
        <v>140</v>
      </c>
      <c r="K1005" t="s">
        <v>88</v>
      </c>
      <c r="L1005" t="s">
        <v>88</v>
      </c>
      <c r="M1005" t="s">
        <v>2784</v>
      </c>
      <c r="N1005" t="s">
        <v>2879</v>
      </c>
      <c r="O1005">
        <v>1665</v>
      </c>
      <c r="P1005">
        <v>3570</v>
      </c>
    </row>
    <row r="1006" spans="1:16" x14ac:dyDescent="0.3">
      <c r="A1006" t="s">
        <v>2419</v>
      </c>
      <c r="B1006" s="45">
        <v>45634</v>
      </c>
      <c r="C1006" t="s">
        <v>779</v>
      </c>
      <c r="D1006" t="s">
        <v>279</v>
      </c>
      <c r="E1006" t="s">
        <v>154</v>
      </c>
      <c r="F1006">
        <v>5</v>
      </c>
      <c r="G1006">
        <v>2660</v>
      </c>
      <c r="H1006">
        <v>4.7</v>
      </c>
      <c r="I1006">
        <v>12674.9</v>
      </c>
      <c r="J1006" t="s">
        <v>87</v>
      </c>
      <c r="K1006" t="s">
        <v>117</v>
      </c>
      <c r="L1006" t="s">
        <v>117</v>
      </c>
      <c r="M1006" t="s">
        <v>2784</v>
      </c>
      <c r="N1006" t="s">
        <v>2879</v>
      </c>
      <c r="O1006">
        <v>1259</v>
      </c>
      <c r="P1006">
        <v>2660</v>
      </c>
    </row>
    <row r="1007" spans="1:16" x14ac:dyDescent="0.3">
      <c r="A1007" t="s">
        <v>2446</v>
      </c>
      <c r="B1007" s="45">
        <v>45592</v>
      </c>
      <c r="C1007" t="s">
        <v>96</v>
      </c>
      <c r="D1007" t="s">
        <v>282</v>
      </c>
      <c r="E1007" t="s">
        <v>325</v>
      </c>
      <c r="F1007">
        <v>3</v>
      </c>
      <c r="G1007">
        <v>300</v>
      </c>
      <c r="H1007">
        <v>24.8</v>
      </c>
      <c r="I1007">
        <v>676.8</v>
      </c>
      <c r="J1007" t="s">
        <v>87</v>
      </c>
      <c r="K1007" t="s">
        <v>99</v>
      </c>
      <c r="L1007" t="s">
        <v>99</v>
      </c>
      <c r="M1007" t="s">
        <v>2784</v>
      </c>
      <c r="N1007" t="s">
        <v>2871</v>
      </c>
      <c r="O1007">
        <v>128</v>
      </c>
      <c r="P1007">
        <v>300</v>
      </c>
    </row>
    <row r="1008" spans="1:16" x14ac:dyDescent="0.3">
      <c r="A1008" t="s">
        <v>2449</v>
      </c>
      <c r="B1008" s="45">
        <v>45350</v>
      </c>
      <c r="C1008" t="s">
        <v>856</v>
      </c>
      <c r="D1008" t="s">
        <v>135</v>
      </c>
      <c r="E1008" t="s">
        <v>107</v>
      </c>
      <c r="F1008">
        <v>3</v>
      </c>
      <c r="G1008">
        <v>2640</v>
      </c>
      <c r="H1008">
        <v>28.2</v>
      </c>
      <c r="I1008">
        <v>5686.56</v>
      </c>
      <c r="J1008" t="s">
        <v>144</v>
      </c>
      <c r="K1008" t="s">
        <v>88</v>
      </c>
      <c r="L1008" t="s">
        <v>88</v>
      </c>
      <c r="M1008" t="s">
        <v>2784</v>
      </c>
      <c r="N1008" t="s">
        <v>2862</v>
      </c>
      <c r="O1008">
        <v>1149</v>
      </c>
      <c r="P1008">
        <v>2640</v>
      </c>
    </row>
    <row r="1009" spans="1:16" x14ac:dyDescent="0.3">
      <c r="A1009" t="s">
        <v>2450</v>
      </c>
      <c r="B1009" s="45">
        <v>45507</v>
      </c>
      <c r="C1009" t="s">
        <v>1250</v>
      </c>
      <c r="D1009" t="s">
        <v>135</v>
      </c>
      <c r="E1009" t="s">
        <v>188</v>
      </c>
      <c r="F1009">
        <v>10</v>
      </c>
      <c r="G1009">
        <v>2640</v>
      </c>
      <c r="H1009">
        <v>25.9</v>
      </c>
      <c r="I1009">
        <v>19562.400000000001</v>
      </c>
      <c r="J1009" t="s">
        <v>87</v>
      </c>
      <c r="K1009" t="s">
        <v>88</v>
      </c>
      <c r="L1009" t="s">
        <v>88</v>
      </c>
      <c r="M1009" t="s">
        <v>2784</v>
      </c>
      <c r="N1009" t="s">
        <v>2871</v>
      </c>
      <c r="O1009">
        <v>1149</v>
      </c>
      <c r="P1009">
        <v>2640</v>
      </c>
    </row>
    <row r="1010" spans="1:16" x14ac:dyDescent="0.3">
      <c r="A1010" t="s">
        <v>2451</v>
      </c>
      <c r="B1010" s="45">
        <v>45538</v>
      </c>
      <c r="C1010" t="s">
        <v>705</v>
      </c>
      <c r="D1010" t="s">
        <v>120</v>
      </c>
      <c r="E1010" t="s">
        <v>170</v>
      </c>
      <c r="F1010">
        <v>2</v>
      </c>
      <c r="G1010">
        <v>1430</v>
      </c>
      <c r="H1010">
        <v>5</v>
      </c>
      <c r="I1010">
        <v>2717</v>
      </c>
      <c r="J1010" t="s">
        <v>140</v>
      </c>
      <c r="K1010" t="s">
        <v>99</v>
      </c>
      <c r="L1010" t="s">
        <v>99</v>
      </c>
      <c r="M1010" t="s">
        <v>2784</v>
      </c>
      <c r="N1010" t="s">
        <v>2855</v>
      </c>
      <c r="O1010">
        <v>861</v>
      </c>
      <c r="P1010">
        <v>1430</v>
      </c>
    </row>
    <row r="1011" spans="1:16" x14ac:dyDescent="0.3">
      <c r="A1011" t="s">
        <v>2452</v>
      </c>
      <c r="B1011" s="45">
        <v>45618</v>
      </c>
      <c r="C1011" t="s">
        <v>440</v>
      </c>
      <c r="D1011" t="s">
        <v>187</v>
      </c>
      <c r="E1011" t="s">
        <v>192</v>
      </c>
      <c r="F1011">
        <v>6</v>
      </c>
      <c r="G1011">
        <v>3570</v>
      </c>
      <c r="H1011">
        <v>28.5</v>
      </c>
      <c r="I1011">
        <v>15315.3</v>
      </c>
      <c r="J1011" t="s">
        <v>140</v>
      </c>
      <c r="K1011" t="s">
        <v>88</v>
      </c>
      <c r="L1011" t="s">
        <v>88</v>
      </c>
      <c r="M1011" t="s">
        <v>2784</v>
      </c>
      <c r="N1011" t="s">
        <v>2879</v>
      </c>
      <c r="O1011">
        <v>1665</v>
      </c>
      <c r="P1011">
        <v>3570</v>
      </c>
    </row>
    <row r="1012" spans="1:16" x14ac:dyDescent="0.3">
      <c r="A1012" t="s">
        <v>2453</v>
      </c>
      <c r="B1012" s="45">
        <v>45444</v>
      </c>
      <c r="C1012" t="s">
        <v>397</v>
      </c>
      <c r="D1012" t="s">
        <v>187</v>
      </c>
      <c r="E1012" t="s">
        <v>116</v>
      </c>
      <c r="F1012">
        <v>1</v>
      </c>
      <c r="G1012">
        <v>3570</v>
      </c>
      <c r="H1012">
        <v>7.7</v>
      </c>
      <c r="I1012">
        <v>3295.11</v>
      </c>
      <c r="J1012" t="s">
        <v>87</v>
      </c>
      <c r="K1012" t="s">
        <v>99</v>
      </c>
      <c r="L1012" t="s">
        <v>99</v>
      </c>
      <c r="M1012" t="s">
        <v>2784</v>
      </c>
      <c r="N1012" t="s">
        <v>2879</v>
      </c>
      <c r="O1012">
        <v>1665</v>
      </c>
      <c r="P1012">
        <v>3570</v>
      </c>
    </row>
    <row r="1013" spans="1:16" x14ac:dyDescent="0.3">
      <c r="A1013" t="s">
        <v>2454</v>
      </c>
      <c r="B1013" s="45">
        <v>45377</v>
      </c>
      <c r="C1013" t="s">
        <v>1294</v>
      </c>
      <c r="D1013" t="s">
        <v>248</v>
      </c>
      <c r="E1013" t="s">
        <v>170</v>
      </c>
      <c r="F1013">
        <v>9</v>
      </c>
      <c r="G1013">
        <v>3870</v>
      </c>
      <c r="H1013">
        <v>11.9</v>
      </c>
      <c r="I1013">
        <v>30685.23</v>
      </c>
      <c r="J1013" t="s">
        <v>140</v>
      </c>
      <c r="K1013" t="s">
        <v>94</v>
      </c>
      <c r="L1013" t="s">
        <v>94</v>
      </c>
      <c r="M1013" t="s">
        <v>2784</v>
      </c>
      <c r="N1013" t="s">
        <v>2862</v>
      </c>
      <c r="O1013">
        <v>1559</v>
      </c>
      <c r="P1013">
        <v>3870</v>
      </c>
    </row>
    <row r="1014" spans="1:16" x14ac:dyDescent="0.3">
      <c r="A1014" t="s">
        <v>2458</v>
      </c>
      <c r="B1014" s="45">
        <v>45633</v>
      </c>
      <c r="C1014" t="s">
        <v>613</v>
      </c>
      <c r="D1014" t="s">
        <v>267</v>
      </c>
      <c r="E1014" t="s">
        <v>128</v>
      </c>
      <c r="F1014">
        <v>4</v>
      </c>
      <c r="G1014">
        <v>1220</v>
      </c>
      <c r="H1014">
        <v>2.7</v>
      </c>
      <c r="I1014">
        <v>4748.24</v>
      </c>
      <c r="J1014" t="s">
        <v>87</v>
      </c>
      <c r="K1014" t="s">
        <v>112</v>
      </c>
      <c r="L1014" t="s">
        <v>112</v>
      </c>
      <c r="M1014" t="s">
        <v>2784</v>
      </c>
      <c r="N1014" t="s">
        <v>2862</v>
      </c>
      <c r="O1014">
        <v>517</v>
      </c>
      <c r="P1014">
        <v>1220</v>
      </c>
    </row>
    <row r="1015" spans="1:16" x14ac:dyDescent="0.3">
      <c r="A1015" t="s">
        <v>2463</v>
      </c>
      <c r="B1015" s="45">
        <v>45317</v>
      </c>
      <c r="C1015" t="s">
        <v>779</v>
      </c>
      <c r="D1015" t="s">
        <v>279</v>
      </c>
      <c r="E1015" t="s">
        <v>86</v>
      </c>
      <c r="F1015">
        <v>3</v>
      </c>
      <c r="G1015">
        <v>2660</v>
      </c>
      <c r="H1015">
        <v>15</v>
      </c>
      <c r="I1015">
        <v>6783</v>
      </c>
      <c r="J1015" t="s">
        <v>87</v>
      </c>
      <c r="K1015" t="s">
        <v>117</v>
      </c>
      <c r="L1015" t="s">
        <v>117</v>
      </c>
      <c r="M1015" t="s">
        <v>2784</v>
      </c>
      <c r="N1015" t="s">
        <v>2879</v>
      </c>
      <c r="O1015">
        <v>1259</v>
      </c>
      <c r="P1015">
        <v>2660</v>
      </c>
    </row>
    <row r="1016" spans="1:16" x14ac:dyDescent="0.3">
      <c r="A1016" t="s">
        <v>2468</v>
      </c>
      <c r="B1016" s="45">
        <v>45340</v>
      </c>
      <c r="C1016" t="s">
        <v>324</v>
      </c>
      <c r="D1016" t="s">
        <v>267</v>
      </c>
      <c r="E1016" t="s">
        <v>128</v>
      </c>
      <c r="F1016">
        <v>9</v>
      </c>
      <c r="G1016">
        <v>1220</v>
      </c>
      <c r="H1016">
        <v>16.600000000000001</v>
      </c>
      <c r="I1016">
        <v>9157.32</v>
      </c>
      <c r="J1016" t="s">
        <v>87</v>
      </c>
      <c r="K1016" t="s">
        <v>133</v>
      </c>
      <c r="L1016" t="s">
        <v>133</v>
      </c>
      <c r="M1016" t="s">
        <v>2784</v>
      </c>
      <c r="N1016" t="s">
        <v>2879</v>
      </c>
      <c r="O1016">
        <v>517</v>
      </c>
      <c r="P1016">
        <v>1220</v>
      </c>
    </row>
    <row r="1017" spans="1:16" x14ac:dyDescent="0.3">
      <c r="A1017" t="s">
        <v>2471</v>
      </c>
      <c r="B1017" s="45">
        <v>45439</v>
      </c>
      <c r="C1017" t="s">
        <v>874</v>
      </c>
      <c r="D1017" t="s">
        <v>138</v>
      </c>
      <c r="E1017" t="s">
        <v>204</v>
      </c>
      <c r="F1017">
        <v>4</v>
      </c>
      <c r="G1017">
        <v>2600</v>
      </c>
      <c r="H1017">
        <v>29.1</v>
      </c>
      <c r="I1017">
        <v>7373.6</v>
      </c>
      <c r="J1017" t="s">
        <v>87</v>
      </c>
      <c r="K1017" t="s">
        <v>112</v>
      </c>
      <c r="L1017" t="s">
        <v>112</v>
      </c>
      <c r="M1017" t="s">
        <v>2784</v>
      </c>
      <c r="N1017" t="s">
        <v>2855</v>
      </c>
      <c r="O1017">
        <v>1052</v>
      </c>
      <c r="P1017">
        <v>2600</v>
      </c>
    </row>
    <row r="1018" spans="1:16" x14ac:dyDescent="0.3">
      <c r="A1018" t="s">
        <v>2482</v>
      </c>
      <c r="B1018" s="45">
        <v>45356</v>
      </c>
      <c r="C1018" t="s">
        <v>602</v>
      </c>
      <c r="D1018" t="s">
        <v>120</v>
      </c>
      <c r="E1018" t="s">
        <v>273</v>
      </c>
      <c r="F1018">
        <v>10</v>
      </c>
      <c r="G1018">
        <v>1430</v>
      </c>
      <c r="H1018">
        <v>3.5</v>
      </c>
      <c r="I1018">
        <v>13799.5</v>
      </c>
      <c r="J1018" t="s">
        <v>87</v>
      </c>
      <c r="K1018" t="s">
        <v>94</v>
      </c>
      <c r="L1018" t="s">
        <v>94</v>
      </c>
      <c r="M1018" t="s">
        <v>2784</v>
      </c>
      <c r="N1018" t="s">
        <v>2871</v>
      </c>
      <c r="O1018">
        <v>861</v>
      </c>
      <c r="P1018">
        <v>1430</v>
      </c>
    </row>
    <row r="1019" spans="1:16" x14ac:dyDescent="0.3">
      <c r="A1019" t="s">
        <v>2493</v>
      </c>
      <c r="B1019" s="45">
        <v>45451</v>
      </c>
      <c r="C1019" t="s">
        <v>697</v>
      </c>
      <c r="D1019" t="s">
        <v>364</v>
      </c>
      <c r="E1019" t="s">
        <v>343</v>
      </c>
      <c r="F1019">
        <v>1</v>
      </c>
      <c r="G1019">
        <v>5330</v>
      </c>
      <c r="H1019">
        <v>27.5</v>
      </c>
      <c r="I1019">
        <v>3864.25</v>
      </c>
      <c r="J1019" t="s">
        <v>87</v>
      </c>
      <c r="K1019" t="s">
        <v>133</v>
      </c>
      <c r="L1019" t="s">
        <v>133</v>
      </c>
      <c r="M1019" t="s">
        <v>2784</v>
      </c>
      <c r="N1019" t="s">
        <v>2879</v>
      </c>
      <c r="O1019">
        <v>2405</v>
      </c>
      <c r="P1019">
        <v>5330</v>
      </c>
    </row>
    <row r="1020" spans="1:16" x14ac:dyDescent="0.3">
      <c r="A1020" t="s">
        <v>2497</v>
      </c>
      <c r="B1020" s="45">
        <v>45585</v>
      </c>
      <c r="C1020" t="s">
        <v>563</v>
      </c>
      <c r="D1020" t="s">
        <v>408</v>
      </c>
      <c r="E1020" t="s">
        <v>238</v>
      </c>
      <c r="F1020">
        <v>6</v>
      </c>
      <c r="G1020">
        <v>3970</v>
      </c>
      <c r="H1020">
        <v>5.8</v>
      </c>
      <c r="I1020">
        <v>22438.44</v>
      </c>
      <c r="J1020" t="s">
        <v>93</v>
      </c>
      <c r="K1020" t="s">
        <v>88</v>
      </c>
      <c r="L1020" t="s">
        <v>88</v>
      </c>
      <c r="M1020" t="s">
        <v>2784</v>
      </c>
      <c r="N1020" t="s">
        <v>2871</v>
      </c>
      <c r="O1020">
        <v>2865</v>
      </c>
      <c r="P1020">
        <v>3970</v>
      </c>
    </row>
    <row r="1021" spans="1:16" x14ac:dyDescent="0.3">
      <c r="A1021" t="s">
        <v>100</v>
      </c>
      <c r="B1021" s="45">
        <v>45413</v>
      </c>
      <c r="C1021" t="s">
        <v>101</v>
      </c>
      <c r="D1021" t="s">
        <v>102</v>
      </c>
      <c r="E1021" t="s">
        <v>103</v>
      </c>
      <c r="F1021">
        <v>1</v>
      </c>
      <c r="G1021">
        <v>3660</v>
      </c>
      <c r="H1021">
        <v>15.7</v>
      </c>
      <c r="I1021">
        <v>3085.38</v>
      </c>
      <c r="J1021" t="s">
        <v>87</v>
      </c>
      <c r="K1021" t="s">
        <v>99</v>
      </c>
      <c r="L1021" t="s">
        <v>99</v>
      </c>
      <c r="M1021" t="s">
        <v>2806</v>
      </c>
      <c r="N1021" t="s">
        <v>2855</v>
      </c>
      <c r="O1021">
        <v>2214</v>
      </c>
      <c r="P1021">
        <v>3660</v>
      </c>
    </row>
    <row r="1022" spans="1:16" x14ac:dyDescent="0.3">
      <c r="A1022" t="s">
        <v>125</v>
      </c>
      <c r="B1022" s="45">
        <v>45396</v>
      </c>
      <c r="C1022" t="s">
        <v>126</v>
      </c>
      <c r="D1022" t="s">
        <v>127</v>
      </c>
      <c r="E1022" t="s">
        <v>128</v>
      </c>
      <c r="F1022">
        <v>3</v>
      </c>
      <c r="G1022">
        <v>970</v>
      </c>
      <c r="H1022">
        <v>1.2</v>
      </c>
      <c r="I1022">
        <v>2875.08</v>
      </c>
      <c r="J1022" t="s">
        <v>87</v>
      </c>
      <c r="K1022" t="s">
        <v>88</v>
      </c>
      <c r="L1022" t="s">
        <v>88</v>
      </c>
      <c r="M1022" t="s">
        <v>2806</v>
      </c>
      <c r="N1022" t="s">
        <v>2879</v>
      </c>
      <c r="O1022">
        <v>434</v>
      </c>
      <c r="P1022">
        <v>970</v>
      </c>
    </row>
    <row r="1023" spans="1:16" x14ac:dyDescent="0.3">
      <c r="A1023" t="s">
        <v>129</v>
      </c>
      <c r="B1023" s="45">
        <v>45560</v>
      </c>
      <c r="C1023" t="s">
        <v>130</v>
      </c>
      <c r="D1023" t="s">
        <v>131</v>
      </c>
      <c r="E1023" t="s">
        <v>132</v>
      </c>
      <c r="F1023">
        <v>7</v>
      </c>
      <c r="G1023">
        <v>2270</v>
      </c>
      <c r="H1023">
        <v>7.1</v>
      </c>
      <c r="I1023">
        <v>14761.81</v>
      </c>
      <c r="J1023" t="s">
        <v>93</v>
      </c>
      <c r="K1023" t="s">
        <v>133</v>
      </c>
      <c r="L1023" t="s">
        <v>133</v>
      </c>
      <c r="M1023" t="s">
        <v>2806</v>
      </c>
      <c r="N1023" t="s">
        <v>2862</v>
      </c>
      <c r="O1023">
        <v>1203</v>
      </c>
      <c r="P1023">
        <v>2270</v>
      </c>
    </row>
    <row r="1024" spans="1:16" x14ac:dyDescent="0.3">
      <c r="A1024" t="s">
        <v>152</v>
      </c>
      <c r="B1024" s="45">
        <v>45512</v>
      </c>
      <c r="C1024" t="s">
        <v>153</v>
      </c>
      <c r="D1024" t="s">
        <v>102</v>
      </c>
      <c r="E1024" t="s">
        <v>154</v>
      </c>
      <c r="F1024">
        <v>4</v>
      </c>
      <c r="G1024">
        <v>3660</v>
      </c>
      <c r="H1024">
        <v>2.6</v>
      </c>
      <c r="I1024">
        <v>14259.36</v>
      </c>
      <c r="J1024" t="s">
        <v>87</v>
      </c>
      <c r="K1024" t="s">
        <v>117</v>
      </c>
      <c r="L1024" t="s">
        <v>117</v>
      </c>
      <c r="M1024" t="s">
        <v>2806</v>
      </c>
      <c r="N1024" t="s">
        <v>2871</v>
      </c>
      <c r="O1024">
        <v>2214</v>
      </c>
      <c r="P1024">
        <v>3660</v>
      </c>
    </row>
    <row r="1025" spans="1:16" x14ac:dyDescent="0.3">
      <c r="A1025" t="s">
        <v>196</v>
      </c>
      <c r="B1025" s="45">
        <v>45569</v>
      </c>
      <c r="C1025" t="s">
        <v>197</v>
      </c>
      <c r="D1025" t="s">
        <v>127</v>
      </c>
      <c r="E1025" t="s">
        <v>103</v>
      </c>
      <c r="F1025">
        <v>7</v>
      </c>
      <c r="G1025">
        <v>970</v>
      </c>
      <c r="H1025">
        <v>29.8</v>
      </c>
      <c r="I1025">
        <v>4766.58</v>
      </c>
      <c r="J1025" t="s">
        <v>87</v>
      </c>
      <c r="K1025" t="s">
        <v>88</v>
      </c>
      <c r="L1025" t="s">
        <v>88</v>
      </c>
      <c r="M1025" t="s">
        <v>2806</v>
      </c>
      <c r="N1025" t="s">
        <v>2855</v>
      </c>
      <c r="O1025">
        <v>434</v>
      </c>
      <c r="P1025">
        <v>970</v>
      </c>
    </row>
    <row r="1026" spans="1:16" x14ac:dyDescent="0.3">
      <c r="A1026" t="s">
        <v>198</v>
      </c>
      <c r="B1026" s="45">
        <v>45641</v>
      </c>
      <c r="C1026" t="s">
        <v>199</v>
      </c>
      <c r="D1026" t="s">
        <v>200</v>
      </c>
      <c r="E1026" t="s">
        <v>201</v>
      </c>
      <c r="F1026">
        <v>4</v>
      </c>
      <c r="G1026">
        <v>2760</v>
      </c>
      <c r="H1026">
        <v>5.9</v>
      </c>
      <c r="I1026">
        <v>10388.64</v>
      </c>
      <c r="J1026" t="s">
        <v>87</v>
      </c>
      <c r="K1026" t="s">
        <v>133</v>
      </c>
      <c r="L1026" t="s">
        <v>133</v>
      </c>
      <c r="M1026" t="s">
        <v>2806</v>
      </c>
      <c r="N1026" t="s">
        <v>2879</v>
      </c>
      <c r="O1026">
        <v>1435</v>
      </c>
      <c r="P1026">
        <v>2760</v>
      </c>
    </row>
    <row r="1027" spans="1:16" x14ac:dyDescent="0.3">
      <c r="A1027" t="s">
        <v>232</v>
      </c>
      <c r="B1027" s="45">
        <v>45312</v>
      </c>
      <c r="C1027" t="s">
        <v>233</v>
      </c>
      <c r="D1027" t="s">
        <v>234</v>
      </c>
      <c r="E1027" t="s">
        <v>188</v>
      </c>
      <c r="F1027">
        <v>9</v>
      </c>
      <c r="G1027">
        <v>3780</v>
      </c>
      <c r="H1027">
        <v>8.6999999999999993</v>
      </c>
      <c r="I1027">
        <v>31060.26</v>
      </c>
      <c r="J1027" t="s">
        <v>93</v>
      </c>
      <c r="K1027" t="s">
        <v>88</v>
      </c>
      <c r="L1027" t="s">
        <v>88</v>
      </c>
      <c r="M1027" t="s">
        <v>2806</v>
      </c>
      <c r="N1027" t="s">
        <v>2862</v>
      </c>
      <c r="O1027">
        <v>2436</v>
      </c>
      <c r="P1027">
        <v>3780</v>
      </c>
    </row>
    <row r="1028" spans="1:16" x14ac:dyDescent="0.3">
      <c r="A1028" t="s">
        <v>242</v>
      </c>
      <c r="B1028" s="45">
        <v>45389</v>
      </c>
      <c r="C1028" t="s">
        <v>186</v>
      </c>
      <c r="D1028" t="s">
        <v>127</v>
      </c>
      <c r="E1028" t="s">
        <v>86</v>
      </c>
      <c r="F1028">
        <v>10</v>
      </c>
      <c r="G1028">
        <v>970</v>
      </c>
      <c r="H1028">
        <v>0.6</v>
      </c>
      <c r="I1028">
        <v>9641.7999999999993</v>
      </c>
      <c r="J1028" t="s">
        <v>140</v>
      </c>
      <c r="K1028" t="s">
        <v>94</v>
      </c>
      <c r="L1028" t="s">
        <v>94</v>
      </c>
      <c r="M1028" t="s">
        <v>2806</v>
      </c>
      <c r="N1028" t="s">
        <v>2855</v>
      </c>
      <c r="O1028">
        <v>434</v>
      </c>
      <c r="P1028">
        <v>970</v>
      </c>
    </row>
    <row r="1029" spans="1:16" x14ac:dyDescent="0.3">
      <c r="A1029" t="s">
        <v>243</v>
      </c>
      <c r="B1029" s="45">
        <v>45565</v>
      </c>
      <c r="C1029" t="s">
        <v>244</v>
      </c>
      <c r="D1029" t="s">
        <v>245</v>
      </c>
      <c r="E1029" t="s">
        <v>128</v>
      </c>
      <c r="F1029">
        <v>1</v>
      </c>
      <c r="G1029">
        <v>2270</v>
      </c>
      <c r="H1029">
        <v>11.5</v>
      </c>
      <c r="I1029">
        <v>2008.95</v>
      </c>
      <c r="J1029" t="s">
        <v>93</v>
      </c>
      <c r="K1029" t="s">
        <v>94</v>
      </c>
      <c r="L1029" t="s">
        <v>94</v>
      </c>
      <c r="M1029" t="s">
        <v>2806</v>
      </c>
      <c r="N1029" t="s">
        <v>2879</v>
      </c>
      <c r="O1029">
        <v>1412</v>
      </c>
      <c r="P1029">
        <v>2270</v>
      </c>
    </row>
    <row r="1030" spans="1:16" x14ac:dyDescent="0.3">
      <c r="A1030" t="s">
        <v>251</v>
      </c>
      <c r="B1030" s="45">
        <v>45616</v>
      </c>
      <c r="C1030" t="s">
        <v>105</v>
      </c>
      <c r="D1030" t="s">
        <v>234</v>
      </c>
      <c r="E1030" t="s">
        <v>252</v>
      </c>
      <c r="F1030">
        <v>5</v>
      </c>
      <c r="G1030">
        <v>3780</v>
      </c>
      <c r="H1030">
        <v>18.5</v>
      </c>
      <c r="I1030">
        <v>15403.5</v>
      </c>
      <c r="J1030" t="s">
        <v>87</v>
      </c>
      <c r="K1030" t="s">
        <v>94</v>
      </c>
      <c r="L1030" t="s">
        <v>94</v>
      </c>
      <c r="M1030" t="s">
        <v>2806</v>
      </c>
      <c r="N1030" t="s">
        <v>2862</v>
      </c>
      <c r="O1030">
        <v>2436</v>
      </c>
      <c r="P1030">
        <v>3780</v>
      </c>
    </row>
    <row r="1031" spans="1:16" x14ac:dyDescent="0.3">
      <c r="A1031" t="s">
        <v>262</v>
      </c>
      <c r="B1031" s="45">
        <v>45573</v>
      </c>
      <c r="C1031" t="s">
        <v>263</v>
      </c>
      <c r="D1031" t="s">
        <v>264</v>
      </c>
      <c r="E1031" t="s">
        <v>86</v>
      </c>
      <c r="F1031">
        <v>1</v>
      </c>
      <c r="G1031">
        <v>4070</v>
      </c>
      <c r="H1031">
        <v>6.7</v>
      </c>
      <c r="I1031">
        <v>3797.31</v>
      </c>
      <c r="J1031" t="s">
        <v>87</v>
      </c>
      <c r="K1031" t="s">
        <v>133</v>
      </c>
      <c r="L1031" t="s">
        <v>133</v>
      </c>
      <c r="M1031" t="s">
        <v>2806</v>
      </c>
      <c r="N1031" t="s">
        <v>2855</v>
      </c>
      <c r="O1031">
        <v>2027</v>
      </c>
      <c r="P1031">
        <v>4070</v>
      </c>
    </row>
    <row r="1032" spans="1:16" x14ac:dyDescent="0.3">
      <c r="A1032" t="s">
        <v>287</v>
      </c>
      <c r="B1032" s="45">
        <v>45499</v>
      </c>
      <c r="C1032" t="s">
        <v>90</v>
      </c>
      <c r="D1032" t="s">
        <v>200</v>
      </c>
      <c r="E1032" t="s">
        <v>128</v>
      </c>
      <c r="F1032">
        <v>1</v>
      </c>
      <c r="G1032">
        <v>2760</v>
      </c>
      <c r="H1032">
        <v>4.8</v>
      </c>
      <c r="I1032">
        <v>2627.52</v>
      </c>
      <c r="J1032" t="s">
        <v>87</v>
      </c>
      <c r="K1032" t="s">
        <v>94</v>
      </c>
      <c r="L1032" t="s">
        <v>94</v>
      </c>
      <c r="M1032" t="s">
        <v>2806</v>
      </c>
      <c r="N1032" t="s">
        <v>2879</v>
      </c>
      <c r="O1032">
        <v>1435</v>
      </c>
      <c r="P1032">
        <v>2760</v>
      </c>
    </row>
    <row r="1033" spans="1:16" x14ac:dyDescent="0.3">
      <c r="A1033" t="s">
        <v>298</v>
      </c>
      <c r="B1033" s="45">
        <v>45346</v>
      </c>
      <c r="C1033" t="s">
        <v>299</v>
      </c>
      <c r="D1033" t="s">
        <v>127</v>
      </c>
      <c r="E1033" t="s">
        <v>215</v>
      </c>
      <c r="F1033">
        <v>5</v>
      </c>
      <c r="G1033">
        <v>970</v>
      </c>
      <c r="H1033">
        <v>12.2</v>
      </c>
      <c r="I1033">
        <v>4258.3</v>
      </c>
      <c r="J1033" t="s">
        <v>87</v>
      </c>
      <c r="K1033" t="s">
        <v>133</v>
      </c>
      <c r="L1033" t="s">
        <v>133</v>
      </c>
      <c r="M1033" t="s">
        <v>2806</v>
      </c>
      <c r="N1033" t="s">
        <v>2855</v>
      </c>
      <c r="O1033">
        <v>434</v>
      </c>
      <c r="P1033">
        <v>970</v>
      </c>
    </row>
    <row r="1034" spans="1:16" x14ac:dyDescent="0.3">
      <c r="A1034" t="s">
        <v>304</v>
      </c>
      <c r="B1034" s="45">
        <v>45500</v>
      </c>
      <c r="C1034" t="s">
        <v>305</v>
      </c>
      <c r="D1034" t="s">
        <v>127</v>
      </c>
      <c r="E1034" t="s">
        <v>132</v>
      </c>
      <c r="F1034">
        <v>3</v>
      </c>
      <c r="G1034">
        <v>970</v>
      </c>
      <c r="H1034">
        <v>4.3</v>
      </c>
      <c r="I1034">
        <v>2784.87</v>
      </c>
      <c r="J1034" t="s">
        <v>140</v>
      </c>
      <c r="K1034" t="s">
        <v>133</v>
      </c>
      <c r="L1034" t="s">
        <v>133</v>
      </c>
      <c r="M1034" t="s">
        <v>2806</v>
      </c>
      <c r="N1034" t="s">
        <v>2862</v>
      </c>
      <c r="O1034">
        <v>434</v>
      </c>
      <c r="P1034">
        <v>970</v>
      </c>
    </row>
    <row r="1035" spans="1:16" x14ac:dyDescent="0.3">
      <c r="A1035" t="s">
        <v>306</v>
      </c>
      <c r="B1035" s="45">
        <v>45375</v>
      </c>
      <c r="C1035" t="s">
        <v>142</v>
      </c>
      <c r="D1035" t="s">
        <v>200</v>
      </c>
      <c r="E1035" t="s">
        <v>285</v>
      </c>
      <c r="F1035">
        <v>6</v>
      </c>
      <c r="G1035">
        <v>2760</v>
      </c>
      <c r="H1035">
        <v>19.899999999999999</v>
      </c>
      <c r="I1035">
        <v>13264.56</v>
      </c>
      <c r="J1035" t="s">
        <v>93</v>
      </c>
      <c r="K1035" t="s">
        <v>88</v>
      </c>
      <c r="L1035" t="s">
        <v>88</v>
      </c>
      <c r="M1035" t="s">
        <v>2806</v>
      </c>
      <c r="N1035" t="s">
        <v>2871</v>
      </c>
      <c r="O1035">
        <v>1435</v>
      </c>
      <c r="P1035">
        <v>2760</v>
      </c>
    </row>
    <row r="1036" spans="1:16" x14ac:dyDescent="0.3">
      <c r="A1036" t="s">
        <v>307</v>
      </c>
      <c r="B1036" s="45">
        <v>45443</v>
      </c>
      <c r="C1036" t="s">
        <v>308</v>
      </c>
      <c r="D1036" t="s">
        <v>200</v>
      </c>
      <c r="E1036" t="s">
        <v>121</v>
      </c>
      <c r="F1036">
        <v>7</v>
      </c>
      <c r="G1036">
        <v>2760</v>
      </c>
      <c r="H1036">
        <v>25.2</v>
      </c>
      <c r="I1036">
        <v>14451.36</v>
      </c>
      <c r="J1036" t="s">
        <v>87</v>
      </c>
      <c r="K1036" t="s">
        <v>88</v>
      </c>
      <c r="L1036" t="s">
        <v>88</v>
      </c>
      <c r="M1036" t="s">
        <v>2806</v>
      </c>
      <c r="N1036" t="s">
        <v>2871</v>
      </c>
      <c r="O1036">
        <v>1435</v>
      </c>
      <c r="P1036">
        <v>2760</v>
      </c>
    </row>
    <row r="1037" spans="1:16" x14ac:dyDescent="0.3">
      <c r="A1037" t="s">
        <v>313</v>
      </c>
      <c r="B1037" s="45">
        <v>45498</v>
      </c>
      <c r="C1037" t="s">
        <v>314</v>
      </c>
      <c r="D1037" t="s">
        <v>264</v>
      </c>
      <c r="E1037" t="s">
        <v>170</v>
      </c>
      <c r="F1037">
        <v>9</v>
      </c>
      <c r="G1037">
        <v>4070</v>
      </c>
      <c r="H1037">
        <v>28.8</v>
      </c>
      <c r="I1037">
        <v>26080.560000000001</v>
      </c>
      <c r="J1037" t="s">
        <v>87</v>
      </c>
      <c r="K1037" t="s">
        <v>88</v>
      </c>
      <c r="L1037" t="s">
        <v>88</v>
      </c>
      <c r="M1037" t="s">
        <v>2806</v>
      </c>
      <c r="N1037" t="s">
        <v>2879</v>
      </c>
      <c r="O1037">
        <v>2027</v>
      </c>
      <c r="P1037">
        <v>4070</v>
      </c>
    </row>
    <row r="1038" spans="1:16" x14ac:dyDescent="0.3">
      <c r="A1038" t="s">
        <v>315</v>
      </c>
      <c r="B1038" s="45">
        <v>45515</v>
      </c>
      <c r="C1038" t="s">
        <v>316</v>
      </c>
      <c r="D1038" t="s">
        <v>131</v>
      </c>
      <c r="E1038" t="s">
        <v>92</v>
      </c>
      <c r="F1038">
        <v>2</v>
      </c>
      <c r="G1038">
        <v>2270</v>
      </c>
      <c r="H1038">
        <v>18</v>
      </c>
      <c r="I1038">
        <v>3722.8</v>
      </c>
      <c r="J1038" t="s">
        <v>144</v>
      </c>
      <c r="K1038" t="s">
        <v>88</v>
      </c>
      <c r="L1038" t="s">
        <v>88</v>
      </c>
      <c r="M1038" t="s">
        <v>2806</v>
      </c>
      <c r="N1038" t="s">
        <v>2855</v>
      </c>
      <c r="O1038">
        <v>1203</v>
      </c>
      <c r="P1038">
        <v>2270</v>
      </c>
    </row>
    <row r="1039" spans="1:16" x14ac:dyDescent="0.3">
      <c r="A1039" t="s">
        <v>334</v>
      </c>
      <c r="B1039" s="45">
        <v>45622</v>
      </c>
      <c r="C1039" t="s">
        <v>305</v>
      </c>
      <c r="D1039" t="s">
        <v>245</v>
      </c>
      <c r="E1039" t="s">
        <v>132</v>
      </c>
      <c r="F1039">
        <v>6</v>
      </c>
      <c r="G1039">
        <v>2270</v>
      </c>
      <c r="H1039">
        <v>2</v>
      </c>
      <c r="I1039">
        <v>13347.6</v>
      </c>
      <c r="J1039" t="s">
        <v>87</v>
      </c>
      <c r="K1039" t="s">
        <v>133</v>
      </c>
      <c r="L1039" t="s">
        <v>133</v>
      </c>
      <c r="M1039" t="s">
        <v>2806</v>
      </c>
      <c r="N1039" t="s">
        <v>2862</v>
      </c>
      <c r="O1039">
        <v>1412</v>
      </c>
      <c r="P1039">
        <v>2270</v>
      </c>
    </row>
    <row r="1040" spans="1:16" x14ac:dyDescent="0.3">
      <c r="A1040" t="s">
        <v>337</v>
      </c>
      <c r="B1040" s="45">
        <v>45380</v>
      </c>
      <c r="C1040" t="s">
        <v>289</v>
      </c>
      <c r="D1040" t="s">
        <v>338</v>
      </c>
      <c r="E1040" t="s">
        <v>215</v>
      </c>
      <c r="F1040">
        <v>9</v>
      </c>
      <c r="G1040">
        <v>2210</v>
      </c>
      <c r="H1040">
        <v>12.4</v>
      </c>
      <c r="I1040">
        <v>17423.64</v>
      </c>
      <c r="J1040" t="s">
        <v>87</v>
      </c>
      <c r="K1040" t="s">
        <v>94</v>
      </c>
      <c r="L1040" t="s">
        <v>94</v>
      </c>
      <c r="M1040" t="s">
        <v>2806</v>
      </c>
      <c r="N1040" t="s">
        <v>2855</v>
      </c>
      <c r="O1040">
        <v>1010</v>
      </c>
      <c r="P1040">
        <v>2210</v>
      </c>
    </row>
    <row r="1041" spans="1:16" x14ac:dyDescent="0.3">
      <c r="A1041" t="s">
        <v>349</v>
      </c>
      <c r="B1041" s="45">
        <v>45458</v>
      </c>
      <c r="C1041" t="s">
        <v>350</v>
      </c>
      <c r="D1041" t="s">
        <v>351</v>
      </c>
      <c r="E1041" t="s">
        <v>103</v>
      </c>
      <c r="F1041">
        <v>4</v>
      </c>
      <c r="G1041">
        <v>4060</v>
      </c>
      <c r="H1041">
        <v>13.9</v>
      </c>
      <c r="I1041">
        <v>13982.64</v>
      </c>
      <c r="J1041" t="s">
        <v>87</v>
      </c>
      <c r="K1041" t="s">
        <v>112</v>
      </c>
      <c r="L1041" t="s">
        <v>112</v>
      </c>
      <c r="M1041" t="s">
        <v>2806</v>
      </c>
      <c r="N1041" t="s">
        <v>2855</v>
      </c>
      <c r="O1041">
        <v>2911</v>
      </c>
      <c r="P1041">
        <v>4060</v>
      </c>
    </row>
    <row r="1042" spans="1:16" x14ac:dyDescent="0.3">
      <c r="A1042" t="s">
        <v>365</v>
      </c>
      <c r="B1042" s="45">
        <v>45640</v>
      </c>
      <c r="C1042" t="s">
        <v>366</v>
      </c>
      <c r="D1042" t="s">
        <v>367</v>
      </c>
      <c r="E1042" t="s">
        <v>238</v>
      </c>
      <c r="F1042">
        <v>4</v>
      </c>
      <c r="G1042">
        <v>2380</v>
      </c>
      <c r="H1042">
        <v>26.2</v>
      </c>
      <c r="I1042">
        <v>7025.76</v>
      </c>
      <c r="J1042" t="s">
        <v>87</v>
      </c>
      <c r="K1042" t="s">
        <v>112</v>
      </c>
      <c r="L1042" t="s">
        <v>112</v>
      </c>
      <c r="M1042" t="s">
        <v>2806</v>
      </c>
      <c r="N1042" t="s">
        <v>2871</v>
      </c>
      <c r="O1042">
        <v>1182</v>
      </c>
      <c r="P1042">
        <v>2380</v>
      </c>
    </row>
    <row r="1043" spans="1:16" x14ac:dyDescent="0.3">
      <c r="A1043" t="s">
        <v>370</v>
      </c>
      <c r="B1043" s="45">
        <v>45414</v>
      </c>
      <c r="C1043" t="s">
        <v>371</v>
      </c>
      <c r="D1043" t="s">
        <v>102</v>
      </c>
      <c r="E1043" t="s">
        <v>111</v>
      </c>
      <c r="F1043">
        <v>1</v>
      </c>
      <c r="G1043">
        <v>3660</v>
      </c>
      <c r="H1043">
        <v>1.3</v>
      </c>
      <c r="I1043">
        <v>3612.42</v>
      </c>
      <c r="J1043" t="s">
        <v>87</v>
      </c>
      <c r="K1043" t="s">
        <v>112</v>
      </c>
      <c r="L1043" t="s">
        <v>112</v>
      </c>
      <c r="M1043" t="s">
        <v>2806</v>
      </c>
      <c r="N1043" t="s">
        <v>2879</v>
      </c>
      <c r="O1043">
        <v>2214</v>
      </c>
      <c r="P1043">
        <v>3660</v>
      </c>
    </row>
    <row r="1044" spans="1:16" x14ac:dyDescent="0.3">
      <c r="A1044" t="s">
        <v>372</v>
      </c>
      <c r="B1044" s="45">
        <v>45592</v>
      </c>
      <c r="C1044" t="s">
        <v>373</v>
      </c>
      <c r="D1044" t="s">
        <v>264</v>
      </c>
      <c r="E1044" t="s">
        <v>252</v>
      </c>
      <c r="F1044">
        <v>2</v>
      </c>
      <c r="G1044">
        <v>4070</v>
      </c>
      <c r="H1044">
        <v>29</v>
      </c>
      <c r="I1044">
        <v>5779.4</v>
      </c>
      <c r="J1044" t="s">
        <v>140</v>
      </c>
      <c r="K1044" t="s">
        <v>88</v>
      </c>
      <c r="L1044" t="s">
        <v>88</v>
      </c>
      <c r="M1044" t="s">
        <v>2806</v>
      </c>
      <c r="N1044" t="s">
        <v>2862</v>
      </c>
      <c r="O1044">
        <v>2027</v>
      </c>
      <c r="P1044">
        <v>4070</v>
      </c>
    </row>
    <row r="1045" spans="1:16" x14ac:dyDescent="0.3">
      <c r="A1045" t="s">
        <v>409</v>
      </c>
      <c r="B1045" s="45">
        <v>45612</v>
      </c>
      <c r="C1045" t="s">
        <v>299</v>
      </c>
      <c r="D1045" t="s">
        <v>127</v>
      </c>
      <c r="E1045" t="s">
        <v>92</v>
      </c>
      <c r="F1045">
        <v>7</v>
      </c>
      <c r="G1045">
        <v>970</v>
      </c>
      <c r="H1045">
        <v>21.6</v>
      </c>
      <c r="I1045">
        <v>5323.36</v>
      </c>
      <c r="J1045" t="s">
        <v>93</v>
      </c>
      <c r="K1045" t="s">
        <v>133</v>
      </c>
      <c r="L1045" t="s">
        <v>133</v>
      </c>
      <c r="M1045" t="s">
        <v>2806</v>
      </c>
      <c r="N1045" t="s">
        <v>2855</v>
      </c>
      <c r="O1045">
        <v>434</v>
      </c>
      <c r="P1045">
        <v>970</v>
      </c>
    </row>
    <row r="1046" spans="1:16" x14ac:dyDescent="0.3">
      <c r="A1046" t="s">
        <v>412</v>
      </c>
      <c r="B1046" s="45">
        <v>45640</v>
      </c>
      <c r="C1046" t="s">
        <v>413</v>
      </c>
      <c r="D1046" t="s">
        <v>131</v>
      </c>
      <c r="E1046" t="s">
        <v>158</v>
      </c>
      <c r="F1046">
        <v>9</v>
      </c>
      <c r="G1046">
        <v>2270</v>
      </c>
      <c r="H1046">
        <v>13.2</v>
      </c>
      <c r="I1046">
        <v>17733.240000000002</v>
      </c>
      <c r="J1046" t="s">
        <v>93</v>
      </c>
      <c r="K1046" t="s">
        <v>88</v>
      </c>
      <c r="L1046" t="s">
        <v>88</v>
      </c>
      <c r="M1046" t="s">
        <v>2806</v>
      </c>
      <c r="N1046" t="s">
        <v>2871</v>
      </c>
      <c r="O1046">
        <v>1203</v>
      </c>
      <c r="P1046">
        <v>2270</v>
      </c>
    </row>
    <row r="1047" spans="1:16" x14ac:dyDescent="0.3">
      <c r="A1047" t="s">
        <v>419</v>
      </c>
      <c r="B1047" s="45">
        <v>45443</v>
      </c>
      <c r="C1047" t="s">
        <v>420</v>
      </c>
      <c r="D1047" t="s">
        <v>367</v>
      </c>
      <c r="E1047" t="s">
        <v>192</v>
      </c>
      <c r="F1047">
        <v>8</v>
      </c>
      <c r="G1047">
        <v>2380</v>
      </c>
      <c r="H1047">
        <v>4.2</v>
      </c>
      <c r="I1047">
        <v>18240.32</v>
      </c>
      <c r="J1047" t="s">
        <v>87</v>
      </c>
      <c r="K1047" t="s">
        <v>99</v>
      </c>
      <c r="L1047" t="s">
        <v>99</v>
      </c>
      <c r="M1047" t="s">
        <v>2806</v>
      </c>
      <c r="N1047" t="s">
        <v>2871</v>
      </c>
      <c r="O1047">
        <v>1182</v>
      </c>
      <c r="P1047">
        <v>2380</v>
      </c>
    </row>
    <row r="1048" spans="1:16" x14ac:dyDescent="0.3">
      <c r="A1048" t="s">
        <v>421</v>
      </c>
      <c r="B1048" s="45">
        <v>45301</v>
      </c>
      <c r="C1048" t="s">
        <v>422</v>
      </c>
      <c r="D1048" t="s">
        <v>338</v>
      </c>
      <c r="E1048" t="s">
        <v>252</v>
      </c>
      <c r="F1048">
        <v>8</v>
      </c>
      <c r="G1048">
        <v>2210</v>
      </c>
      <c r="H1048">
        <v>11.5</v>
      </c>
      <c r="I1048">
        <v>15646.8</v>
      </c>
      <c r="J1048" t="s">
        <v>87</v>
      </c>
      <c r="K1048" t="s">
        <v>94</v>
      </c>
      <c r="L1048" t="s">
        <v>94</v>
      </c>
      <c r="M1048" t="s">
        <v>2806</v>
      </c>
      <c r="N1048" t="s">
        <v>2862</v>
      </c>
      <c r="O1048">
        <v>1010</v>
      </c>
      <c r="P1048">
        <v>2210</v>
      </c>
    </row>
    <row r="1049" spans="1:16" x14ac:dyDescent="0.3">
      <c r="A1049" t="s">
        <v>430</v>
      </c>
      <c r="B1049" s="45">
        <v>45351</v>
      </c>
      <c r="C1049" t="s">
        <v>322</v>
      </c>
      <c r="D1049" t="s">
        <v>200</v>
      </c>
      <c r="E1049" t="s">
        <v>86</v>
      </c>
      <c r="F1049">
        <v>6</v>
      </c>
      <c r="G1049">
        <v>2760</v>
      </c>
      <c r="H1049">
        <v>19.8</v>
      </c>
      <c r="I1049">
        <v>13281.12</v>
      </c>
      <c r="J1049" t="s">
        <v>87</v>
      </c>
      <c r="K1049" t="s">
        <v>99</v>
      </c>
      <c r="L1049" t="s">
        <v>99</v>
      </c>
      <c r="M1049" t="s">
        <v>2806</v>
      </c>
      <c r="N1049" t="s">
        <v>2855</v>
      </c>
      <c r="O1049">
        <v>1435</v>
      </c>
      <c r="P1049">
        <v>2760</v>
      </c>
    </row>
    <row r="1050" spans="1:16" x14ac:dyDescent="0.3">
      <c r="A1050" t="s">
        <v>431</v>
      </c>
      <c r="B1050" s="45">
        <v>45604</v>
      </c>
      <c r="C1050" t="s">
        <v>371</v>
      </c>
      <c r="D1050" t="s">
        <v>245</v>
      </c>
      <c r="E1050" t="s">
        <v>121</v>
      </c>
      <c r="F1050">
        <v>9</v>
      </c>
      <c r="G1050">
        <v>2270</v>
      </c>
      <c r="H1050">
        <v>20.8</v>
      </c>
      <c r="I1050">
        <v>16180.56</v>
      </c>
      <c r="J1050" t="s">
        <v>140</v>
      </c>
      <c r="K1050" t="s">
        <v>112</v>
      </c>
      <c r="L1050" t="s">
        <v>112</v>
      </c>
      <c r="M1050" t="s">
        <v>2806</v>
      </c>
      <c r="N1050" t="s">
        <v>2871</v>
      </c>
      <c r="O1050">
        <v>1412</v>
      </c>
      <c r="P1050">
        <v>2270</v>
      </c>
    </row>
    <row r="1051" spans="1:16" x14ac:dyDescent="0.3">
      <c r="A1051" t="s">
        <v>433</v>
      </c>
      <c r="B1051" s="45">
        <v>45508</v>
      </c>
      <c r="C1051" t="s">
        <v>434</v>
      </c>
      <c r="D1051" t="s">
        <v>131</v>
      </c>
      <c r="E1051" t="s">
        <v>204</v>
      </c>
      <c r="F1051">
        <v>9</v>
      </c>
      <c r="G1051">
        <v>2270</v>
      </c>
      <c r="H1051">
        <v>6.8</v>
      </c>
      <c r="I1051">
        <v>19040.759999999998</v>
      </c>
      <c r="J1051" t="s">
        <v>87</v>
      </c>
      <c r="K1051" t="s">
        <v>99</v>
      </c>
      <c r="L1051" t="s">
        <v>99</v>
      </c>
      <c r="M1051" t="s">
        <v>2806</v>
      </c>
      <c r="N1051" t="s">
        <v>2862</v>
      </c>
      <c r="O1051">
        <v>1203</v>
      </c>
      <c r="P1051">
        <v>2270</v>
      </c>
    </row>
    <row r="1052" spans="1:16" x14ac:dyDescent="0.3">
      <c r="A1052" t="s">
        <v>436</v>
      </c>
      <c r="B1052" s="45">
        <v>45448</v>
      </c>
      <c r="C1052" t="s">
        <v>233</v>
      </c>
      <c r="D1052" t="s">
        <v>351</v>
      </c>
      <c r="E1052" t="s">
        <v>128</v>
      </c>
      <c r="F1052">
        <v>8</v>
      </c>
      <c r="G1052">
        <v>4060</v>
      </c>
      <c r="H1052">
        <v>20.9</v>
      </c>
      <c r="I1052">
        <v>25691.68</v>
      </c>
      <c r="J1052" t="s">
        <v>87</v>
      </c>
      <c r="K1052" t="s">
        <v>88</v>
      </c>
      <c r="L1052" t="s">
        <v>88</v>
      </c>
      <c r="M1052" t="s">
        <v>2806</v>
      </c>
      <c r="N1052" t="s">
        <v>2879</v>
      </c>
      <c r="O1052">
        <v>2911</v>
      </c>
      <c r="P1052">
        <v>4060</v>
      </c>
    </row>
    <row r="1053" spans="1:16" x14ac:dyDescent="0.3">
      <c r="A1053" t="s">
        <v>444</v>
      </c>
      <c r="B1053" s="45">
        <v>45422</v>
      </c>
      <c r="C1053" t="s">
        <v>308</v>
      </c>
      <c r="D1053" t="s">
        <v>264</v>
      </c>
      <c r="E1053" t="s">
        <v>325</v>
      </c>
      <c r="F1053">
        <v>6</v>
      </c>
      <c r="G1053">
        <v>4070</v>
      </c>
      <c r="H1053">
        <v>12.5</v>
      </c>
      <c r="I1053">
        <v>21367.5</v>
      </c>
      <c r="J1053" t="s">
        <v>87</v>
      </c>
      <c r="K1053" t="s">
        <v>88</v>
      </c>
      <c r="L1053" t="s">
        <v>88</v>
      </c>
      <c r="M1053" t="s">
        <v>2806</v>
      </c>
      <c r="N1053" t="s">
        <v>2862</v>
      </c>
      <c r="O1053">
        <v>2027</v>
      </c>
      <c r="P1053">
        <v>4070</v>
      </c>
    </row>
    <row r="1054" spans="1:16" x14ac:dyDescent="0.3">
      <c r="A1054" t="s">
        <v>453</v>
      </c>
      <c r="B1054" s="45">
        <v>45530</v>
      </c>
      <c r="C1054" t="s">
        <v>454</v>
      </c>
      <c r="D1054" t="s">
        <v>338</v>
      </c>
      <c r="E1054" t="s">
        <v>297</v>
      </c>
      <c r="F1054">
        <v>10</v>
      </c>
      <c r="G1054">
        <v>2210</v>
      </c>
      <c r="H1054">
        <v>18.8</v>
      </c>
      <c r="I1054">
        <v>17945.2</v>
      </c>
      <c r="J1054" t="s">
        <v>87</v>
      </c>
      <c r="K1054" t="s">
        <v>133</v>
      </c>
      <c r="L1054" t="s">
        <v>133</v>
      </c>
      <c r="M1054" t="s">
        <v>2806</v>
      </c>
      <c r="N1054" t="s">
        <v>2855</v>
      </c>
      <c r="O1054">
        <v>1010</v>
      </c>
      <c r="P1054">
        <v>2210</v>
      </c>
    </row>
    <row r="1055" spans="1:16" x14ac:dyDescent="0.3">
      <c r="A1055" t="s">
        <v>467</v>
      </c>
      <c r="B1055" s="45">
        <v>45579</v>
      </c>
      <c r="C1055" t="s">
        <v>150</v>
      </c>
      <c r="D1055" t="s">
        <v>127</v>
      </c>
      <c r="E1055" t="s">
        <v>201</v>
      </c>
      <c r="F1055">
        <v>9</v>
      </c>
      <c r="G1055">
        <v>970</v>
      </c>
      <c r="H1055">
        <v>18.2</v>
      </c>
      <c r="I1055">
        <v>7141.14</v>
      </c>
      <c r="J1055" t="s">
        <v>87</v>
      </c>
      <c r="K1055" t="s">
        <v>88</v>
      </c>
      <c r="L1055" t="s">
        <v>88</v>
      </c>
      <c r="M1055" t="s">
        <v>2806</v>
      </c>
      <c r="N1055" t="s">
        <v>2879</v>
      </c>
      <c r="O1055">
        <v>434</v>
      </c>
      <c r="P1055">
        <v>970</v>
      </c>
    </row>
    <row r="1056" spans="1:16" x14ac:dyDescent="0.3">
      <c r="A1056" t="s">
        <v>475</v>
      </c>
      <c r="B1056" s="45">
        <v>45489</v>
      </c>
      <c r="C1056" t="s">
        <v>451</v>
      </c>
      <c r="D1056" t="s">
        <v>245</v>
      </c>
      <c r="E1056" t="s">
        <v>285</v>
      </c>
      <c r="F1056">
        <v>7</v>
      </c>
      <c r="G1056">
        <v>2270</v>
      </c>
      <c r="H1056">
        <v>5.5</v>
      </c>
      <c r="I1056">
        <v>15016.05</v>
      </c>
      <c r="J1056" t="s">
        <v>87</v>
      </c>
      <c r="K1056" t="s">
        <v>99</v>
      </c>
      <c r="L1056" t="s">
        <v>99</v>
      </c>
      <c r="M1056" t="s">
        <v>2806</v>
      </c>
      <c r="N1056" t="s">
        <v>2871</v>
      </c>
      <c r="O1056">
        <v>1412</v>
      </c>
      <c r="P1056">
        <v>2270</v>
      </c>
    </row>
    <row r="1057" spans="1:16" x14ac:dyDescent="0.3">
      <c r="A1057" t="s">
        <v>480</v>
      </c>
      <c r="B1057" s="45">
        <v>45345</v>
      </c>
      <c r="C1057" t="s">
        <v>261</v>
      </c>
      <c r="D1057" t="s">
        <v>234</v>
      </c>
      <c r="E1057" t="s">
        <v>285</v>
      </c>
      <c r="F1057">
        <v>5</v>
      </c>
      <c r="G1057">
        <v>3780</v>
      </c>
      <c r="H1057">
        <v>28.6</v>
      </c>
      <c r="I1057">
        <v>13494.6</v>
      </c>
      <c r="J1057" t="s">
        <v>87</v>
      </c>
      <c r="K1057" t="s">
        <v>99</v>
      </c>
      <c r="L1057" t="s">
        <v>99</v>
      </c>
      <c r="M1057" t="s">
        <v>2806</v>
      </c>
      <c r="N1057" t="s">
        <v>2871</v>
      </c>
      <c r="O1057">
        <v>2436</v>
      </c>
      <c r="P1057">
        <v>3780</v>
      </c>
    </row>
    <row r="1058" spans="1:16" x14ac:dyDescent="0.3">
      <c r="A1058" t="s">
        <v>494</v>
      </c>
      <c r="B1058" s="45">
        <v>45524</v>
      </c>
      <c r="C1058" t="s">
        <v>150</v>
      </c>
      <c r="D1058" t="s">
        <v>264</v>
      </c>
      <c r="E1058" t="s">
        <v>215</v>
      </c>
      <c r="F1058">
        <v>8</v>
      </c>
      <c r="G1058">
        <v>4070</v>
      </c>
      <c r="H1058">
        <v>6.6</v>
      </c>
      <c r="I1058">
        <v>30411.040000000001</v>
      </c>
      <c r="J1058" t="s">
        <v>87</v>
      </c>
      <c r="K1058" t="s">
        <v>88</v>
      </c>
      <c r="L1058" t="s">
        <v>88</v>
      </c>
      <c r="M1058" t="s">
        <v>2806</v>
      </c>
      <c r="N1058" t="s">
        <v>2855</v>
      </c>
      <c r="O1058">
        <v>2027</v>
      </c>
      <c r="P1058">
        <v>4070</v>
      </c>
    </row>
    <row r="1059" spans="1:16" x14ac:dyDescent="0.3">
      <c r="A1059" t="s">
        <v>497</v>
      </c>
      <c r="B1059" s="45">
        <v>45333</v>
      </c>
      <c r="C1059" t="s">
        <v>324</v>
      </c>
      <c r="D1059" t="s">
        <v>200</v>
      </c>
      <c r="E1059" t="s">
        <v>128</v>
      </c>
      <c r="F1059">
        <v>10</v>
      </c>
      <c r="G1059">
        <v>2760</v>
      </c>
      <c r="H1059">
        <v>20.100000000000001</v>
      </c>
      <c r="I1059">
        <v>22052.400000000001</v>
      </c>
      <c r="J1059" t="s">
        <v>87</v>
      </c>
      <c r="K1059" t="s">
        <v>133</v>
      </c>
      <c r="L1059" t="s">
        <v>133</v>
      </c>
      <c r="M1059" t="s">
        <v>2806</v>
      </c>
      <c r="N1059" t="s">
        <v>2879</v>
      </c>
      <c r="O1059">
        <v>1435</v>
      </c>
      <c r="P1059">
        <v>2760</v>
      </c>
    </row>
    <row r="1060" spans="1:16" x14ac:dyDescent="0.3">
      <c r="A1060" t="s">
        <v>506</v>
      </c>
      <c r="B1060" s="45">
        <v>45605</v>
      </c>
      <c r="C1060" t="s">
        <v>507</v>
      </c>
      <c r="D1060" t="s">
        <v>245</v>
      </c>
      <c r="E1060" t="s">
        <v>92</v>
      </c>
      <c r="F1060">
        <v>4</v>
      </c>
      <c r="G1060">
        <v>2270</v>
      </c>
      <c r="H1060">
        <v>29</v>
      </c>
      <c r="I1060">
        <v>6446.8</v>
      </c>
      <c r="J1060" t="s">
        <v>87</v>
      </c>
      <c r="K1060" t="s">
        <v>88</v>
      </c>
      <c r="L1060" t="s">
        <v>88</v>
      </c>
      <c r="M1060" t="s">
        <v>2806</v>
      </c>
      <c r="N1060" t="s">
        <v>2855</v>
      </c>
      <c r="O1060">
        <v>1412</v>
      </c>
      <c r="P1060">
        <v>2270</v>
      </c>
    </row>
    <row r="1061" spans="1:16" x14ac:dyDescent="0.3">
      <c r="A1061" t="s">
        <v>511</v>
      </c>
      <c r="B1061" s="45">
        <v>45573</v>
      </c>
      <c r="C1061" t="s">
        <v>512</v>
      </c>
      <c r="D1061" t="s">
        <v>245</v>
      </c>
      <c r="E1061" t="s">
        <v>139</v>
      </c>
      <c r="F1061">
        <v>8</v>
      </c>
      <c r="G1061">
        <v>2270</v>
      </c>
      <c r="H1061">
        <v>15.6</v>
      </c>
      <c r="I1061">
        <v>15327.04</v>
      </c>
      <c r="J1061" t="s">
        <v>87</v>
      </c>
      <c r="K1061" t="s">
        <v>133</v>
      </c>
      <c r="L1061" t="s">
        <v>133</v>
      </c>
      <c r="M1061" t="s">
        <v>2806</v>
      </c>
      <c r="N1061" t="s">
        <v>2855</v>
      </c>
      <c r="O1061">
        <v>1412</v>
      </c>
      <c r="P1061">
        <v>2270</v>
      </c>
    </row>
    <row r="1062" spans="1:16" x14ac:dyDescent="0.3">
      <c r="A1062" t="s">
        <v>531</v>
      </c>
      <c r="B1062" s="45">
        <v>45538</v>
      </c>
      <c r="C1062" t="s">
        <v>385</v>
      </c>
      <c r="D1062" t="s">
        <v>200</v>
      </c>
      <c r="E1062" t="s">
        <v>188</v>
      </c>
      <c r="F1062">
        <v>6</v>
      </c>
      <c r="G1062">
        <v>2760</v>
      </c>
      <c r="H1062">
        <v>0.9</v>
      </c>
      <c r="I1062">
        <v>16410.96</v>
      </c>
      <c r="J1062" t="s">
        <v>87</v>
      </c>
      <c r="K1062" t="s">
        <v>117</v>
      </c>
      <c r="L1062" t="s">
        <v>117</v>
      </c>
      <c r="M1062" t="s">
        <v>2806</v>
      </c>
      <c r="N1062" t="s">
        <v>2862</v>
      </c>
      <c r="O1062">
        <v>1435</v>
      </c>
      <c r="P1062">
        <v>2760</v>
      </c>
    </row>
    <row r="1063" spans="1:16" x14ac:dyDescent="0.3">
      <c r="A1063" t="s">
        <v>548</v>
      </c>
      <c r="B1063" s="45">
        <v>45534</v>
      </c>
      <c r="C1063" t="s">
        <v>166</v>
      </c>
      <c r="D1063" t="s">
        <v>245</v>
      </c>
      <c r="E1063" t="s">
        <v>201</v>
      </c>
      <c r="F1063">
        <v>8</v>
      </c>
      <c r="G1063">
        <v>2270</v>
      </c>
      <c r="H1063">
        <v>19.600000000000001</v>
      </c>
      <c r="I1063">
        <v>14600.64</v>
      </c>
      <c r="J1063" t="s">
        <v>87</v>
      </c>
      <c r="K1063" t="s">
        <v>133</v>
      </c>
      <c r="L1063" t="s">
        <v>133</v>
      </c>
      <c r="M1063" t="s">
        <v>2806</v>
      </c>
      <c r="N1063" t="s">
        <v>2879</v>
      </c>
      <c r="O1063">
        <v>1412</v>
      </c>
      <c r="P1063">
        <v>2270</v>
      </c>
    </row>
    <row r="1064" spans="1:16" x14ac:dyDescent="0.3">
      <c r="A1064" t="s">
        <v>549</v>
      </c>
      <c r="B1064" s="45">
        <v>45639</v>
      </c>
      <c r="C1064" t="s">
        <v>266</v>
      </c>
      <c r="D1064" t="s">
        <v>234</v>
      </c>
      <c r="E1064" t="s">
        <v>252</v>
      </c>
      <c r="F1064">
        <v>1</v>
      </c>
      <c r="G1064">
        <v>3780</v>
      </c>
      <c r="H1064">
        <v>22.6</v>
      </c>
      <c r="I1064">
        <v>2925.72</v>
      </c>
      <c r="J1064" t="s">
        <v>87</v>
      </c>
      <c r="K1064" t="s">
        <v>99</v>
      </c>
      <c r="L1064" t="s">
        <v>99</v>
      </c>
      <c r="M1064" t="s">
        <v>2806</v>
      </c>
      <c r="N1064" t="s">
        <v>2862</v>
      </c>
      <c r="O1064">
        <v>2436</v>
      </c>
      <c r="P1064">
        <v>3780</v>
      </c>
    </row>
    <row r="1065" spans="1:16" x14ac:dyDescent="0.3">
      <c r="A1065" t="s">
        <v>550</v>
      </c>
      <c r="B1065" s="45">
        <v>45653</v>
      </c>
      <c r="C1065" t="s">
        <v>551</v>
      </c>
      <c r="D1065" t="s">
        <v>264</v>
      </c>
      <c r="E1065" t="s">
        <v>285</v>
      </c>
      <c r="F1065">
        <v>9</v>
      </c>
      <c r="G1065">
        <v>4070</v>
      </c>
      <c r="H1065">
        <v>28.2</v>
      </c>
      <c r="I1065">
        <v>26300.34</v>
      </c>
      <c r="J1065" t="s">
        <v>87</v>
      </c>
      <c r="K1065" t="s">
        <v>112</v>
      </c>
      <c r="L1065" t="s">
        <v>112</v>
      </c>
      <c r="M1065" t="s">
        <v>2806</v>
      </c>
      <c r="N1065" t="s">
        <v>2871</v>
      </c>
      <c r="O1065">
        <v>2027</v>
      </c>
      <c r="P1065">
        <v>4070</v>
      </c>
    </row>
    <row r="1066" spans="1:16" x14ac:dyDescent="0.3">
      <c r="A1066" t="s">
        <v>572</v>
      </c>
      <c r="B1066" s="45">
        <v>45585</v>
      </c>
      <c r="C1066" t="s">
        <v>539</v>
      </c>
      <c r="D1066" t="s">
        <v>131</v>
      </c>
      <c r="E1066" t="s">
        <v>98</v>
      </c>
      <c r="F1066">
        <v>5</v>
      </c>
      <c r="G1066">
        <v>2270</v>
      </c>
      <c r="H1066">
        <v>0.4</v>
      </c>
      <c r="I1066">
        <v>11304.6</v>
      </c>
      <c r="J1066" t="s">
        <v>140</v>
      </c>
      <c r="K1066" t="s">
        <v>133</v>
      </c>
      <c r="L1066" t="s">
        <v>133</v>
      </c>
      <c r="M1066" t="s">
        <v>2806</v>
      </c>
      <c r="N1066" t="s">
        <v>2862</v>
      </c>
      <c r="O1066">
        <v>1203</v>
      </c>
      <c r="P1066">
        <v>2270</v>
      </c>
    </row>
    <row r="1067" spans="1:16" x14ac:dyDescent="0.3">
      <c r="A1067" t="s">
        <v>574</v>
      </c>
      <c r="B1067" s="45">
        <v>45293</v>
      </c>
      <c r="C1067" t="s">
        <v>178</v>
      </c>
      <c r="D1067" t="s">
        <v>367</v>
      </c>
      <c r="E1067" t="s">
        <v>297</v>
      </c>
      <c r="F1067">
        <v>2</v>
      </c>
      <c r="G1067">
        <v>2380</v>
      </c>
      <c r="H1067">
        <v>2.2999999999999998</v>
      </c>
      <c r="I1067">
        <v>4650.5200000000004</v>
      </c>
      <c r="J1067" t="s">
        <v>87</v>
      </c>
      <c r="K1067" t="s">
        <v>94</v>
      </c>
      <c r="L1067" t="s">
        <v>94</v>
      </c>
      <c r="M1067" t="s">
        <v>2806</v>
      </c>
      <c r="N1067" t="s">
        <v>2855</v>
      </c>
      <c r="O1067">
        <v>1182</v>
      </c>
      <c r="P1067">
        <v>2380</v>
      </c>
    </row>
    <row r="1068" spans="1:16" x14ac:dyDescent="0.3">
      <c r="A1068" t="s">
        <v>579</v>
      </c>
      <c r="B1068" s="45">
        <v>45353</v>
      </c>
      <c r="C1068" t="s">
        <v>580</v>
      </c>
      <c r="D1068" t="s">
        <v>245</v>
      </c>
      <c r="E1068" t="s">
        <v>192</v>
      </c>
      <c r="F1068">
        <v>1</v>
      </c>
      <c r="G1068">
        <v>2270</v>
      </c>
      <c r="H1068">
        <v>25.3</v>
      </c>
      <c r="I1068">
        <v>1695.69</v>
      </c>
      <c r="J1068" t="s">
        <v>87</v>
      </c>
      <c r="K1068" t="s">
        <v>88</v>
      </c>
      <c r="L1068" t="s">
        <v>88</v>
      </c>
      <c r="M1068" t="s">
        <v>2806</v>
      </c>
      <c r="N1068" t="s">
        <v>2871</v>
      </c>
      <c r="O1068">
        <v>1412</v>
      </c>
      <c r="P1068">
        <v>2270</v>
      </c>
    </row>
    <row r="1069" spans="1:16" x14ac:dyDescent="0.3">
      <c r="A1069" t="s">
        <v>584</v>
      </c>
      <c r="B1069" s="45">
        <v>45344</v>
      </c>
      <c r="C1069" t="s">
        <v>585</v>
      </c>
      <c r="D1069" t="s">
        <v>264</v>
      </c>
      <c r="E1069" t="s">
        <v>116</v>
      </c>
      <c r="F1069">
        <v>2</v>
      </c>
      <c r="G1069">
        <v>4070</v>
      </c>
      <c r="H1069">
        <v>4.3</v>
      </c>
      <c r="I1069">
        <v>7789.98</v>
      </c>
      <c r="J1069" t="s">
        <v>87</v>
      </c>
      <c r="K1069" t="s">
        <v>94</v>
      </c>
      <c r="L1069" t="s">
        <v>94</v>
      </c>
      <c r="M1069" t="s">
        <v>2806</v>
      </c>
      <c r="N1069" t="s">
        <v>2879</v>
      </c>
      <c r="O1069">
        <v>2027</v>
      </c>
      <c r="P1069">
        <v>4070</v>
      </c>
    </row>
    <row r="1070" spans="1:16" x14ac:dyDescent="0.3">
      <c r="A1070" t="s">
        <v>601</v>
      </c>
      <c r="B1070" s="45">
        <v>45636</v>
      </c>
      <c r="C1070" t="s">
        <v>602</v>
      </c>
      <c r="D1070" t="s">
        <v>264</v>
      </c>
      <c r="E1070" t="s">
        <v>285</v>
      </c>
      <c r="F1070">
        <v>9</v>
      </c>
      <c r="G1070">
        <v>4070</v>
      </c>
      <c r="H1070">
        <v>6.7</v>
      </c>
      <c r="I1070">
        <v>34175.79</v>
      </c>
      <c r="J1070" t="s">
        <v>140</v>
      </c>
      <c r="K1070" t="s">
        <v>94</v>
      </c>
      <c r="L1070" t="s">
        <v>94</v>
      </c>
      <c r="M1070" t="s">
        <v>2806</v>
      </c>
      <c r="N1070" t="s">
        <v>2871</v>
      </c>
      <c r="O1070">
        <v>2027</v>
      </c>
      <c r="P1070">
        <v>4070</v>
      </c>
    </row>
    <row r="1071" spans="1:16" x14ac:dyDescent="0.3">
      <c r="A1071" t="s">
        <v>605</v>
      </c>
      <c r="B1071" s="45">
        <v>45495</v>
      </c>
      <c r="C1071" t="s">
        <v>606</v>
      </c>
      <c r="D1071" t="s">
        <v>127</v>
      </c>
      <c r="E1071" t="s">
        <v>92</v>
      </c>
      <c r="F1071">
        <v>2</v>
      </c>
      <c r="G1071">
        <v>970</v>
      </c>
      <c r="H1071">
        <v>23.8</v>
      </c>
      <c r="I1071">
        <v>1478.28</v>
      </c>
      <c r="J1071" t="s">
        <v>87</v>
      </c>
      <c r="K1071" t="s">
        <v>112</v>
      </c>
      <c r="L1071" t="s">
        <v>112</v>
      </c>
      <c r="M1071" t="s">
        <v>2806</v>
      </c>
      <c r="N1071" t="s">
        <v>2855</v>
      </c>
      <c r="O1071">
        <v>434</v>
      </c>
      <c r="P1071">
        <v>970</v>
      </c>
    </row>
    <row r="1072" spans="1:16" x14ac:dyDescent="0.3">
      <c r="A1072" t="s">
        <v>607</v>
      </c>
      <c r="B1072" s="45">
        <v>45337</v>
      </c>
      <c r="C1072" t="s">
        <v>608</v>
      </c>
      <c r="D1072" t="s">
        <v>264</v>
      </c>
      <c r="E1072" t="s">
        <v>325</v>
      </c>
      <c r="F1072">
        <v>4</v>
      </c>
      <c r="G1072">
        <v>4070</v>
      </c>
      <c r="H1072">
        <v>19</v>
      </c>
      <c r="I1072">
        <v>13186.8</v>
      </c>
      <c r="J1072" t="s">
        <v>93</v>
      </c>
      <c r="K1072" t="s">
        <v>88</v>
      </c>
      <c r="L1072" t="s">
        <v>88</v>
      </c>
      <c r="M1072" t="s">
        <v>2806</v>
      </c>
      <c r="N1072" t="s">
        <v>2862</v>
      </c>
      <c r="O1072">
        <v>2027</v>
      </c>
      <c r="P1072">
        <v>4070</v>
      </c>
    </row>
    <row r="1073" spans="1:16" x14ac:dyDescent="0.3">
      <c r="A1073" t="s">
        <v>611</v>
      </c>
      <c r="B1073" s="45">
        <v>45511</v>
      </c>
      <c r="C1073" t="s">
        <v>336</v>
      </c>
      <c r="D1073" t="s">
        <v>234</v>
      </c>
      <c r="E1073" t="s">
        <v>132</v>
      </c>
      <c r="F1073">
        <v>5</v>
      </c>
      <c r="G1073">
        <v>3780</v>
      </c>
      <c r="H1073">
        <v>13.5</v>
      </c>
      <c r="I1073">
        <v>16348.5</v>
      </c>
      <c r="J1073" t="s">
        <v>87</v>
      </c>
      <c r="K1073" t="s">
        <v>112</v>
      </c>
      <c r="L1073" t="s">
        <v>112</v>
      </c>
      <c r="M1073" t="s">
        <v>2806</v>
      </c>
      <c r="N1073" t="s">
        <v>2862</v>
      </c>
      <c r="O1073">
        <v>2436</v>
      </c>
      <c r="P1073">
        <v>3780</v>
      </c>
    </row>
    <row r="1074" spans="1:16" x14ac:dyDescent="0.3">
      <c r="A1074" t="s">
        <v>625</v>
      </c>
      <c r="B1074" s="45">
        <v>45513</v>
      </c>
      <c r="C1074" t="s">
        <v>626</v>
      </c>
      <c r="D1074" t="s">
        <v>351</v>
      </c>
      <c r="E1074" t="s">
        <v>139</v>
      </c>
      <c r="F1074">
        <v>3</v>
      </c>
      <c r="G1074">
        <v>4060</v>
      </c>
      <c r="H1074">
        <v>6.9</v>
      </c>
      <c r="I1074">
        <v>11339.58</v>
      </c>
      <c r="J1074" t="s">
        <v>87</v>
      </c>
      <c r="K1074" t="s">
        <v>99</v>
      </c>
      <c r="L1074" t="s">
        <v>99</v>
      </c>
      <c r="M1074" t="s">
        <v>2806</v>
      </c>
      <c r="N1074" t="s">
        <v>2855</v>
      </c>
      <c r="O1074">
        <v>2911</v>
      </c>
      <c r="P1074">
        <v>4060</v>
      </c>
    </row>
    <row r="1075" spans="1:16" x14ac:dyDescent="0.3">
      <c r="A1075" t="s">
        <v>639</v>
      </c>
      <c r="B1075" s="45">
        <v>45418</v>
      </c>
      <c r="C1075" t="s">
        <v>405</v>
      </c>
      <c r="D1075" t="s">
        <v>351</v>
      </c>
      <c r="E1075" t="s">
        <v>252</v>
      </c>
      <c r="F1075">
        <v>4</v>
      </c>
      <c r="G1075">
        <v>4060</v>
      </c>
      <c r="H1075">
        <v>28</v>
      </c>
      <c r="I1075">
        <v>11692.8</v>
      </c>
      <c r="J1075" t="s">
        <v>87</v>
      </c>
      <c r="K1075" t="s">
        <v>94</v>
      </c>
      <c r="L1075" t="s">
        <v>94</v>
      </c>
      <c r="M1075" t="s">
        <v>2806</v>
      </c>
      <c r="N1075" t="s">
        <v>2862</v>
      </c>
      <c r="O1075">
        <v>2911</v>
      </c>
      <c r="P1075">
        <v>4060</v>
      </c>
    </row>
    <row r="1076" spans="1:16" x14ac:dyDescent="0.3">
      <c r="A1076" t="s">
        <v>652</v>
      </c>
      <c r="B1076" s="45">
        <v>45375</v>
      </c>
      <c r="C1076" t="s">
        <v>331</v>
      </c>
      <c r="D1076" t="s">
        <v>338</v>
      </c>
      <c r="E1076" t="s">
        <v>148</v>
      </c>
      <c r="F1076">
        <v>6</v>
      </c>
      <c r="G1076">
        <v>2210</v>
      </c>
      <c r="H1076">
        <v>9.8000000000000007</v>
      </c>
      <c r="I1076">
        <v>11960.52</v>
      </c>
      <c r="J1076" t="s">
        <v>93</v>
      </c>
      <c r="K1076" t="s">
        <v>117</v>
      </c>
      <c r="L1076" t="s">
        <v>117</v>
      </c>
      <c r="M1076" t="s">
        <v>2806</v>
      </c>
      <c r="N1076" t="s">
        <v>2855</v>
      </c>
      <c r="O1076">
        <v>1010</v>
      </c>
      <c r="P1076">
        <v>2210</v>
      </c>
    </row>
    <row r="1077" spans="1:16" x14ac:dyDescent="0.3">
      <c r="A1077" t="s">
        <v>664</v>
      </c>
      <c r="B1077" s="45">
        <v>45640</v>
      </c>
      <c r="C1077" t="s">
        <v>485</v>
      </c>
      <c r="D1077" t="s">
        <v>102</v>
      </c>
      <c r="E1077" t="s">
        <v>107</v>
      </c>
      <c r="F1077">
        <v>2</v>
      </c>
      <c r="G1077">
        <v>3660</v>
      </c>
      <c r="H1077">
        <v>30</v>
      </c>
      <c r="I1077">
        <v>5124</v>
      </c>
      <c r="J1077" t="s">
        <v>93</v>
      </c>
      <c r="K1077" t="s">
        <v>88</v>
      </c>
      <c r="L1077" t="s">
        <v>88</v>
      </c>
      <c r="M1077" t="s">
        <v>2806</v>
      </c>
      <c r="N1077" t="s">
        <v>2855</v>
      </c>
      <c r="O1077">
        <v>2214</v>
      </c>
      <c r="P1077">
        <v>3660</v>
      </c>
    </row>
    <row r="1078" spans="1:16" x14ac:dyDescent="0.3">
      <c r="A1078" t="s">
        <v>665</v>
      </c>
      <c r="B1078" s="45">
        <v>45401</v>
      </c>
      <c r="C1078" t="s">
        <v>366</v>
      </c>
      <c r="D1078" t="s">
        <v>131</v>
      </c>
      <c r="E1078" t="s">
        <v>92</v>
      </c>
      <c r="F1078">
        <v>1</v>
      </c>
      <c r="G1078">
        <v>2270</v>
      </c>
      <c r="H1078">
        <v>4.8</v>
      </c>
      <c r="I1078">
        <v>2161.04</v>
      </c>
      <c r="J1078" t="s">
        <v>140</v>
      </c>
      <c r="K1078" t="s">
        <v>112</v>
      </c>
      <c r="L1078" t="s">
        <v>112</v>
      </c>
      <c r="M1078" t="s">
        <v>2806</v>
      </c>
      <c r="N1078" t="s">
        <v>2855</v>
      </c>
      <c r="O1078">
        <v>1203</v>
      </c>
      <c r="P1078">
        <v>2270</v>
      </c>
    </row>
    <row r="1079" spans="1:16" x14ac:dyDescent="0.3">
      <c r="A1079" t="s">
        <v>683</v>
      </c>
      <c r="B1079" s="45">
        <v>45529</v>
      </c>
      <c r="C1079" t="s">
        <v>684</v>
      </c>
      <c r="D1079" t="s">
        <v>234</v>
      </c>
      <c r="E1079" t="s">
        <v>111</v>
      </c>
      <c r="F1079">
        <v>6</v>
      </c>
      <c r="G1079">
        <v>3780</v>
      </c>
      <c r="H1079">
        <v>28.3</v>
      </c>
      <c r="I1079">
        <v>16261.56</v>
      </c>
      <c r="J1079" t="s">
        <v>87</v>
      </c>
      <c r="K1079" t="s">
        <v>99</v>
      </c>
      <c r="L1079" t="s">
        <v>99</v>
      </c>
      <c r="M1079" t="s">
        <v>2806</v>
      </c>
      <c r="N1079" t="s">
        <v>2879</v>
      </c>
      <c r="O1079">
        <v>2436</v>
      </c>
      <c r="P1079">
        <v>3780</v>
      </c>
    </row>
    <row r="1080" spans="1:16" x14ac:dyDescent="0.3">
      <c r="A1080" t="s">
        <v>685</v>
      </c>
      <c r="B1080" s="45">
        <v>45300</v>
      </c>
      <c r="C1080" t="s">
        <v>686</v>
      </c>
      <c r="D1080" t="s">
        <v>200</v>
      </c>
      <c r="E1080" t="s">
        <v>128</v>
      </c>
      <c r="F1080">
        <v>5</v>
      </c>
      <c r="G1080">
        <v>2760</v>
      </c>
      <c r="H1080">
        <v>4.9000000000000004</v>
      </c>
      <c r="I1080">
        <v>13123.8</v>
      </c>
      <c r="J1080" t="s">
        <v>87</v>
      </c>
      <c r="K1080" t="s">
        <v>112</v>
      </c>
      <c r="L1080" t="s">
        <v>112</v>
      </c>
      <c r="M1080" t="s">
        <v>2806</v>
      </c>
      <c r="N1080" t="s">
        <v>2879</v>
      </c>
      <c r="O1080">
        <v>1435</v>
      </c>
      <c r="P1080">
        <v>2760</v>
      </c>
    </row>
    <row r="1081" spans="1:16" x14ac:dyDescent="0.3">
      <c r="A1081" t="s">
        <v>690</v>
      </c>
      <c r="B1081" s="45">
        <v>45592</v>
      </c>
      <c r="C1081" t="s">
        <v>482</v>
      </c>
      <c r="D1081" t="s">
        <v>131</v>
      </c>
      <c r="E1081" t="s">
        <v>188</v>
      </c>
      <c r="F1081">
        <v>8</v>
      </c>
      <c r="G1081">
        <v>2270</v>
      </c>
      <c r="H1081">
        <v>19.8</v>
      </c>
      <c r="I1081">
        <v>14564.32</v>
      </c>
      <c r="J1081" t="s">
        <v>93</v>
      </c>
      <c r="K1081" t="s">
        <v>133</v>
      </c>
      <c r="L1081" t="s">
        <v>133</v>
      </c>
      <c r="M1081" t="s">
        <v>2806</v>
      </c>
      <c r="N1081" t="s">
        <v>2862</v>
      </c>
      <c r="O1081">
        <v>1203</v>
      </c>
      <c r="P1081">
        <v>2270</v>
      </c>
    </row>
    <row r="1082" spans="1:16" x14ac:dyDescent="0.3">
      <c r="A1082" t="s">
        <v>698</v>
      </c>
      <c r="B1082" s="45">
        <v>45343</v>
      </c>
      <c r="C1082" t="s">
        <v>263</v>
      </c>
      <c r="D1082" t="s">
        <v>351</v>
      </c>
      <c r="E1082" t="s">
        <v>229</v>
      </c>
      <c r="F1082">
        <v>6</v>
      </c>
      <c r="G1082">
        <v>4060</v>
      </c>
      <c r="H1082">
        <v>24.3</v>
      </c>
      <c r="I1082">
        <v>18440.52</v>
      </c>
      <c r="J1082" t="s">
        <v>87</v>
      </c>
      <c r="K1082" t="s">
        <v>133</v>
      </c>
      <c r="L1082" t="s">
        <v>133</v>
      </c>
      <c r="M1082" t="s">
        <v>2806</v>
      </c>
      <c r="N1082" t="s">
        <v>2879</v>
      </c>
      <c r="O1082">
        <v>2911</v>
      </c>
      <c r="P1082">
        <v>4060</v>
      </c>
    </row>
    <row r="1083" spans="1:16" x14ac:dyDescent="0.3">
      <c r="A1083" t="s">
        <v>706</v>
      </c>
      <c r="B1083" s="45">
        <v>45385</v>
      </c>
      <c r="C1083" t="s">
        <v>707</v>
      </c>
      <c r="D1083" t="s">
        <v>367</v>
      </c>
      <c r="E1083" t="s">
        <v>111</v>
      </c>
      <c r="F1083">
        <v>9</v>
      </c>
      <c r="G1083">
        <v>2380</v>
      </c>
      <c r="H1083">
        <v>22.7</v>
      </c>
      <c r="I1083">
        <v>16557.66</v>
      </c>
      <c r="J1083" t="s">
        <v>87</v>
      </c>
      <c r="K1083" t="s">
        <v>112</v>
      </c>
      <c r="L1083" t="s">
        <v>112</v>
      </c>
      <c r="M1083" t="s">
        <v>2806</v>
      </c>
      <c r="N1083" t="s">
        <v>2879</v>
      </c>
      <c r="O1083">
        <v>1182</v>
      </c>
      <c r="P1083">
        <v>2380</v>
      </c>
    </row>
    <row r="1084" spans="1:16" x14ac:dyDescent="0.3">
      <c r="A1084" t="s">
        <v>718</v>
      </c>
      <c r="B1084" s="45">
        <v>45518</v>
      </c>
      <c r="C1084" t="s">
        <v>399</v>
      </c>
      <c r="D1084" t="s">
        <v>264</v>
      </c>
      <c r="E1084" t="s">
        <v>107</v>
      </c>
      <c r="F1084">
        <v>2</v>
      </c>
      <c r="G1084">
        <v>4070</v>
      </c>
      <c r="H1084">
        <v>28.6</v>
      </c>
      <c r="I1084">
        <v>5811.96</v>
      </c>
      <c r="J1084" t="s">
        <v>87</v>
      </c>
      <c r="K1084" t="s">
        <v>99</v>
      </c>
      <c r="L1084" t="s">
        <v>99</v>
      </c>
      <c r="M1084" t="s">
        <v>2806</v>
      </c>
      <c r="N1084" t="s">
        <v>2855</v>
      </c>
      <c r="O1084">
        <v>2027</v>
      </c>
      <c r="P1084">
        <v>4070</v>
      </c>
    </row>
    <row r="1085" spans="1:16" x14ac:dyDescent="0.3">
      <c r="A1085" t="s">
        <v>663</v>
      </c>
      <c r="B1085" s="45">
        <v>45319</v>
      </c>
      <c r="C1085" t="s">
        <v>720</v>
      </c>
      <c r="D1085" t="s">
        <v>131</v>
      </c>
      <c r="E1085" t="s">
        <v>192</v>
      </c>
      <c r="F1085">
        <v>6</v>
      </c>
      <c r="G1085">
        <v>2270</v>
      </c>
      <c r="H1085">
        <v>23.7</v>
      </c>
      <c r="I1085">
        <v>10392.06</v>
      </c>
      <c r="J1085" t="s">
        <v>87</v>
      </c>
      <c r="K1085" t="s">
        <v>88</v>
      </c>
      <c r="L1085" t="s">
        <v>88</v>
      </c>
      <c r="M1085" t="s">
        <v>2806</v>
      </c>
      <c r="N1085" t="s">
        <v>2871</v>
      </c>
      <c r="O1085">
        <v>1203</v>
      </c>
      <c r="P1085">
        <v>2270</v>
      </c>
    </row>
    <row r="1086" spans="1:16" x14ac:dyDescent="0.3">
      <c r="A1086" t="s">
        <v>723</v>
      </c>
      <c r="B1086" s="45">
        <v>45335</v>
      </c>
      <c r="C1086" t="s">
        <v>626</v>
      </c>
      <c r="D1086" t="s">
        <v>367</v>
      </c>
      <c r="E1086" t="s">
        <v>121</v>
      </c>
      <c r="F1086">
        <v>9</v>
      </c>
      <c r="G1086">
        <v>2380</v>
      </c>
      <c r="H1086">
        <v>16.8</v>
      </c>
      <c r="I1086">
        <v>17821.439999999999</v>
      </c>
      <c r="J1086" t="s">
        <v>87</v>
      </c>
      <c r="K1086" t="s">
        <v>99</v>
      </c>
      <c r="L1086" t="s">
        <v>99</v>
      </c>
      <c r="M1086" t="s">
        <v>2806</v>
      </c>
      <c r="N1086" t="s">
        <v>2871</v>
      </c>
      <c r="O1086">
        <v>1182</v>
      </c>
      <c r="P1086">
        <v>2380</v>
      </c>
    </row>
    <row r="1087" spans="1:16" x14ac:dyDescent="0.3">
      <c r="A1087" t="s">
        <v>728</v>
      </c>
      <c r="B1087" s="45">
        <v>45341</v>
      </c>
      <c r="C1087" t="s">
        <v>729</v>
      </c>
      <c r="D1087" t="s">
        <v>102</v>
      </c>
      <c r="E1087" t="s">
        <v>343</v>
      </c>
      <c r="F1087">
        <v>3</v>
      </c>
      <c r="G1087">
        <v>3660</v>
      </c>
      <c r="H1087">
        <v>25.3</v>
      </c>
      <c r="I1087">
        <v>8202.06</v>
      </c>
      <c r="J1087" t="s">
        <v>87</v>
      </c>
      <c r="K1087" t="s">
        <v>112</v>
      </c>
      <c r="L1087" t="s">
        <v>112</v>
      </c>
      <c r="M1087" t="s">
        <v>2806</v>
      </c>
      <c r="N1087" t="s">
        <v>2879</v>
      </c>
      <c r="O1087">
        <v>2214</v>
      </c>
      <c r="P1087">
        <v>3660</v>
      </c>
    </row>
    <row r="1088" spans="1:16" x14ac:dyDescent="0.3">
      <c r="A1088" t="s">
        <v>747</v>
      </c>
      <c r="B1088" s="45">
        <v>45486</v>
      </c>
      <c r="C1088" t="s">
        <v>231</v>
      </c>
      <c r="D1088" t="s">
        <v>234</v>
      </c>
      <c r="E1088" t="s">
        <v>158</v>
      </c>
      <c r="F1088">
        <v>4</v>
      </c>
      <c r="G1088">
        <v>3780</v>
      </c>
      <c r="H1088">
        <v>25.3</v>
      </c>
      <c r="I1088">
        <v>11294.64</v>
      </c>
      <c r="J1088" t="s">
        <v>87</v>
      </c>
      <c r="K1088" t="s">
        <v>117</v>
      </c>
      <c r="L1088" t="s">
        <v>117</v>
      </c>
      <c r="M1088" t="s">
        <v>2806</v>
      </c>
      <c r="N1088" t="s">
        <v>2871</v>
      </c>
      <c r="O1088">
        <v>2436</v>
      </c>
      <c r="P1088">
        <v>3780</v>
      </c>
    </row>
    <row r="1089" spans="1:16" x14ac:dyDescent="0.3">
      <c r="A1089" t="s">
        <v>750</v>
      </c>
      <c r="B1089" s="45">
        <v>45312</v>
      </c>
      <c r="C1089" t="s">
        <v>474</v>
      </c>
      <c r="D1089" t="s">
        <v>245</v>
      </c>
      <c r="E1089" t="s">
        <v>170</v>
      </c>
      <c r="F1089">
        <v>10</v>
      </c>
      <c r="G1089">
        <v>2270</v>
      </c>
      <c r="H1089">
        <v>17.7</v>
      </c>
      <c r="I1089">
        <v>18682.099999999999</v>
      </c>
      <c r="J1089" t="s">
        <v>87</v>
      </c>
      <c r="K1089" t="s">
        <v>99</v>
      </c>
      <c r="L1089" t="s">
        <v>99</v>
      </c>
      <c r="M1089" t="s">
        <v>2806</v>
      </c>
      <c r="N1089" t="s">
        <v>2879</v>
      </c>
      <c r="O1089">
        <v>1412</v>
      </c>
      <c r="P1089">
        <v>2270</v>
      </c>
    </row>
    <row r="1090" spans="1:16" x14ac:dyDescent="0.3">
      <c r="A1090" t="s">
        <v>754</v>
      </c>
      <c r="B1090" s="45">
        <v>45379</v>
      </c>
      <c r="C1090" t="s">
        <v>700</v>
      </c>
      <c r="D1090" t="s">
        <v>338</v>
      </c>
      <c r="E1090" t="s">
        <v>346</v>
      </c>
      <c r="F1090">
        <v>5</v>
      </c>
      <c r="G1090">
        <v>2210</v>
      </c>
      <c r="H1090">
        <v>5.0999999999999996</v>
      </c>
      <c r="I1090">
        <v>10486.45</v>
      </c>
      <c r="J1090" t="s">
        <v>87</v>
      </c>
      <c r="K1090" t="s">
        <v>94</v>
      </c>
      <c r="L1090" t="s">
        <v>94</v>
      </c>
      <c r="M1090" t="s">
        <v>2806</v>
      </c>
      <c r="N1090" t="s">
        <v>2862</v>
      </c>
      <c r="O1090">
        <v>1010</v>
      </c>
      <c r="P1090">
        <v>2210</v>
      </c>
    </row>
    <row r="1091" spans="1:16" x14ac:dyDescent="0.3">
      <c r="A1091" t="s">
        <v>760</v>
      </c>
      <c r="B1091" s="45">
        <v>45563</v>
      </c>
      <c r="C1091" t="s">
        <v>738</v>
      </c>
      <c r="D1091" t="s">
        <v>338</v>
      </c>
      <c r="E1091" t="s">
        <v>158</v>
      </c>
      <c r="F1091">
        <v>4</v>
      </c>
      <c r="G1091">
        <v>2210</v>
      </c>
      <c r="H1091">
        <v>5.4</v>
      </c>
      <c r="I1091">
        <v>8362.64</v>
      </c>
      <c r="J1091" t="s">
        <v>87</v>
      </c>
      <c r="K1091" t="s">
        <v>88</v>
      </c>
      <c r="L1091" t="s">
        <v>88</v>
      </c>
      <c r="M1091" t="s">
        <v>2806</v>
      </c>
      <c r="N1091" t="s">
        <v>2871</v>
      </c>
      <c r="O1091">
        <v>1010</v>
      </c>
      <c r="P1091">
        <v>2210</v>
      </c>
    </row>
    <row r="1092" spans="1:16" x14ac:dyDescent="0.3">
      <c r="A1092" t="s">
        <v>782</v>
      </c>
      <c r="B1092" s="45">
        <v>45378</v>
      </c>
      <c r="C1092" t="s">
        <v>175</v>
      </c>
      <c r="D1092" t="s">
        <v>367</v>
      </c>
      <c r="E1092" t="s">
        <v>98</v>
      </c>
      <c r="F1092">
        <v>1</v>
      </c>
      <c r="G1092">
        <v>2380</v>
      </c>
      <c r="H1092">
        <v>11.6</v>
      </c>
      <c r="I1092">
        <v>2103.92</v>
      </c>
      <c r="J1092" t="s">
        <v>93</v>
      </c>
      <c r="K1092" t="s">
        <v>133</v>
      </c>
      <c r="L1092" t="s">
        <v>133</v>
      </c>
      <c r="M1092" t="s">
        <v>2806</v>
      </c>
      <c r="N1092" t="s">
        <v>2862</v>
      </c>
      <c r="O1092">
        <v>1182</v>
      </c>
      <c r="P1092">
        <v>2380</v>
      </c>
    </row>
    <row r="1093" spans="1:16" x14ac:dyDescent="0.3">
      <c r="A1093" t="s">
        <v>784</v>
      </c>
      <c r="B1093" s="45">
        <v>45591</v>
      </c>
      <c r="C1093" t="s">
        <v>785</v>
      </c>
      <c r="D1093" t="s">
        <v>131</v>
      </c>
      <c r="E1093" t="s">
        <v>116</v>
      </c>
      <c r="F1093">
        <v>1</v>
      </c>
      <c r="G1093">
        <v>2270</v>
      </c>
      <c r="H1093">
        <v>6.5</v>
      </c>
      <c r="I1093">
        <v>2122.4499999999998</v>
      </c>
      <c r="J1093" t="s">
        <v>93</v>
      </c>
      <c r="K1093" t="s">
        <v>88</v>
      </c>
      <c r="L1093" t="s">
        <v>88</v>
      </c>
      <c r="M1093" t="s">
        <v>2806</v>
      </c>
      <c r="N1093" t="s">
        <v>2879</v>
      </c>
      <c r="O1093">
        <v>1203</v>
      </c>
      <c r="P1093">
        <v>2270</v>
      </c>
    </row>
    <row r="1094" spans="1:16" x14ac:dyDescent="0.3">
      <c r="A1094" t="s">
        <v>801</v>
      </c>
      <c r="B1094" s="45">
        <v>45323</v>
      </c>
      <c r="C1094" t="s">
        <v>802</v>
      </c>
      <c r="D1094" t="s">
        <v>102</v>
      </c>
      <c r="E1094" t="s">
        <v>132</v>
      </c>
      <c r="F1094">
        <v>6</v>
      </c>
      <c r="G1094">
        <v>3660</v>
      </c>
      <c r="H1094">
        <v>1.5</v>
      </c>
      <c r="I1094">
        <v>21630.6</v>
      </c>
      <c r="J1094" t="s">
        <v>87</v>
      </c>
      <c r="K1094" t="s">
        <v>94</v>
      </c>
      <c r="L1094" t="s">
        <v>94</v>
      </c>
      <c r="M1094" t="s">
        <v>2806</v>
      </c>
      <c r="N1094" t="s">
        <v>2862</v>
      </c>
      <c r="O1094">
        <v>2214</v>
      </c>
      <c r="P1094">
        <v>3660</v>
      </c>
    </row>
    <row r="1095" spans="1:16" x14ac:dyDescent="0.3">
      <c r="A1095" t="s">
        <v>808</v>
      </c>
      <c r="B1095" s="45">
        <v>45620</v>
      </c>
      <c r="C1095" t="s">
        <v>744</v>
      </c>
      <c r="D1095" t="s">
        <v>200</v>
      </c>
      <c r="E1095" t="s">
        <v>325</v>
      </c>
      <c r="F1095">
        <v>6</v>
      </c>
      <c r="G1095">
        <v>2760</v>
      </c>
      <c r="H1095">
        <v>21.3</v>
      </c>
      <c r="I1095">
        <v>13032.72</v>
      </c>
      <c r="J1095" t="s">
        <v>87</v>
      </c>
      <c r="K1095" t="s">
        <v>133</v>
      </c>
      <c r="L1095" t="s">
        <v>133</v>
      </c>
      <c r="M1095" t="s">
        <v>2806</v>
      </c>
      <c r="N1095" t="s">
        <v>2862</v>
      </c>
      <c r="O1095">
        <v>1435</v>
      </c>
      <c r="P1095">
        <v>2760</v>
      </c>
    </row>
    <row r="1096" spans="1:16" x14ac:dyDescent="0.3">
      <c r="A1096" t="s">
        <v>812</v>
      </c>
      <c r="B1096" s="45">
        <v>45596</v>
      </c>
      <c r="C1096" t="s">
        <v>231</v>
      </c>
      <c r="D1096" t="s">
        <v>264</v>
      </c>
      <c r="E1096" t="s">
        <v>285</v>
      </c>
      <c r="F1096">
        <v>7</v>
      </c>
      <c r="G1096">
        <v>4070</v>
      </c>
      <c r="H1096">
        <v>28</v>
      </c>
      <c r="I1096">
        <v>20512.8</v>
      </c>
      <c r="J1096" t="s">
        <v>87</v>
      </c>
      <c r="K1096" t="s">
        <v>117</v>
      </c>
      <c r="L1096" t="s">
        <v>117</v>
      </c>
      <c r="M1096" t="s">
        <v>2806</v>
      </c>
      <c r="N1096" t="s">
        <v>2871</v>
      </c>
      <c r="O1096">
        <v>2027</v>
      </c>
      <c r="P1096">
        <v>4070</v>
      </c>
    </row>
    <row r="1097" spans="1:16" x14ac:dyDescent="0.3">
      <c r="A1097" t="s">
        <v>818</v>
      </c>
      <c r="B1097" s="45">
        <v>45584</v>
      </c>
      <c r="C1097" t="s">
        <v>434</v>
      </c>
      <c r="D1097" t="s">
        <v>245</v>
      </c>
      <c r="E1097" t="s">
        <v>201</v>
      </c>
      <c r="F1097">
        <v>1</v>
      </c>
      <c r="G1097">
        <v>2270</v>
      </c>
      <c r="H1097">
        <v>5.8</v>
      </c>
      <c r="I1097">
        <v>2138.34</v>
      </c>
      <c r="J1097" t="s">
        <v>140</v>
      </c>
      <c r="K1097" t="s">
        <v>99</v>
      </c>
      <c r="L1097" t="s">
        <v>99</v>
      </c>
      <c r="M1097" t="s">
        <v>2806</v>
      </c>
      <c r="N1097" t="s">
        <v>2879</v>
      </c>
      <c r="O1097">
        <v>1412</v>
      </c>
      <c r="P1097">
        <v>2270</v>
      </c>
    </row>
    <row r="1098" spans="1:16" x14ac:dyDescent="0.3">
      <c r="A1098" t="s">
        <v>832</v>
      </c>
      <c r="B1098" s="45">
        <v>45333</v>
      </c>
      <c r="C1098" t="s">
        <v>528</v>
      </c>
      <c r="D1098" t="s">
        <v>264</v>
      </c>
      <c r="E1098" t="s">
        <v>215</v>
      </c>
      <c r="F1098">
        <v>9</v>
      </c>
      <c r="G1098">
        <v>4070</v>
      </c>
      <c r="H1098">
        <v>15.7</v>
      </c>
      <c r="I1098">
        <v>30879.09</v>
      </c>
      <c r="J1098" t="s">
        <v>87</v>
      </c>
      <c r="K1098" t="s">
        <v>112</v>
      </c>
      <c r="L1098" t="s">
        <v>112</v>
      </c>
      <c r="M1098" t="s">
        <v>2806</v>
      </c>
      <c r="N1098" t="s">
        <v>2855</v>
      </c>
      <c r="O1098">
        <v>2027</v>
      </c>
      <c r="P1098">
        <v>4070</v>
      </c>
    </row>
    <row r="1099" spans="1:16" x14ac:dyDescent="0.3">
      <c r="A1099" t="s">
        <v>836</v>
      </c>
      <c r="B1099" s="45">
        <v>45631</v>
      </c>
      <c r="C1099" t="s">
        <v>837</v>
      </c>
      <c r="D1099" t="s">
        <v>102</v>
      </c>
      <c r="E1099" t="s">
        <v>107</v>
      </c>
      <c r="F1099">
        <v>6</v>
      </c>
      <c r="G1099">
        <v>3660</v>
      </c>
      <c r="H1099">
        <v>10.8</v>
      </c>
      <c r="I1099">
        <v>19588.32</v>
      </c>
      <c r="J1099" t="s">
        <v>87</v>
      </c>
      <c r="K1099" t="s">
        <v>117</v>
      </c>
      <c r="L1099" t="s">
        <v>117</v>
      </c>
      <c r="M1099" t="s">
        <v>2806</v>
      </c>
      <c r="N1099" t="s">
        <v>2855</v>
      </c>
      <c r="O1099">
        <v>2214</v>
      </c>
      <c r="P1099">
        <v>3660</v>
      </c>
    </row>
    <row r="1100" spans="1:16" x14ac:dyDescent="0.3">
      <c r="A1100" t="s">
        <v>839</v>
      </c>
      <c r="B1100" s="45">
        <v>45379</v>
      </c>
      <c r="C1100" t="s">
        <v>225</v>
      </c>
      <c r="D1100" t="s">
        <v>264</v>
      </c>
      <c r="E1100" t="s">
        <v>273</v>
      </c>
      <c r="F1100">
        <v>10</v>
      </c>
      <c r="G1100">
        <v>4070</v>
      </c>
      <c r="H1100">
        <v>23.4</v>
      </c>
      <c r="I1100">
        <v>31176.2</v>
      </c>
      <c r="J1100" t="s">
        <v>144</v>
      </c>
      <c r="K1100" t="s">
        <v>94</v>
      </c>
      <c r="L1100" t="s">
        <v>94</v>
      </c>
      <c r="M1100" t="s">
        <v>2806</v>
      </c>
      <c r="N1100" t="s">
        <v>2862</v>
      </c>
      <c r="O1100">
        <v>2027</v>
      </c>
      <c r="P1100">
        <v>4070</v>
      </c>
    </row>
    <row r="1101" spans="1:16" x14ac:dyDescent="0.3">
      <c r="A1101" t="s">
        <v>845</v>
      </c>
      <c r="B1101" s="45">
        <v>45480</v>
      </c>
      <c r="C1101" t="s">
        <v>624</v>
      </c>
      <c r="D1101" t="s">
        <v>351</v>
      </c>
      <c r="E1101" t="s">
        <v>132</v>
      </c>
      <c r="F1101">
        <v>4</v>
      </c>
      <c r="G1101">
        <v>4060</v>
      </c>
      <c r="H1101">
        <v>1.6</v>
      </c>
      <c r="I1101">
        <v>15980.16</v>
      </c>
      <c r="J1101" t="s">
        <v>87</v>
      </c>
      <c r="K1101" t="s">
        <v>88</v>
      </c>
      <c r="L1101" t="s">
        <v>88</v>
      </c>
      <c r="M1101" t="s">
        <v>2806</v>
      </c>
      <c r="N1101" t="s">
        <v>2862</v>
      </c>
      <c r="O1101">
        <v>2911</v>
      </c>
      <c r="P1101">
        <v>4060</v>
      </c>
    </row>
    <row r="1102" spans="1:16" x14ac:dyDescent="0.3">
      <c r="A1102" t="s">
        <v>853</v>
      </c>
      <c r="B1102" s="45">
        <v>45381</v>
      </c>
      <c r="C1102" t="s">
        <v>610</v>
      </c>
      <c r="D1102" t="s">
        <v>264</v>
      </c>
      <c r="E1102" t="s">
        <v>111</v>
      </c>
      <c r="F1102">
        <v>3</v>
      </c>
      <c r="G1102">
        <v>4070</v>
      </c>
      <c r="H1102">
        <v>23.7</v>
      </c>
      <c r="I1102">
        <v>9316.23</v>
      </c>
      <c r="J1102" t="s">
        <v>87</v>
      </c>
      <c r="K1102" t="s">
        <v>117</v>
      </c>
      <c r="L1102" t="s">
        <v>117</v>
      </c>
      <c r="M1102" t="s">
        <v>2806</v>
      </c>
      <c r="N1102" t="s">
        <v>2879</v>
      </c>
      <c r="O1102">
        <v>2027</v>
      </c>
      <c r="P1102">
        <v>4070</v>
      </c>
    </row>
    <row r="1103" spans="1:16" x14ac:dyDescent="0.3">
      <c r="A1103" t="s">
        <v>857</v>
      </c>
      <c r="B1103" s="45">
        <v>45326</v>
      </c>
      <c r="C1103" t="s">
        <v>469</v>
      </c>
      <c r="D1103" t="s">
        <v>264</v>
      </c>
      <c r="E1103" t="s">
        <v>170</v>
      </c>
      <c r="F1103">
        <v>2</v>
      </c>
      <c r="G1103">
        <v>4070</v>
      </c>
      <c r="H1103">
        <v>29</v>
      </c>
      <c r="I1103">
        <v>5779.4</v>
      </c>
      <c r="J1103" t="s">
        <v>87</v>
      </c>
      <c r="K1103" t="s">
        <v>117</v>
      </c>
      <c r="L1103" t="s">
        <v>117</v>
      </c>
      <c r="M1103" t="s">
        <v>2806</v>
      </c>
      <c r="N1103" t="s">
        <v>2879</v>
      </c>
      <c r="O1103">
        <v>2027</v>
      </c>
      <c r="P1103">
        <v>4070</v>
      </c>
    </row>
    <row r="1104" spans="1:16" x14ac:dyDescent="0.3">
      <c r="A1104" t="s">
        <v>877</v>
      </c>
      <c r="B1104" s="45">
        <v>45336</v>
      </c>
      <c r="C1104" t="s">
        <v>878</v>
      </c>
      <c r="D1104" t="s">
        <v>367</v>
      </c>
      <c r="E1104" t="s">
        <v>188</v>
      </c>
      <c r="F1104">
        <v>5</v>
      </c>
      <c r="G1104">
        <v>2380</v>
      </c>
      <c r="H1104">
        <v>12.2</v>
      </c>
      <c r="I1104">
        <v>10448.200000000001</v>
      </c>
      <c r="J1104" t="s">
        <v>87</v>
      </c>
      <c r="K1104" t="s">
        <v>112</v>
      </c>
      <c r="L1104" t="s">
        <v>112</v>
      </c>
      <c r="M1104" t="s">
        <v>2806</v>
      </c>
      <c r="N1104" t="s">
        <v>2862</v>
      </c>
      <c r="O1104">
        <v>1182</v>
      </c>
      <c r="P1104">
        <v>2380</v>
      </c>
    </row>
    <row r="1105" spans="1:16" x14ac:dyDescent="0.3">
      <c r="A1105" t="s">
        <v>893</v>
      </c>
      <c r="B1105" s="45">
        <v>45328</v>
      </c>
      <c r="C1105" t="s">
        <v>316</v>
      </c>
      <c r="D1105" t="s">
        <v>131</v>
      </c>
      <c r="E1105" t="s">
        <v>92</v>
      </c>
      <c r="F1105">
        <v>10</v>
      </c>
      <c r="G1105">
        <v>2270</v>
      </c>
      <c r="H1105">
        <v>17.3</v>
      </c>
      <c r="I1105">
        <v>18772.900000000001</v>
      </c>
      <c r="J1105" t="s">
        <v>87</v>
      </c>
      <c r="K1105" t="s">
        <v>88</v>
      </c>
      <c r="L1105" t="s">
        <v>88</v>
      </c>
      <c r="M1105" t="s">
        <v>2806</v>
      </c>
      <c r="N1105" t="s">
        <v>2855</v>
      </c>
      <c r="O1105">
        <v>1203</v>
      </c>
      <c r="P1105">
        <v>2270</v>
      </c>
    </row>
    <row r="1106" spans="1:16" x14ac:dyDescent="0.3">
      <c r="A1106" t="s">
        <v>911</v>
      </c>
      <c r="B1106" s="45">
        <v>45352</v>
      </c>
      <c r="C1106" t="s">
        <v>146</v>
      </c>
      <c r="D1106" t="s">
        <v>102</v>
      </c>
      <c r="E1106" t="s">
        <v>107</v>
      </c>
      <c r="F1106">
        <v>10</v>
      </c>
      <c r="G1106">
        <v>3660</v>
      </c>
      <c r="H1106">
        <v>12</v>
      </c>
      <c r="I1106">
        <v>32208</v>
      </c>
      <c r="J1106" t="s">
        <v>87</v>
      </c>
      <c r="K1106" t="s">
        <v>88</v>
      </c>
      <c r="L1106" t="s">
        <v>88</v>
      </c>
      <c r="M1106" t="s">
        <v>2806</v>
      </c>
      <c r="N1106" t="s">
        <v>2855</v>
      </c>
      <c r="O1106">
        <v>2214</v>
      </c>
      <c r="P1106">
        <v>3660</v>
      </c>
    </row>
    <row r="1107" spans="1:16" x14ac:dyDescent="0.3">
      <c r="A1107" t="s">
        <v>917</v>
      </c>
      <c r="B1107" s="45">
        <v>45519</v>
      </c>
      <c r="C1107" t="s">
        <v>318</v>
      </c>
      <c r="D1107" t="s">
        <v>264</v>
      </c>
      <c r="E1107" t="s">
        <v>285</v>
      </c>
      <c r="F1107">
        <v>6</v>
      </c>
      <c r="G1107">
        <v>4070</v>
      </c>
      <c r="H1107">
        <v>27.7</v>
      </c>
      <c r="I1107">
        <v>17655.66</v>
      </c>
      <c r="J1107" t="s">
        <v>93</v>
      </c>
      <c r="K1107" t="s">
        <v>94</v>
      </c>
      <c r="L1107" t="s">
        <v>94</v>
      </c>
      <c r="M1107" t="s">
        <v>2806</v>
      </c>
      <c r="N1107" t="s">
        <v>2871</v>
      </c>
      <c r="O1107">
        <v>2027</v>
      </c>
      <c r="P1107">
        <v>4070</v>
      </c>
    </row>
    <row r="1108" spans="1:16" x14ac:dyDescent="0.3">
      <c r="A1108" t="s">
        <v>919</v>
      </c>
      <c r="B1108" s="45">
        <v>45497</v>
      </c>
      <c r="C1108" t="s">
        <v>394</v>
      </c>
      <c r="D1108" t="s">
        <v>200</v>
      </c>
      <c r="E1108" t="s">
        <v>128</v>
      </c>
      <c r="F1108">
        <v>6</v>
      </c>
      <c r="G1108">
        <v>2760</v>
      </c>
      <c r="H1108">
        <v>29.9</v>
      </c>
      <c r="I1108">
        <v>11608.56</v>
      </c>
      <c r="J1108" t="s">
        <v>87</v>
      </c>
      <c r="K1108" t="s">
        <v>117</v>
      </c>
      <c r="L1108" t="s">
        <v>117</v>
      </c>
      <c r="M1108" t="s">
        <v>2806</v>
      </c>
      <c r="N1108" t="s">
        <v>2879</v>
      </c>
      <c r="O1108">
        <v>1435</v>
      </c>
      <c r="P1108">
        <v>2760</v>
      </c>
    </row>
    <row r="1109" spans="1:16" x14ac:dyDescent="0.3">
      <c r="A1109" t="s">
        <v>930</v>
      </c>
      <c r="B1109" s="45">
        <v>45389</v>
      </c>
      <c r="C1109" t="s">
        <v>539</v>
      </c>
      <c r="D1109" t="s">
        <v>367</v>
      </c>
      <c r="E1109" t="s">
        <v>121</v>
      </c>
      <c r="F1109">
        <v>2</v>
      </c>
      <c r="G1109">
        <v>2380</v>
      </c>
      <c r="H1109">
        <v>6.8</v>
      </c>
      <c r="I1109">
        <v>4436.32</v>
      </c>
      <c r="J1109" t="s">
        <v>87</v>
      </c>
      <c r="K1109" t="s">
        <v>133</v>
      </c>
      <c r="L1109" t="s">
        <v>133</v>
      </c>
      <c r="M1109" t="s">
        <v>2806</v>
      </c>
      <c r="N1109" t="s">
        <v>2871</v>
      </c>
      <c r="O1109">
        <v>1182</v>
      </c>
      <c r="P1109">
        <v>2380</v>
      </c>
    </row>
    <row r="1110" spans="1:16" x14ac:dyDescent="0.3">
      <c r="A1110" t="s">
        <v>935</v>
      </c>
      <c r="B1110" s="45">
        <v>45374</v>
      </c>
      <c r="C1110" t="s">
        <v>388</v>
      </c>
      <c r="D1110" t="s">
        <v>351</v>
      </c>
      <c r="E1110" t="s">
        <v>98</v>
      </c>
      <c r="F1110">
        <v>9</v>
      </c>
      <c r="G1110">
        <v>4060</v>
      </c>
      <c r="H1110">
        <v>27.1</v>
      </c>
      <c r="I1110">
        <v>26637.66</v>
      </c>
      <c r="J1110" t="s">
        <v>87</v>
      </c>
      <c r="K1110" t="s">
        <v>133</v>
      </c>
      <c r="L1110" t="s">
        <v>133</v>
      </c>
      <c r="M1110" t="s">
        <v>2806</v>
      </c>
      <c r="N1110" t="s">
        <v>2862</v>
      </c>
      <c r="O1110">
        <v>2911</v>
      </c>
      <c r="P1110">
        <v>4060</v>
      </c>
    </row>
    <row r="1111" spans="1:16" x14ac:dyDescent="0.3">
      <c r="A1111" t="s">
        <v>942</v>
      </c>
      <c r="B1111" s="45">
        <v>45319</v>
      </c>
      <c r="C1111" t="s">
        <v>943</v>
      </c>
      <c r="D1111" t="s">
        <v>338</v>
      </c>
      <c r="E1111" t="s">
        <v>325</v>
      </c>
      <c r="F1111">
        <v>3</v>
      </c>
      <c r="G1111">
        <v>2210</v>
      </c>
      <c r="H1111">
        <v>11.1</v>
      </c>
      <c r="I1111">
        <v>5894.07</v>
      </c>
      <c r="J1111" t="s">
        <v>87</v>
      </c>
      <c r="K1111" t="s">
        <v>133</v>
      </c>
      <c r="L1111" t="s">
        <v>133</v>
      </c>
      <c r="M1111" t="s">
        <v>2806</v>
      </c>
      <c r="N1111" t="s">
        <v>2862</v>
      </c>
      <c r="O1111">
        <v>1010</v>
      </c>
      <c r="P1111">
        <v>2210</v>
      </c>
    </row>
    <row r="1112" spans="1:16" x14ac:dyDescent="0.3">
      <c r="A1112" t="s">
        <v>947</v>
      </c>
      <c r="B1112" s="45">
        <v>45612</v>
      </c>
      <c r="C1112" t="s">
        <v>948</v>
      </c>
      <c r="D1112" t="s">
        <v>264</v>
      </c>
      <c r="E1112" t="s">
        <v>325</v>
      </c>
      <c r="F1112">
        <v>9</v>
      </c>
      <c r="G1112">
        <v>4070</v>
      </c>
      <c r="H1112">
        <v>15.6</v>
      </c>
      <c r="I1112">
        <v>30915.72</v>
      </c>
      <c r="J1112" t="s">
        <v>87</v>
      </c>
      <c r="K1112" t="s">
        <v>88</v>
      </c>
      <c r="L1112" t="s">
        <v>88</v>
      </c>
      <c r="M1112" t="s">
        <v>2806</v>
      </c>
      <c r="N1112" t="s">
        <v>2862</v>
      </c>
      <c r="O1112">
        <v>2027</v>
      </c>
      <c r="P1112">
        <v>4070</v>
      </c>
    </row>
    <row r="1113" spans="1:16" x14ac:dyDescent="0.3">
      <c r="A1113" t="s">
        <v>967</v>
      </c>
      <c r="B1113" s="45">
        <v>45380</v>
      </c>
      <c r="C1113" t="s">
        <v>968</v>
      </c>
      <c r="D1113" t="s">
        <v>200</v>
      </c>
      <c r="E1113" t="s">
        <v>170</v>
      </c>
      <c r="F1113">
        <v>1</v>
      </c>
      <c r="G1113">
        <v>2760</v>
      </c>
      <c r="H1113">
        <v>22.2</v>
      </c>
      <c r="I1113">
        <v>2147.2800000000002</v>
      </c>
      <c r="J1113" t="s">
        <v>87</v>
      </c>
      <c r="K1113" t="s">
        <v>99</v>
      </c>
      <c r="L1113" t="s">
        <v>99</v>
      </c>
      <c r="M1113" t="s">
        <v>2806</v>
      </c>
      <c r="N1113" t="s">
        <v>2879</v>
      </c>
      <c r="O1113">
        <v>1435</v>
      </c>
      <c r="P1113">
        <v>2760</v>
      </c>
    </row>
    <row r="1114" spans="1:16" x14ac:dyDescent="0.3">
      <c r="A1114" t="s">
        <v>971</v>
      </c>
      <c r="B1114" s="45">
        <v>45418</v>
      </c>
      <c r="C1114" t="s">
        <v>546</v>
      </c>
      <c r="D1114" t="s">
        <v>102</v>
      </c>
      <c r="E1114" t="s">
        <v>128</v>
      </c>
      <c r="F1114">
        <v>6</v>
      </c>
      <c r="G1114">
        <v>3660</v>
      </c>
      <c r="H1114">
        <v>10.6</v>
      </c>
      <c r="I1114">
        <v>19632.240000000002</v>
      </c>
      <c r="J1114" t="s">
        <v>87</v>
      </c>
      <c r="K1114" t="s">
        <v>99</v>
      </c>
      <c r="L1114" t="s">
        <v>99</v>
      </c>
      <c r="M1114" t="s">
        <v>2806</v>
      </c>
      <c r="N1114" t="s">
        <v>2879</v>
      </c>
      <c r="O1114">
        <v>2214</v>
      </c>
      <c r="P1114">
        <v>3660</v>
      </c>
    </row>
    <row r="1115" spans="1:16" x14ac:dyDescent="0.3">
      <c r="A1115" t="s">
        <v>979</v>
      </c>
      <c r="B1115" s="45">
        <v>45468</v>
      </c>
      <c r="C1115" t="s">
        <v>460</v>
      </c>
      <c r="D1115" t="s">
        <v>367</v>
      </c>
      <c r="E1115" t="s">
        <v>132</v>
      </c>
      <c r="F1115">
        <v>3</v>
      </c>
      <c r="G1115">
        <v>2380</v>
      </c>
      <c r="H1115">
        <v>2.7</v>
      </c>
      <c r="I1115">
        <v>6947.22</v>
      </c>
      <c r="J1115" t="s">
        <v>93</v>
      </c>
      <c r="K1115" t="s">
        <v>88</v>
      </c>
      <c r="L1115" t="s">
        <v>88</v>
      </c>
      <c r="M1115" t="s">
        <v>2806</v>
      </c>
      <c r="N1115" t="s">
        <v>2862</v>
      </c>
      <c r="O1115">
        <v>1182</v>
      </c>
      <c r="P1115">
        <v>2380</v>
      </c>
    </row>
    <row r="1116" spans="1:16" x14ac:dyDescent="0.3">
      <c r="A1116" t="s">
        <v>980</v>
      </c>
      <c r="B1116" s="45">
        <v>45485</v>
      </c>
      <c r="C1116" t="s">
        <v>729</v>
      </c>
      <c r="D1116" t="s">
        <v>367</v>
      </c>
      <c r="E1116" t="s">
        <v>107</v>
      </c>
      <c r="F1116">
        <v>9</v>
      </c>
      <c r="G1116">
        <v>2380</v>
      </c>
      <c r="H1116">
        <v>20.100000000000001</v>
      </c>
      <c r="I1116">
        <v>17114.580000000002</v>
      </c>
      <c r="J1116" t="s">
        <v>87</v>
      </c>
      <c r="K1116" t="s">
        <v>112</v>
      </c>
      <c r="L1116" t="s">
        <v>112</v>
      </c>
      <c r="M1116" t="s">
        <v>2806</v>
      </c>
      <c r="N1116" t="s">
        <v>2855</v>
      </c>
      <c r="O1116">
        <v>1182</v>
      </c>
      <c r="P1116">
        <v>2380</v>
      </c>
    </row>
    <row r="1117" spans="1:16" x14ac:dyDescent="0.3">
      <c r="A1117" t="s">
        <v>985</v>
      </c>
      <c r="B1117" s="45">
        <v>45493</v>
      </c>
      <c r="C1117" t="s">
        <v>986</v>
      </c>
      <c r="D1117" t="s">
        <v>234</v>
      </c>
      <c r="E1117" t="s">
        <v>215</v>
      </c>
      <c r="F1117">
        <v>1</v>
      </c>
      <c r="G1117">
        <v>3780</v>
      </c>
      <c r="H1117">
        <v>4.7</v>
      </c>
      <c r="I1117">
        <v>3602.34</v>
      </c>
      <c r="J1117" t="s">
        <v>87</v>
      </c>
      <c r="K1117" t="s">
        <v>94</v>
      </c>
      <c r="L1117" t="s">
        <v>94</v>
      </c>
      <c r="M1117" t="s">
        <v>2806</v>
      </c>
      <c r="N1117" t="s">
        <v>2855</v>
      </c>
      <c r="O1117">
        <v>2436</v>
      </c>
      <c r="P1117">
        <v>3780</v>
      </c>
    </row>
    <row r="1118" spans="1:16" x14ac:dyDescent="0.3">
      <c r="A1118" t="s">
        <v>996</v>
      </c>
      <c r="B1118" s="45">
        <v>45568</v>
      </c>
      <c r="C1118" t="s">
        <v>266</v>
      </c>
      <c r="D1118" t="s">
        <v>102</v>
      </c>
      <c r="E1118" t="s">
        <v>128</v>
      </c>
      <c r="F1118">
        <v>3</v>
      </c>
      <c r="G1118">
        <v>3660</v>
      </c>
      <c r="H1118">
        <v>3.2</v>
      </c>
      <c r="I1118">
        <v>10628.64</v>
      </c>
      <c r="J1118" t="s">
        <v>93</v>
      </c>
      <c r="K1118" t="s">
        <v>99</v>
      </c>
      <c r="L1118" t="s">
        <v>99</v>
      </c>
      <c r="M1118" t="s">
        <v>2806</v>
      </c>
      <c r="N1118" t="s">
        <v>2879</v>
      </c>
      <c r="O1118">
        <v>2214</v>
      </c>
      <c r="P1118">
        <v>3660</v>
      </c>
    </row>
    <row r="1119" spans="1:16" x14ac:dyDescent="0.3">
      <c r="A1119" t="s">
        <v>1007</v>
      </c>
      <c r="B1119" s="45">
        <v>45357</v>
      </c>
      <c r="C1119" t="s">
        <v>597</v>
      </c>
      <c r="D1119" t="s">
        <v>234</v>
      </c>
      <c r="E1119" t="s">
        <v>229</v>
      </c>
      <c r="F1119">
        <v>2</v>
      </c>
      <c r="G1119">
        <v>3780</v>
      </c>
      <c r="H1119">
        <v>29.4</v>
      </c>
      <c r="I1119">
        <v>5337.36</v>
      </c>
      <c r="J1119" t="s">
        <v>87</v>
      </c>
      <c r="K1119" t="s">
        <v>112</v>
      </c>
      <c r="L1119" t="s">
        <v>112</v>
      </c>
      <c r="M1119" t="s">
        <v>2806</v>
      </c>
      <c r="N1119" t="s">
        <v>2879</v>
      </c>
      <c r="O1119">
        <v>2436</v>
      </c>
      <c r="P1119">
        <v>3780</v>
      </c>
    </row>
    <row r="1120" spans="1:16" x14ac:dyDescent="0.3">
      <c r="A1120" t="s">
        <v>1008</v>
      </c>
      <c r="B1120" s="45">
        <v>45432</v>
      </c>
      <c r="C1120" t="s">
        <v>479</v>
      </c>
      <c r="D1120" t="s">
        <v>127</v>
      </c>
      <c r="E1120" t="s">
        <v>285</v>
      </c>
      <c r="F1120">
        <v>5</v>
      </c>
      <c r="G1120">
        <v>970</v>
      </c>
      <c r="H1120">
        <v>14.6</v>
      </c>
      <c r="I1120">
        <v>4141.8999999999996</v>
      </c>
      <c r="J1120" t="s">
        <v>87</v>
      </c>
      <c r="K1120" t="s">
        <v>88</v>
      </c>
      <c r="L1120" t="s">
        <v>88</v>
      </c>
      <c r="M1120" t="s">
        <v>2806</v>
      </c>
      <c r="N1120" t="s">
        <v>2871</v>
      </c>
      <c r="O1120">
        <v>434</v>
      </c>
      <c r="P1120">
        <v>970</v>
      </c>
    </row>
    <row r="1121" spans="1:16" x14ac:dyDescent="0.3">
      <c r="A1121" t="s">
        <v>1009</v>
      </c>
      <c r="B1121" s="45">
        <v>45604</v>
      </c>
      <c r="C1121" t="s">
        <v>785</v>
      </c>
      <c r="D1121" t="s">
        <v>245</v>
      </c>
      <c r="E1121" t="s">
        <v>297</v>
      </c>
      <c r="F1121">
        <v>3</v>
      </c>
      <c r="G1121">
        <v>2270</v>
      </c>
      <c r="H1121">
        <v>6.5</v>
      </c>
      <c r="I1121">
        <v>6367.35</v>
      </c>
      <c r="J1121" t="s">
        <v>87</v>
      </c>
      <c r="K1121" t="s">
        <v>88</v>
      </c>
      <c r="L1121" t="s">
        <v>88</v>
      </c>
      <c r="M1121" t="s">
        <v>2806</v>
      </c>
      <c r="N1121" t="s">
        <v>2855</v>
      </c>
      <c r="O1121">
        <v>1412</v>
      </c>
      <c r="P1121">
        <v>2270</v>
      </c>
    </row>
    <row r="1122" spans="1:16" x14ac:dyDescent="0.3">
      <c r="A1122" t="s">
        <v>1011</v>
      </c>
      <c r="B1122" s="45">
        <v>45649</v>
      </c>
      <c r="C1122" t="s">
        <v>105</v>
      </c>
      <c r="D1122" t="s">
        <v>200</v>
      </c>
      <c r="E1122" t="s">
        <v>238</v>
      </c>
      <c r="F1122">
        <v>4</v>
      </c>
      <c r="G1122">
        <v>2760</v>
      </c>
      <c r="H1122">
        <v>19.8</v>
      </c>
      <c r="I1122">
        <v>8854.08</v>
      </c>
      <c r="J1122" t="s">
        <v>87</v>
      </c>
      <c r="K1122" t="s">
        <v>94</v>
      </c>
      <c r="L1122" t="s">
        <v>94</v>
      </c>
      <c r="M1122" t="s">
        <v>2806</v>
      </c>
      <c r="N1122" t="s">
        <v>2871</v>
      </c>
      <c r="O1122">
        <v>1435</v>
      </c>
      <c r="P1122">
        <v>2760</v>
      </c>
    </row>
    <row r="1123" spans="1:16" x14ac:dyDescent="0.3">
      <c r="A1123" t="s">
        <v>1012</v>
      </c>
      <c r="B1123" s="45">
        <v>45332</v>
      </c>
      <c r="C1123" t="s">
        <v>385</v>
      </c>
      <c r="D1123" t="s">
        <v>131</v>
      </c>
      <c r="E1123" t="s">
        <v>170</v>
      </c>
      <c r="F1123">
        <v>3</v>
      </c>
      <c r="G1123">
        <v>2270</v>
      </c>
      <c r="H1123">
        <v>29.5</v>
      </c>
      <c r="I1123">
        <v>4801.05</v>
      </c>
      <c r="J1123" t="s">
        <v>144</v>
      </c>
      <c r="K1123" t="s">
        <v>117</v>
      </c>
      <c r="L1123" t="s">
        <v>117</v>
      </c>
      <c r="M1123" t="s">
        <v>2806</v>
      </c>
      <c r="N1123" t="s">
        <v>2879</v>
      </c>
      <c r="O1123">
        <v>1203</v>
      </c>
      <c r="P1123">
        <v>2270</v>
      </c>
    </row>
    <row r="1124" spans="1:16" x14ac:dyDescent="0.3">
      <c r="A1124" t="s">
        <v>1014</v>
      </c>
      <c r="B1124" s="45">
        <v>45490</v>
      </c>
      <c r="C1124" t="s">
        <v>559</v>
      </c>
      <c r="D1124" t="s">
        <v>367</v>
      </c>
      <c r="E1124" t="s">
        <v>303</v>
      </c>
      <c r="F1124">
        <v>6</v>
      </c>
      <c r="G1124">
        <v>2380</v>
      </c>
      <c r="H1124">
        <v>20.399999999999999</v>
      </c>
      <c r="I1124">
        <v>11366.88</v>
      </c>
      <c r="J1124" t="s">
        <v>87</v>
      </c>
      <c r="K1124" t="s">
        <v>88</v>
      </c>
      <c r="L1124" t="s">
        <v>88</v>
      </c>
      <c r="M1124" t="s">
        <v>2806</v>
      </c>
      <c r="N1124" t="s">
        <v>2871</v>
      </c>
      <c r="O1124">
        <v>1182</v>
      </c>
      <c r="P1124">
        <v>2380</v>
      </c>
    </row>
    <row r="1125" spans="1:16" x14ac:dyDescent="0.3">
      <c r="A1125" t="s">
        <v>1018</v>
      </c>
      <c r="B1125" s="45">
        <v>45548</v>
      </c>
      <c r="C1125" t="s">
        <v>770</v>
      </c>
      <c r="D1125" t="s">
        <v>127</v>
      </c>
      <c r="E1125" t="s">
        <v>252</v>
      </c>
      <c r="F1125">
        <v>4</v>
      </c>
      <c r="G1125">
        <v>970</v>
      </c>
      <c r="H1125">
        <v>11.6</v>
      </c>
      <c r="I1125">
        <v>3429.92</v>
      </c>
      <c r="J1125" t="s">
        <v>87</v>
      </c>
      <c r="K1125" t="s">
        <v>88</v>
      </c>
      <c r="L1125" t="s">
        <v>88</v>
      </c>
      <c r="M1125" t="s">
        <v>2806</v>
      </c>
      <c r="N1125" t="s">
        <v>2862</v>
      </c>
      <c r="O1125">
        <v>434</v>
      </c>
      <c r="P1125">
        <v>970</v>
      </c>
    </row>
    <row r="1126" spans="1:16" x14ac:dyDescent="0.3">
      <c r="A1126" t="s">
        <v>1019</v>
      </c>
      <c r="B1126" s="45">
        <v>45632</v>
      </c>
      <c r="C1126" t="s">
        <v>602</v>
      </c>
      <c r="D1126" t="s">
        <v>245</v>
      </c>
      <c r="E1126" t="s">
        <v>297</v>
      </c>
      <c r="F1126">
        <v>7</v>
      </c>
      <c r="G1126">
        <v>2270</v>
      </c>
      <c r="H1126">
        <v>27.9</v>
      </c>
      <c r="I1126">
        <v>11456.69</v>
      </c>
      <c r="J1126" t="s">
        <v>87</v>
      </c>
      <c r="K1126" t="s">
        <v>94</v>
      </c>
      <c r="L1126" t="s">
        <v>94</v>
      </c>
      <c r="M1126" t="s">
        <v>2806</v>
      </c>
      <c r="N1126" t="s">
        <v>2855</v>
      </c>
      <c r="O1126">
        <v>1412</v>
      </c>
      <c r="P1126">
        <v>2270</v>
      </c>
    </row>
    <row r="1127" spans="1:16" x14ac:dyDescent="0.3">
      <c r="A1127" t="s">
        <v>1021</v>
      </c>
      <c r="B1127" s="45">
        <v>45330</v>
      </c>
      <c r="C1127" t="s">
        <v>460</v>
      </c>
      <c r="D1127" t="s">
        <v>367</v>
      </c>
      <c r="E1127" t="s">
        <v>215</v>
      </c>
      <c r="F1127">
        <v>8</v>
      </c>
      <c r="G1127">
        <v>2380</v>
      </c>
      <c r="H1127">
        <v>15.3</v>
      </c>
      <c r="I1127">
        <v>16126.88</v>
      </c>
      <c r="J1127" t="s">
        <v>140</v>
      </c>
      <c r="K1127" t="s">
        <v>88</v>
      </c>
      <c r="L1127" t="s">
        <v>88</v>
      </c>
      <c r="M1127" t="s">
        <v>2806</v>
      </c>
      <c r="N1127" t="s">
        <v>2855</v>
      </c>
      <c r="O1127">
        <v>1182</v>
      </c>
      <c r="P1127">
        <v>2380</v>
      </c>
    </row>
    <row r="1128" spans="1:16" x14ac:dyDescent="0.3">
      <c r="A1128" t="s">
        <v>1025</v>
      </c>
      <c r="B1128" s="45">
        <v>45478</v>
      </c>
      <c r="C1128" t="s">
        <v>206</v>
      </c>
      <c r="D1128" t="s">
        <v>264</v>
      </c>
      <c r="E1128" t="s">
        <v>86</v>
      </c>
      <c r="F1128">
        <v>2</v>
      </c>
      <c r="G1128">
        <v>4070</v>
      </c>
      <c r="H1128">
        <v>2.1</v>
      </c>
      <c r="I1128">
        <v>7969.06</v>
      </c>
      <c r="J1128" t="s">
        <v>87</v>
      </c>
      <c r="K1128" t="s">
        <v>133</v>
      </c>
      <c r="L1128" t="s">
        <v>133</v>
      </c>
      <c r="M1128" t="s">
        <v>2806</v>
      </c>
      <c r="N1128" t="s">
        <v>2855</v>
      </c>
      <c r="O1128">
        <v>2027</v>
      </c>
      <c r="P1128">
        <v>4070</v>
      </c>
    </row>
    <row r="1129" spans="1:16" x14ac:dyDescent="0.3">
      <c r="A1129" t="s">
        <v>1030</v>
      </c>
      <c r="B1129" s="45">
        <v>45470</v>
      </c>
      <c r="C1129" t="s">
        <v>823</v>
      </c>
      <c r="D1129" t="s">
        <v>245</v>
      </c>
      <c r="E1129" t="s">
        <v>285</v>
      </c>
      <c r="F1129">
        <v>3</v>
      </c>
      <c r="G1129">
        <v>2270</v>
      </c>
      <c r="H1129">
        <v>6.7</v>
      </c>
      <c r="I1129">
        <v>6353.73</v>
      </c>
      <c r="J1129" t="s">
        <v>87</v>
      </c>
      <c r="K1129" t="s">
        <v>94</v>
      </c>
      <c r="L1129" t="s">
        <v>94</v>
      </c>
      <c r="M1129" t="s">
        <v>2806</v>
      </c>
      <c r="N1129" t="s">
        <v>2871</v>
      </c>
      <c r="O1129">
        <v>1412</v>
      </c>
      <c r="P1129">
        <v>2270</v>
      </c>
    </row>
    <row r="1130" spans="1:16" x14ac:dyDescent="0.3">
      <c r="A1130" t="s">
        <v>1031</v>
      </c>
      <c r="B1130" s="45">
        <v>45589</v>
      </c>
      <c r="C1130" t="s">
        <v>557</v>
      </c>
      <c r="D1130" t="s">
        <v>351</v>
      </c>
      <c r="E1130" t="s">
        <v>86</v>
      </c>
      <c r="F1130">
        <v>10</v>
      </c>
      <c r="G1130">
        <v>4060</v>
      </c>
      <c r="H1130">
        <v>3.6</v>
      </c>
      <c r="I1130">
        <v>39138.400000000001</v>
      </c>
      <c r="J1130" t="s">
        <v>93</v>
      </c>
      <c r="K1130" t="s">
        <v>112</v>
      </c>
      <c r="L1130" t="s">
        <v>112</v>
      </c>
      <c r="M1130" t="s">
        <v>2806</v>
      </c>
      <c r="N1130" t="s">
        <v>2855</v>
      </c>
      <c r="O1130">
        <v>2911</v>
      </c>
      <c r="P1130">
        <v>4060</v>
      </c>
    </row>
    <row r="1131" spans="1:16" x14ac:dyDescent="0.3">
      <c r="A1131" t="s">
        <v>1041</v>
      </c>
      <c r="B1131" s="45">
        <v>45373</v>
      </c>
      <c r="C1131" t="s">
        <v>175</v>
      </c>
      <c r="D1131" t="s">
        <v>338</v>
      </c>
      <c r="E1131" t="s">
        <v>158</v>
      </c>
      <c r="F1131">
        <v>7</v>
      </c>
      <c r="G1131">
        <v>2210</v>
      </c>
      <c r="H1131">
        <v>17.100000000000001</v>
      </c>
      <c r="I1131">
        <v>12824.63</v>
      </c>
      <c r="J1131" t="s">
        <v>87</v>
      </c>
      <c r="K1131" t="s">
        <v>133</v>
      </c>
      <c r="L1131" t="s">
        <v>133</v>
      </c>
      <c r="M1131" t="s">
        <v>2806</v>
      </c>
      <c r="N1131" t="s">
        <v>2871</v>
      </c>
      <c r="O1131">
        <v>1010</v>
      </c>
      <c r="P1131">
        <v>2210</v>
      </c>
    </row>
    <row r="1132" spans="1:16" x14ac:dyDescent="0.3">
      <c r="A1132" t="s">
        <v>1054</v>
      </c>
      <c r="B1132" s="45">
        <v>45342</v>
      </c>
      <c r="C1132" t="s">
        <v>1055</v>
      </c>
      <c r="D1132" t="s">
        <v>131</v>
      </c>
      <c r="E1132" t="s">
        <v>188</v>
      </c>
      <c r="F1132">
        <v>7</v>
      </c>
      <c r="G1132">
        <v>2270</v>
      </c>
      <c r="H1132">
        <v>0.4</v>
      </c>
      <c r="I1132">
        <v>15826.44</v>
      </c>
      <c r="J1132" t="s">
        <v>87</v>
      </c>
      <c r="K1132" t="s">
        <v>112</v>
      </c>
      <c r="L1132" t="s">
        <v>112</v>
      </c>
      <c r="M1132" t="s">
        <v>2806</v>
      </c>
      <c r="N1132" t="s">
        <v>2862</v>
      </c>
      <c r="O1132">
        <v>1203</v>
      </c>
      <c r="P1132">
        <v>2270</v>
      </c>
    </row>
    <row r="1133" spans="1:16" x14ac:dyDescent="0.3">
      <c r="A1133" t="s">
        <v>1060</v>
      </c>
      <c r="B1133" s="45">
        <v>45439</v>
      </c>
      <c r="C1133" t="s">
        <v>968</v>
      </c>
      <c r="D1133" t="s">
        <v>200</v>
      </c>
      <c r="E1133" t="s">
        <v>192</v>
      </c>
      <c r="F1133">
        <v>9</v>
      </c>
      <c r="G1133">
        <v>2760</v>
      </c>
      <c r="H1133">
        <v>16.899999999999999</v>
      </c>
      <c r="I1133">
        <v>20642.04</v>
      </c>
      <c r="J1133" t="s">
        <v>87</v>
      </c>
      <c r="K1133" t="s">
        <v>99</v>
      </c>
      <c r="L1133" t="s">
        <v>99</v>
      </c>
      <c r="M1133" t="s">
        <v>2806</v>
      </c>
      <c r="N1133" t="s">
        <v>2871</v>
      </c>
      <c r="O1133">
        <v>1435</v>
      </c>
      <c r="P1133">
        <v>2760</v>
      </c>
    </row>
    <row r="1134" spans="1:16" x14ac:dyDescent="0.3">
      <c r="A1134" t="s">
        <v>1066</v>
      </c>
      <c r="B1134" s="45">
        <v>45524</v>
      </c>
      <c r="C1134" t="s">
        <v>597</v>
      </c>
      <c r="D1134" t="s">
        <v>102</v>
      </c>
      <c r="E1134" t="s">
        <v>346</v>
      </c>
      <c r="F1134">
        <v>1</v>
      </c>
      <c r="G1134">
        <v>3660</v>
      </c>
      <c r="H1134">
        <v>19.7</v>
      </c>
      <c r="I1134">
        <v>2938.98</v>
      </c>
      <c r="J1134" t="s">
        <v>87</v>
      </c>
      <c r="K1134" t="s">
        <v>112</v>
      </c>
      <c r="L1134" t="s">
        <v>112</v>
      </c>
      <c r="M1134" t="s">
        <v>2806</v>
      </c>
      <c r="N1134" t="s">
        <v>2862</v>
      </c>
      <c r="O1134">
        <v>2214</v>
      </c>
      <c r="P1134">
        <v>3660</v>
      </c>
    </row>
    <row r="1135" spans="1:16" x14ac:dyDescent="0.3">
      <c r="A1135" t="s">
        <v>1073</v>
      </c>
      <c r="B1135" s="45">
        <v>45558</v>
      </c>
      <c r="C1135" t="s">
        <v>442</v>
      </c>
      <c r="D1135" t="s">
        <v>102</v>
      </c>
      <c r="E1135" t="s">
        <v>132</v>
      </c>
      <c r="F1135">
        <v>5</v>
      </c>
      <c r="G1135">
        <v>3660</v>
      </c>
      <c r="H1135">
        <v>11.9</v>
      </c>
      <c r="I1135">
        <v>16122.3</v>
      </c>
      <c r="J1135" t="s">
        <v>93</v>
      </c>
      <c r="K1135" t="s">
        <v>88</v>
      </c>
      <c r="L1135" t="s">
        <v>88</v>
      </c>
      <c r="M1135" t="s">
        <v>2806</v>
      </c>
      <c r="N1135" t="s">
        <v>2862</v>
      </c>
      <c r="O1135">
        <v>2214</v>
      </c>
      <c r="P1135">
        <v>3660</v>
      </c>
    </row>
    <row r="1136" spans="1:16" x14ac:dyDescent="0.3">
      <c r="A1136" t="s">
        <v>1079</v>
      </c>
      <c r="B1136" s="45">
        <v>45592</v>
      </c>
      <c r="C1136" t="s">
        <v>1072</v>
      </c>
      <c r="D1136" t="s">
        <v>131</v>
      </c>
      <c r="E1136" t="s">
        <v>297</v>
      </c>
      <c r="F1136">
        <v>4</v>
      </c>
      <c r="G1136">
        <v>2270</v>
      </c>
      <c r="H1136">
        <v>27.5</v>
      </c>
      <c r="I1136">
        <v>6583</v>
      </c>
      <c r="J1136" t="s">
        <v>93</v>
      </c>
      <c r="K1136" t="s">
        <v>112</v>
      </c>
      <c r="L1136" t="s">
        <v>112</v>
      </c>
      <c r="M1136" t="s">
        <v>2806</v>
      </c>
      <c r="N1136" t="s">
        <v>2855</v>
      </c>
      <c r="O1136">
        <v>1203</v>
      </c>
      <c r="P1136">
        <v>2270</v>
      </c>
    </row>
    <row r="1137" spans="1:16" x14ac:dyDescent="0.3">
      <c r="A1137" t="s">
        <v>1080</v>
      </c>
      <c r="B1137" s="45">
        <v>45509</v>
      </c>
      <c r="C1137" t="s">
        <v>101</v>
      </c>
      <c r="D1137" t="s">
        <v>127</v>
      </c>
      <c r="E1137" t="s">
        <v>325</v>
      </c>
      <c r="F1137">
        <v>1</v>
      </c>
      <c r="G1137">
        <v>970</v>
      </c>
      <c r="H1137">
        <v>12.7</v>
      </c>
      <c r="I1137">
        <v>846.81</v>
      </c>
      <c r="J1137" t="s">
        <v>87</v>
      </c>
      <c r="K1137" t="s">
        <v>99</v>
      </c>
      <c r="L1137" t="s">
        <v>99</v>
      </c>
      <c r="M1137" t="s">
        <v>2806</v>
      </c>
      <c r="N1137" t="s">
        <v>2862</v>
      </c>
      <c r="O1137">
        <v>434</v>
      </c>
      <c r="P1137">
        <v>970</v>
      </c>
    </row>
    <row r="1138" spans="1:16" x14ac:dyDescent="0.3">
      <c r="A1138" t="s">
        <v>1087</v>
      </c>
      <c r="B1138" s="45">
        <v>45554</v>
      </c>
      <c r="C1138" t="s">
        <v>1027</v>
      </c>
      <c r="D1138" t="s">
        <v>338</v>
      </c>
      <c r="E1138" t="s">
        <v>273</v>
      </c>
      <c r="F1138">
        <v>8</v>
      </c>
      <c r="G1138">
        <v>2210</v>
      </c>
      <c r="H1138">
        <v>26</v>
      </c>
      <c r="I1138">
        <v>13083.2</v>
      </c>
      <c r="J1138" t="s">
        <v>87</v>
      </c>
      <c r="K1138" t="s">
        <v>112</v>
      </c>
      <c r="L1138" t="s">
        <v>112</v>
      </c>
      <c r="M1138" t="s">
        <v>2806</v>
      </c>
      <c r="N1138" t="s">
        <v>2862</v>
      </c>
      <c r="O1138">
        <v>1010</v>
      </c>
      <c r="P1138">
        <v>2210</v>
      </c>
    </row>
    <row r="1139" spans="1:16" x14ac:dyDescent="0.3">
      <c r="A1139" t="s">
        <v>1090</v>
      </c>
      <c r="B1139" s="45">
        <v>45588</v>
      </c>
      <c r="C1139" t="s">
        <v>557</v>
      </c>
      <c r="D1139" t="s">
        <v>200</v>
      </c>
      <c r="E1139" t="s">
        <v>297</v>
      </c>
      <c r="F1139">
        <v>3</v>
      </c>
      <c r="G1139">
        <v>2760</v>
      </c>
      <c r="H1139">
        <v>1.9</v>
      </c>
      <c r="I1139">
        <v>8122.68</v>
      </c>
      <c r="J1139" t="s">
        <v>140</v>
      </c>
      <c r="K1139" t="s">
        <v>112</v>
      </c>
      <c r="L1139" t="s">
        <v>112</v>
      </c>
      <c r="M1139" t="s">
        <v>2806</v>
      </c>
      <c r="N1139" t="s">
        <v>2855</v>
      </c>
      <c r="O1139">
        <v>1435</v>
      </c>
      <c r="P1139">
        <v>2760</v>
      </c>
    </row>
    <row r="1140" spans="1:16" x14ac:dyDescent="0.3">
      <c r="A1140" t="s">
        <v>1095</v>
      </c>
      <c r="B1140" s="45">
        <v>45425</v>
      </c>
      <c r="C1140" t="s">
        <v>1096</v>
      </c>
      <c r="D1140" t="s">
        <v>367</v>
      </c>
      <c r="E1140" t="s">
        <v>297</v>
      </c>
      <c r="F1140">
        <v>7</v>
      </c>
      <c r="G1140">
        <v>2380</v>
      </c>
      <c r="H1140">
        <v>25.5</v>
      </c>
      <c r="I1140">
        <v>12411.7</v>
      </c>
      <c r="J1140" t="s">
        <v>87</v>
      </c>
      <c r="K1140" t="s">
        <v>88</v>
      </c>
      <c r="L1140" t="s">
        <v>88</v>
      </c>
      <c r="M1140" t="s">
        <v>2806</v>
      </c>
      <c r="N1140" t="s">
        <v>2855</v>
      </c>
      <c r="O1140">
        <v>1182</v>
      </c>
      <c r="P1140">
        <v>2380</v>
      </c>
    </row>
    <row r="1141" spans="1:16" x14ac:dyDescent="0.3">
      <c r="A1141" t="s">
        <v>1103</v>
      </c>
      <c r="B1141" s="45">
        <v>45629</v>
      </c>
      <c r="C1141" t="s">
        <v>1104</v>
      </c>
      <c r="D1141" t="s">
        <v>351</v>
      </c>
      <c r="E1141" t="s">
        <v>252</v>
      </c>
      <c r="F1141">
        <v>3</v>
      </c>
      <c r="G1141">
        <v>4060</v>
      </c>
      <c r="H1141">
        <v>2.5</v>
      </c>
      <c r="I1141">
        <v>11875.5</v>
      </c>
      <c r="J1141" t="s">
        <v>144</v>
      </c>
      <c r="K1141" t="s">
        <v>117</v>
      </c>
      <c r="L1141" t="s">
        <v>117</v>
      </c>
      <c r="M1141" t="s">
        <v>2806</v>
      </c>
      <c r="N1141" t="s">
        <v>2862</v>
      </c>
      <c r="O1141">
        <v>2911</v>
      </c>
      <c r="P1141">
        <v>4060</v>
      </c>
    </row>
    <row r="1142" spans="1:16" x14ac:dyDescent="0.3">
      <c r="A1142" t="s">
        <v>1107</v>
      </c>
      <c r="B1142" s="45">
        <v>45369</v>
      </c>
      <c r="C1142" t="s">
        <v>501</v>
      </c>
      <c r="D1142" t="s">
        <v>131</v>
      </c>
      <c r="E1142" t="s">
        <v>303</v>
      </c>
      <c r="F1142">
        <v>6</v>
      </c>
      <c r="G1142">
        <v>2270</v>
      </c>
      <c r="H1142">
        <v>16.7</v>
      </c>
      <c r="I1142">
        <v>11345.46</v>
      </c>
      <c r="J1142" t="s">
        <v>87</v>
      </c>
      <c r="K1142" t="s">
        <v>133</v>
      </c>
      <c r="L1142" t="s">
        <v>133</v>
      </c>
      <c r="M1142" t="s">
        <v>2806</v>
      </c>
      <c r="N1142" t="s">
        <v>2871</v>
      </c>
      <c r="O1142">
        <v>1203</v>
      </c>
      <c r="P1142">
        <v>2270</v>
      </c>
    </row>
    <row r="1143" spans="1:16" x14ac:dyDescent="0.3">
      <c r="A1143" t="s">
        <v>1108</v>
      </c>
      <c r="B1143" s="45">
        <v>45549</v>
      </c>
      <c r="C1143" t="s">
        <v>394</v>
      </c>
      <c r="D1143" t="s">
        <v>234</v>
      </c>
      <c r="E1143" t="s">
        <v>111</v>
      </c>
      <c r="F1143">
        <v>5</v>
      </c>
      <c r="G1143">
        <v>3780</v>
      </c>
      <c r="H1143">
        <v>21.5</v>
      </c>
      <c r="I1143">
        <v>14836.5</v>
      </c>
      <c r="J1143" t="s">
        <v>87</v>
      </c>
      <c r="K1143" t="s">
        <v>117</v>
      </c>
      <c r="L1143" t="s">
        <v>117</v>
      </c>
      <c r="M1143" t="s">
        <v>2806</v>
      </c>
      <c r="N1143" t="s">
        <v>2879</v>
      </c>
      <c r="O1143">
        <v>2436</v>
      </c>
      <c r="P1143">
        <v>3780</v>
      </c>
    </row>
    <row r="1144" spans="1:16" x14ac:dyDescent="0.3">
      <c r="A1144" t="s">
        <v>1111</v>
      </c>
      <c r="B1144" s="45">
        <v>45559</v>
      </c>
      <c r="C1144" t="s">
        <v>137</v>
      </c>
      <c r="D1144" t="s">
        <v>351</v>
      </c>
      <c r="E1144" t="s">
        <v>158</v>
      </c>
      <c r="F1144">
        <v>6</v>
      </c>
      <c r="G1144">
        <v>4060</v>
      </c>
      <c r="H1144">
        <v>20.100000000000001</v>
      </c>
      <c r="I1144">
        <v>19463.64</v>
      </c>
      <c r="J1144" t="s">
        <v>93</v>
      </c>
      <c r="K1144" t="s">
        <v>99</v>
      </c>
      <c r="L1144" t="s">
        <v>99</v>
      </c>
      <c r="M1144" t="s">
        <v>2806</v>
      </c>
      <c r="N1144" t="s">
        <v>2871</v>
      </c>
      <c r="O1144">
        <v>2911</v>
      </c>
      <c r="P1144">
        <v>4060</v>
      </c>
    </row>
    <row r="1145" spans="1:16" x14ac:dyDescent="0.3">
      <c r="A1145" t="s">
        <v>1113</v>
      </c>
      <c r="B1145" s="45">
        <v>45525</v>
      </c>
      <c r="C1145" t="s">
        <v>983</v>
      </c>
      <c r="D1145" t="s">
        <v>131</v>
      </c>
      <c r="E1145" t="s">
        <v>148</v>
      </c>
      <c r="F1145">
        <v>2</v>
      </c>
      <c r="G1145">
        <v>2270</v>
      </c>
      <c r="H1145">
        <v>17.7</v>
      </c>
      <c r="I1145">
        <v>3736.42</v>
      </c>
      <c r="J1145" t="s">
        <v>87</v>
      </c>
      <c r="K1145" t="s">
        <v>117</v>
      </c>
      <c r="L1145" t="s">
        <v>117</v>
      </c>
      <c r="M1145" t="s">
        <v>2806</v>
      </c>
      <c r="N1145" t="s">
        <v>2855</v>
      </c>
      <c r="O1145">
        <v>1203</v>
      </c>
      <c r="P1145">
        <v>2270</v>
      </c>
    </row>
    <row r="1146" spans="1:16" x14ac:dyDescent="0.3">
      <c r="A1146" t="s">
        <v>1115</v>
      </c>
      <c r="B1146" s="45">
        <v>45521</v>
      </c>
      <c r="C1146" t="s">
        <v>828</v>
      </c>
      <c r="D1146" t="s">
        <v>338</v>
      </c>
      <c r="E1146" t="s">
        <v>139</v>
      </c>
      <c r="F1146">
        <v>7</v>
      </c>
      <c r="G1146">
        <v>2210</v>
      </c>
      <c r="H1146">
        <v>25</v>
      </c>
      <c r="I1146">
        <v>11602.5</v>
      </c>
      <c r="J1146" t="s">
        <v>87</v>
      </c>
      <c r="K1146" t="s">
        <v>133</v>
      </c>
      <c r="L1146" t="s">
        <v>133</v>
      </c>
      <c r="M1146" t="s">
        <v>2806</v>
      </c>
      <c r="N1146" t="s">
        <v>2855</v>
      </c>
      <c r="O1146">
        <v>1010</v>
      </c>
      <c r="P1146">
        <v>2210</v>
      </c>
    </row>
    <row r="1147" spans="1:16" x14ac:dyDescent="0.3">
      <c r="A1147" t="s">
        <v>1130</v>
      </c>
      <c r="B1147" s="45">
        <v>45635</v>
      </c>
      <c r="C1147" t="s">
        <v>247</v>
      </c>
      <c r="D1147" t="s">
        <v>200</v>
      </c>
      <c r="E1147" t="s">
        <v>154</v>
      </c>
      <c r="F1147">
        <v>7</v>
      </c>
      <c r="G1147">
        <v>2760</v>
      </c>
      <c r="H1147">
        <v>1.2</v>
      </c>
      <c r="I1147">
        <v>19088.16</v>
      </c>
      <c r="J1147" t="s">
        <v>140</v>
      </c>
      <c r="K1147" t="s">
        <v>117</v>
      </c>
      <c r="L1147" t="s">
        <v>117</v>
      </c>
      <c r="M1147" t="s">
        <v>2806</v>
      </c>
      <c r="N1147" t="s">
        <v>2871</v>
      </c>
      <c r="O1147">
        <v>1435</v>
      </c>
      <c r="P1147">
        <v>2760</v>
      </c>
    </row>
    <row r="1148" spans="1:16" x14ac:dyDescent="0.3">
      <c r="A1148" t="s">
        <v>1132</v>
      </c>
      <c r="B1148" s="45">
        <v>45393</v>
      </c>
      <c r="C1148" t="s">
        <v>394</v>
      </c>
      <c r="D1148" t="s">
        <v>234</v>
      </c>
      <c r="E1148" t="s">
        <v>154</v>
      </c>
      <c r="F1148">
        <v>4</v>
      </c>
      <c r="G1148">
        <v>3780</v>
      </c>
      <c r="H1148">
        <v>24.6</v>
      </c>
      <c r="I1148">
        <v>11400.48</v>
      </c>
      <c r="J1148" t="s">
        <v>87</v>
      </c>
      <c r="K1148" t="s">
        <v>117</v>
      </c>
      <c r="L1148" t="s">
        <v>117</v>
      </c>
      <c r="M1148" t="s">
        <v>2806</v>
      </c>
      <c r="N1148" t="s">
        <v>2871</v>
      </c>
      <c r="O1148">
        <v>2436</v>
      </c>
      <c r="P1148">
        <v>3780</v>
      </c>
    </row>
    <row r="1149" spans="1:16" x14ac:dyDescent="0.3">
      <c r="A1149" t="s">
        <v>1138</v>
      </c>
      <c r="B1149" s="45">
        <v>45364</v>
      </c>
      <c r="C1149" t="s">
        <v>567</v>
      </c>
      <c r="D1149" t="s">
        <v>127</v>
      </c>
      <c r="E1149" t="s">
        <v>111</v>
      </c>
      <c r="F1149">
        <v>3</v>
      </c>
      <c r="G1149">
        <v>970</v>
      </c>
      <c r="H1149">
        <v>18.399999999999999</v>
      </c>
      <c r="I1149">
        <v>2374.56</v>
      </c>
      <c r="J1149" t="s">
        <v>87</v>
      </c>
      <c r="K1149" t="s">
        <v>117</v>
      </c>
      <c r="L1149" t="s">
        <v>117</v>
      </c>
      <c r="M1149" t="s">
        <v>2806</v>
      </c>
      <c r="N1149" t="s">
        <v>2879</v>
      </c>
      <c r="O1149">
        <v>434</v>
      </c>
      <c r="P1149">
        <v>970</v>
      </c>
    </row>
    <row r="1150" spans="1:16" x14ac:dyDescent="0.3">
      <c r="A1150" t="s">
        <v>1152</v>
      </c>
      <c r="B1150" s="45">
        <v>45357</v>
      </c>
      <c r="C1150" t="s">
        <v>1062</v>
      </c>
      <c r="D1150" t="s">
        <v>234</v>
      </c>
      <c r="E1150" t="s">
        <v>204</v>
      </c>
      <c r="F1150">
        <v>1</v>
      </c>
      <c r="G1150">
        <v>3780</v>
      </c>
      <c r="H1150">
        <v>22.7</v>
      </c>
      <c r="I1150">
        <v>2921.94</v>
      </c>
      <c r="J1150" t="s">
        <v>87</v>
      </c>
      <c r="K1150" t="s">
        <v>112</v>
      </c>
      <c r="L1150" t="s">
        <v>112</v>
      </c>
      <c r="M1150" t="s">
        <v>2806</v>
      </c>
      <c r="N1150" t="s">
        <v>2862</v>
      </c>
      <c r="O1150">
        <v>2436</v>
      </c>
      <c r="P1150">
        <v>3780</v>
      </c>
    </row>
    <row r="1151" spans="1:16" x14ac:dyDescent="0.3">
      <c r="A1151" t="s">
        <v>1161</v>
      </c>
      <c r="B1151" s="45">
        <v>45620</v>
      </c>
      <c r="C1151" t="s">
        <v>705</v>
      </c>
      <c r="D1151" t="s">
        <v>102</v>
      </c>
      <c r="E1151" t="s">
        <v>285</v>
      </c>
      <c r="F1151">
        <v>5</v>
      </c>
      <c r="G1151">
        <v>3660</v>
      </c>
      <c r="H1151">
        <v>11.7</v>
      </c>
      <c r="I1151">
        <v>16158.9</v>
      </c>
      <c r="J1151" t="s">
        <v>87</v>
      </c>
      <c r="K1151" t="s">
        <v>99</v>
      </c>
      <c r="L1151" t="s">
        <v>99</v>
      </c>
      <c r="M1151" t="s">
        <v>2806</v>
      </c>
      <c r="N1151" t="s">
        <v>2871</v>
      </c>
      <c r="O1151">
        <v>2214</v>
      </c>
      <c r="P1151">
        <v>3660</v>
      </c>
    </row>
    <row r="1152" spans="1:16" x14ac:dyDescent="0.3">
      <c r="A1152" t="s">
        <v>1167</v>
      </c>
      <c r="B1152" s="45">
        <v>45474</v>
      </c>
      <c r="C1152" t="s">
        <v>714</v>
      </c>
      <c r="D1152" t="s">
        <v>131</v>
      </c>
      <c r="E1152" t="s">
        <v>121</v>
      </c>
      <c r="F1152">
        <v>4</v>
      </c>
      <c r="G1152">
        <v>2270</v>
      </c>
      <c r="H1152">
        <v>17.100000000000001</v>
      </c>
      <c r="I1152">
        <v>7527.32</v>
      </c>
      <c r="J1152" t="s">
        <v>87</v>
      </c>
      <c r="K1152" t="s">
        <v>99</v>
      </c>
      <c r="L1152" t="s">
        <v>99</v>
      </c>
      <c r="M1152" t="s">
        <v>2806</v>
      </c>
      <c r="N1152" t="s">
        <v>2871</v>
      </c>
      <c r="O1152">
        <v>1203</v>
      </c>
      <c r="P1152">
        <v>2270</v>
      </c>
    </row>
    <row r="1153" spans="1:16" x14ac:dyDescent="0.3">
      <c r="A1153" t="s">
        <v>1168</v>
      </c>
      <c r="B1153" s="45">
        <v>45588</v>
      </c>
      <c r="C1153" t="s">
        <v>223</v>
      </c>
      <c r="D1153" t="s">
        <v>200</v>
      </c>
      <c r="E1153" t="s">
        <v>132</v>
      </c>
      <c r="F1153">
        <v>7</v>
      </c>
      <c r="G1153">
        <v>2760</v>
      </c>
      <c r="H1153">
        <v>17.100000000000001</v>
      </c>
      <c r="I1153">
        <v>16016.28</v>
      </c>
      <c r="J1153" t="s">
        <v>87</v>
      </c>
      <c r="K1153" t="s">
        <v>99</v>
      </c>
      <c r="L1153" t="s">
        <v>99</v>
      </c>
      <c r="M1153" t="s">
        <v>2806</v>
      </c>
      <c r="N1153" t="s">
        <v>2862</v>
      </c>
      <c r="O1153">
        <v>1435</v>
      </c>
      <c r="P1153">
        <v>2760</v>
      </c>
    </row>
    <row r="1154" spans="1:16" x14ac:dyDescent="0.3">
      <c r="A1154" t="s">
        <v>1170</v>
      </c>
      <c r="B1154" s="45">
        <v>45630</v>
      </c>
      <c r="C1154" t="s">
        <v>592</v>
      </c>
      <c r="D1154" t="s">
        <v>102</v>
      </c>
      <c r="E1154" t="s">
        <v>86</v>
      </c>
      <c r="F1154">
        <v>8</v>
      </c>
      <c r="G1154">
        <v>3660</v>
      </c>
      <c r="H1154">
        <v>7.2</v>
      </c>
      <c r="I1154">
        <v>27171.84</v>
      </c>
      <c r="J1154" t="s">
        <v>87</v>
      </c>
      <c r="K1154" t="s">
        <v>133</v>
      </c>
      <c r="L1154" t="s">
        <v>133</v>
      </c>
      <c r="M1154" t="s">
        <v>2806</v>
      </c>
      <c r="N1154" t="s">
        <v>2855</v>
      </c>
      <c r="O1154">
        <v>2214</v>
      </c>
      <c r="P1154">
        <v>3660</v>
      </c>
    </row>
    <row r="1155" spans="1:16" x14ac:dyDescent="0.3">
      <c r="A1155" t="s">
        <v>1177</v>
      </c>
      <c r="B1155" s="45">
        <v>45351</v>
      </c>
      <c r="C1155" t="s">
        <v>610</v>
      </c>
      <c r="D1155" t="s">
        <v>264</v>
      </c>
      <c r="E1155" t="s">
        <v>346</v>
      </c>
      <c r="F1155">
        <v>3</v>
      </c>
      <c r="G1155">
        <v>4070</v>
      </c>
      <c r="H1155">
        <v>25.2</v>
      </c>
      <c r="I1155">
        <v>9133.08</v>
      </c>
      <c r="J1155" t="s">
        <v>87</v>
      </c>
      <c r="K1155" t="s">
        <v>117</v>
      </c>
      <c r="L1155" t="s">
        <v>117</v>
      </c>
      <c r="M1155" t="s">
        <v>2806</v>
      </c>
      <c r="N1155" t="s">
        <v>2862</v>
      </c>
      <c r="O1155">
        <v>2027</v>
      </c>
      <c r="P1155">
        <v>4070</v>
      </c>
    </row>
    <row r="1156" spans="1:16" x14ac:dyDescent="0.3">
      <c r="A1156" t="s">
        <v>1186</v>
      </c>
      <c r="B1156" s="45">
        <v>45403</v>
      </c>
      <c r="C1156" t="s">
        <v>114</v>
      </c>
      <c r="D1156" t="s">
        <v>102</v>
      </c>
      <c r="E1156" t="s">
        <v>238</v>
      </c>
      <c r="F1156">
        <v>8</v>
      </c>
      <c r="G1156">
        <v>3660</v>
      </c>
      <c r="H1156">
        <v>28.8</v>
      </c>
      <c r="I1156">
        <v>20847.36</v>
      </c>
      <c r="J1156" t="s">
        <v>87</v>
      </c>
      <c r="K1156" t="s">
        <v>117</v>
      </c>
      <c r="L1156" t="s">
        <v>117</v>
      </c>
      <c r="M1156" t="s">
        <v>2806</v>
      </c>
      <c r="N1156" t="s">
        <v>2871</v>
      </c>
      <c r="O1156">
        <v>2214</v>
      </c>
      <c r="P1156">
        <v>3660</v>
      </c>
    </row>
    <row r="1157" spans="1:16" x14ac:dyDescent="0.3">
      <c r="A1157" t="s">
        <v>1211</v>
      </c>
      <c r="B1157" s="45">
        <v>45589</v>
      </c>
      <c r="C1157" t="s">
        <v>328</v>
      </c>
      <c r="D1157" t="s">
        <v>338</v>
      </c>
      <c r="E1157" t="s">
        <v>128</v>
      </c>
      <c r="F1157">
        <v>5</v>
      </c>
      <c r="G1157">
        <v>2210</v>
      </c>
      <c r="H1157">
        <v>12.1</v>
      </c>
      <c r="I1157">
        <v>9712.9500000000007</v>
      </c>
      <c r="J1157" t="s">
        <v>87</v>
      </c>
      <c r="K1157" t="s">
        <v>94</v>
      </c>
      <c r="L1157" t="s">
        <v>94</v>
      </c>
      <c r="M1157" t="s">
        <v>2806</v>
      </c>
      <c r="N1157" t="s">
        <v>2879</v>
      </c>
      <c r="O1157">
        <v>1010</v>
      </c>
      <c r="P1157">
        <v>2210</v>
      </c>
    </row>
    <row r="1158" spans="1:16" x14ac:dyDescent="0.3">
      <c r="A1158" t="s">
        <v>1216</v>
      </c>
      <c r="B1158" s="45">
        <v>45549</v>
      </c>
      <c r="C1158" t="s">
        <v>1217</v>
      </c>
      <c r="D1158" t="s">
        <v>264</v>
      </c>
      <c r="E1158" t="s">
        <v>103</v>
      </c>
      <c r="F1158">
        <v>3</v>
      </c>
      <c r="G1158">
        <v>4070</v>
      </c>
      <c r="H1158">
        <v>27.1</v>
      </c>
      <c r="I1158">
        <v>8901.09</v>
      </c>
      <c r="J1158" t="s">
        <v>87</v>
      </c>
      <c r="K1158" t="s">
        <v>112</v>
      </c>
      <c r="L1158" t="s">
        <v>112</v>
      </c>
      <c r="M1158" t="s">
        <v>2806</v>
      </c>
      <c r="N1158" t="s">
        <v>2855</v>
      </c>
      <c r="O1158">
        <v>2027</v>
      </c>
      <c r="P1158">
        <v>4070</v>
      </c>
    </row>
    <row r="1159" spans="1:16" x14ac:dyDescent="0.3">
      <c r="A1159" t="s">
        <v>1222</v>
      </c>
      <c r="B1159" s="45">
        <v>45531</v>
      </c>
      <c r="C1159" t="s">
        <v>429</v>
      </c>
      <c r="D1159" t="s">
        <v>264</v>
      </c>
      <c r="E1159" t="s">
        <v>229</v>
      </c>
      <c r="F1159">
        <v>4</v>
      </c>
      <c r="G1159">
        <v>4070</v>
      </c>
      <c r="H1159">
        <v>23.8</v>
      </c>
      <c r="I1159">
        <v>12405.36</v>
      </c>
      <c r="J1159" t="s">
        <v>87</v>
      </c>
      <c r="K1159" t="s">
        <v>117</v>
      </c>
      <c r="L1159" t="s">
        <v>117</v>
      </c>
      <c r="M1159" t="s">
        <v>2806</v>
      </c>
      <c r="N1159" t="s">
        <v>2879</v>
      </c>
      <c r="O1159">
        <v>2027</v>
      </c>
      <c r="P1159">
        <v>4070</v>
      </c>
    </row>
    <row r="1160" spans="1:16" x14ac:dyDescent="0.3">
      <c r="A1160" t="s">
        <v>1223</v>
      </c>
      <c r="B1160" s="45">
        <v>45356</v>
      </c>
      <c r="C1160" t="s">
        <v>759</v>
      </c>
      <c r="D1160" t="s">
        <v>367</v>
      </c>
      <c r="E1160" t="s">
        <v>273</v>
      </c>
      <c r="F1160">
        <v>1</v>
      </c>
      <c r="G1160">
        <v>2380</v>
      </c>
      <c r="H1160">
        <v>19.600000000000001</v>
      </c>
      <c r="I1160">
        <v>1913.52</v>
      </c>
      <c r="J1160" t="s">
        <v>140</v>
      </c>
      <c r="K1160" t="s">
        <v>117</v>
      </c>
      <c r="L1160" t="s">
        <v>117</v>
      </c>
      <c r="M1160" t="s">
        <v>2806</v>
      </c>
      <c r="N1160" t="s">
        <v>2862</v>
      </c>
      <c r="O1160">
        <v>1182</v>
      </c>
      <c r="P1160">
        <v>2380</v>
      </c>
    </row>
    <row r="1161" spans="1:16" x14ac:dyDescent="0.3">
      <c r="A1161" t="s">
        <v>1235</v>
      </c>
      <c r="B1161" s="45">
        <v>45327</v>
      </c>
      <c r="C1161" t="s">
        <v>764</v>
      </c>
      <c r="D1161" t="s">
        <v>264</v>
      </c>
      <c r="E1161" t="s">
        <v>229</v>
      </c>
      <c r="F1161">
        <v>10</v>
      </c>
      <c r="G1161">
        <v>4070</v>
      </c>
      <c r="H1161">
        <v>8.3000000000000007</v>
      </c>
      <c r="I1161">
        <v>37321.9</v>
      </c>
      <c r="J1161" t="s">
        <v>87</v>
      </c>
      <c r="K1161" t="s">
        <v>94</v>
      </c>
      <c r="L1161" t="s">
        <v>94</v>
      </c>
      <c r="M1161" t="s">
        <v>2806</v>
      </c>
      <c r="N1161" t="s">
        <v>2879</v>
      </c>
      <c r="O1161">
        <v>2027</v>
      </c>
      <c r="P1161">
        <v>4070</v>
      </c>
    </row>
    <row r="1162" spans="1:16" x14ac:dyDescent="0.3">
      <c r="A1162" t="s">
        <v>1236</v>
      </c>
      <c r="B1162" s="45">
        <v>45343</v>
      </c>
      <c r="C1162" t="s">
        <v>626</v>
      </c>
      <c r="D1162" t="s">
        <v>351</v>
      </c>
      <c r="E1162" t="s">
        <v>116</v>
      </c>
      <c r="F1162">
        <v>8</v>
      </c>
      <c r="G1162">
        <v>4060</v>
      </c>
      <c r="H1162">
        <v>8.5</v>
      </c>
      <c r="I1162">
        <v>29719.200000000001</v>
      </c>
      <c r="J1162" t="s">
        <v>87</v>
      </c>
      <c r="K1162" t="s">
        <v>99</v>
      </c>
      <c r="L1162" t="s">
        <v>99</v>
      </c>
      <c r="M1162" t="s">
        <v>2806</v>
      </c>
      <c r="N1162" t="s">
        <v>2879</v>
      </c>
      <c r="O1162">
        <v>2911</v>
      </c>
      <c r="P1162">
        <v>4060</v>
      </c>
    </row>
    <row r="1163" spans="1:16" x14ac:dyDescent="0.3">
      <c r="A1163" t="s">
        <v>1238</v>
      </c>
      <c r="B1163" s="45">
        <v>45306</v>
      </c>
      <c r="C1163" t="s">
        <v>676</v>
      </c>
      <c r="D1163" t="s">
        <v>245</v>
      </c>
      <c r="E1163" t="s">
        <v>343</v>
      </c>
      <c r="F1163">
        <v>2</v>
      </c>
      <c r="G1163">
        <v>2270</v>
      </c>
      <c r="H1163">
        <v>10.199999999999999</v>
      </c>
      <c r="I1163">
        <v>4076.92</v>
      </c>
      <c r="J1163" t="s">
        <v>87</v>
      </c>
      <c r="K1163" t="s">
        <v>88</v>
      </c>
      <c r="L1163" t="s">
        <v>88</v>
      </c>
      <c r="M1163" t="s">
        <v>2806</v>
      </c>
      <c r="N1163" t="s">
        <v>2879</v>
      </c>
      <c r="O1163">
        <v>1412</v>
      </c>
      <c r="P1163">
        <v>2270</v>
      </c>
    </row>
    <row r="1164" spans="1:16" x14ac:dyDescent="0.3">
      <c r="A1164" t="s">
        <v>1239</v>
      </c>
      <c r="B1164" s="45">
        <v>45296</v>
      </c>
      <c r="C1164" t="s">
        <v>299</v>
      </c>
      <c r="D1164" t="s">
        <v>234</v>
      </c>
      <c r="E1164" t="s">
        <v>86</v>
      </c>
      <c r="F1164">
        <v>1</v>
      </c>
      <c r="G1164">
        <v>3780</v>
      </c>
      <c r="H1164">
        <v>15.3</v>
      </c>
      <c r="I1164">
        <v>3201.66</v>
      </c>
      <c r="J1164" t="s">
        <v>140</v>
      </c>
      <c r="K1164" t="s">
        <v>133</v>
      </c>
      <c r="L1164" t="s">
        <v>133</v>
      </c>
      <c r="M1164" t="s">
        <v>2806</v>
      </c>
      <c r="N1164" t="s">
        <v>2855</v>
      </c>
      <c r="O1164">
        <v>2436</v>
      </c>
      <c r="P1164">
        <v>3780</v>
      </c>
    </row>
    <row r="1165" spans="1:16" x14ac:dyDescent="0.3">
      <c r="A1165" t="s">
        <v>1258</v>
      </c>
      <c r="B1165" s="45">
        <v>45403</v>
      </c>
      <c r="C1165" t="s">
        <v>1172</v>
      </c>
      <c r="D1165" t="s">
        <v>131</v>
      </c>
      <c r="E1165" t="s">
        <v>204</v>
      </c>
      <c r="F1165">
        <v>8</v>
      </c>
      <c r="G1165">
        <v>2270</v>
      </c>
      <c r="H1165">
        <v>24.7</v>
      </c>
      <c r="I1165">
        <v>13674.48</v>
      </c>
      <c r="J1165" t="s">
        <v>87</v>
      </c>
      <c r="K1165" t="s">
        <v>88</v>
      </c>
      <c r="L1165" t="s">
        <v>88</v>
      </c>
      <c r="M1165" t="s">
        <v>2806</v>
      </c>
      <c r="N1165" t="s">
        <v>2862</v>
      </c>
      <c r="O1165">
        <v>1203</v>
      </c>
      <c r="P1165">
        <v>2270</v>
      </c>
    </row>
    <row r="1166" spans="1:16" x14ac:dyDescent="0.3">
      <c r="A1166" t="s">
        <v>1265</v>
      </c>
      <c r="B1166" s="45">
        <v>45434</v>
      </c>
      <c r="C1166" t="s">
        <v>1266</v>
      </c>
      <c r="D1166" t="s">
        <v>234</v>
      </c>
      <c r="E1166" t="s">
        <v>303</v>
      </c>
      <c r="F1166">
        <v>10</v>
      </c>
      <c r="G1166">
        <v>3780</v>
      </c>
      <c r="H1166">
        <v>5.5</v>
      </c>
      <c r="I1166">
        <v>35721</v>
      </c>
      <c r="J1166" t="s">
        <v>87</v>
      </c>
      <c r="K1166" t="s">
        <v>133</v>
      </c>
      <c r="L1166" t="s">
        <v>133</v>
      </c>
      <c r="M1166" t="s">
        <v>2806</v>
      </c>
      <c r="N1166" t="s">
        <v>2871</v>
      </c>
      <c r="O1166">
        <v>2436</v>
      </c>
      <c r="P1166">
        <v>3780</v>
      </c>
    </row>
    <row r="1167" spans="1:16" x14ac:dyDescent="0.3">
      <c r="A1167" t="s">
        <v>1281</v>
      </c>
      <c r="B1167" s="45">
        <v>45301</v>
      </c>
      <c r="C1167" t="s">
        <v>585</v>
      </c>
      <c r="D1167" t="s">
        <v>264</v>
      </c>
      <c r="E1167" t="s">
        <v>238</v>
      </c>
      <c r="F1167">
        <v>1</v>
      </c>
      <c r="G1167">
        <v>4070</v>
      </c>
      <c r="H1167">
        <v>8.1999999999999993</v>
      </c>
      <c r="I1167">
        <v>3736.26</v>
      </c>
      <c r="J1167" t="s">
        <v>87</v>
      </c>
      <c r="K1167" t="s">
        <v>94</v>
      </c>
      <c r="L1167" t="s">
        <v>94</v>
      </c>
      <c r="M1167" t="s">
        <v>2806</v>
      </c>
      <c r="N1167" t="s">
        <v>2871</v>
      </c>
      <c r="O1167">
        <v>2027</v>
      </c>
      <c r="P1167">
        <v>4070</v>
      </c>
    </row>
    <row r="1168" spans="1:16" x14ac:dyDescent="0.3">
      <c r="A1168" t="s">
        <v>1283</v>
      </c>
      <c r="B1168" s="45">
        <v>45544</v>
      </c>
      <c r="C1168" t="s">
        <v>883</v>
      </c>
      <c r="D1168" t="s">
        <v>127</v>
      </c>
      <c r="E1168" t="s">
        <v>192</v>
      </c>
      <c r="F1168">
        <v>6</v>
      </c>
      <c r="G1168">
        <v>970</v>
      </c>
      <c r="H1168">
        <v>16.2</v>
      </c>
      <c r="I1168">
        <v>4877.16</v>
      </c>
      <c r="J1168" t="s">
        <v>87</v>
      </c>
      <c r="K1168" t="s">
        <v>133</v>
      </c>
      <c r="L1168" t="s">
        <v>133</v>
      </c>
      <c r="M1168" t="s">
        <v>2806</v>
      </c>
      <c r="N1168" t="s">
        <v>2871</v>
      </c>
      <c r="O1168">
        <v>434</v>
      </c>
      <c r="P1168">
        <v>970</v>
      </c>
    </row>
    <row r="1169" spans="1:16" x14ac:dyDescent="0.3">
      <c r="A1169" t="s">
        <v>1287</v>
      </c>
      <c r="B1169" s="45">
        <v>45385</v>
      </c>
      <c r="C1169" t="s">
        <v>781</v>
      </c>
      <c r="D1169" t="s">
        <v>264</v>
      </c>
      <c r="E1169" t="s">
        <v>188</v>
      </c>
      <c r="F1169">
        <v>7</v>
      </c>
      <c r="G1169">
        <v>4070</v>
      </c>
      <c r="H1169">
        <v>10.5</v>
      </c>
      <c r="I1169">
        <v>25498.55</v>
      </c>
      <c r="J1169" t="s">
        <v>87</v>
      </c>
      <c r="K1169" t="s">
        <v>99</v>
      </c>
      <c r="L1169" t="s">
        <v>99</v>
      </c>
      <c r="M1169" t="s">
        <v>2806</v>
      </c>
      <c r="N1169" t="s">
        <v>2862</v>
      </c>
      <c r="O1169">
        <v>2027</v>
      </c>
      <c r="P1169">
        <v>4070</v>
      </c>
    </row>
    <row r="1170" spans="1:16" x14ac:dyDescent="0.3">
      <c r="A1170" t="s">
        <v>1289</v>
      </c>
      <c r="B1170" s="45">
        <v>45651</v>
      </c>
      <c r="C1170" t="s">
        <v>533</v>
      </c>
      <c r="D1170" t="s">
        <v>200</v>
      </c>
      <c r="E1170" t="s">
        <v>128</v>
      </c>
      <c r="F1170">
        <v>4</v>
      </c>
      <c r="G1170">
        <v>2760</v>
      </c>
      <c r="H1170">
        <v>27.5</v>
      </c>
      <c r="I1170">
        <v>8004</v>
      </c>
      <c r="J1170" t="s">
        <v>140</v>
      </c>
      <c r="K1170" t="s">
        <v>99</v>
      </c>
      <c r="L1170" t="s">
        <v>99</v>
      </c>
      <c r="M1170" t="s">
        <v>2806</v>
      </c>
      <c r="N1170" t="s">
        <v>2879</v>
      </c>
      <c r="O1170">
        <v>1435</v>
      </c>
      <c r="P1170">
        <v>2760</v>
      </c>
    </row>
    <row r="1171" spans="1:16" x14ac:dyDescent="0.3">
      <c r="A1171" t="s">
        <v>1292</v>
      </c>
      <c r="B1171" s="45">
        <v>45328</v>
      </c>
      <c r="C1171" t="s">
        <v>841</v>
      </c>
      <c r="D1171" t="s">
        <v>367</v>
      </c>
      <c r="E1171" t="s">
        <v>229</v>
      </c>
      <c r="F1171">
        <v>10</v>
      </c>
      <c r="G1171">
        <v>2380</v>
      </c>
      <c r="H1171">
        <v>7</v>
      </c>
      <c r="I1171">
        <v>22134</v>
      </c>
      <c r="J1171" t="s">
        <v>87</v>
      </c>
      <c r="K1171" t="s">
        <v>117</v>
      </c>
      <c r="L1171" t="s">
        <v>117</v>
      </c>
      <c r="M1171" t="s">
        <v>2806</v>
      </c>
      <c r="N1171" t="s">
        <v>2879</v>
      </c>
      <c r="O1171">
        <v>1182</v>
      </c>
      <c r="P1171">
        <v>2380</v>
      </c>
    </row>
    <row r="1172" spans="1:16" x14ac:dyDescent="0.3">
      <c r="A1172" t="s">
        <v>1298</v>
      </c>
      <c r="B1172" s="45">
        <v>45409</v>
      </c>
      <c r="C1172" t="s">
        <v>1299</v>
      </c>
      <c r="D1172" t="s">
        <v>131</v>
      </c>
      <c r="E1172" t="s">
        <v>154</v>
      </c>
      <c r="F1172">
        <v>5</v>
      </c>
      <c r="G1172">
        <v>2270</v>
      </c>
      <c r="H1172">
        <v>0.1</v>
      </c>
      <c r="I1172">
        <v>11338.65</v>
      </c>
      <c r="J1172" t="s">
        <v>87</v>
      </c>
      <c r="K1172" t="s">
        <v>112</v>
      </c>
      <c r="L1172" t="s">
        <v>112</v>
      </c>
      <c r="M1172" t="s">
        <v>2806</v>
      </c>
      <c r="N1172" t="s">
        <v>2871</v>
      </c>
      <c r="O1172">
        <v>1203</v>
      </c>
      <c r="P1172">
        <v>2270</v>
      </c>
    </row>
    <row r="1173" spans="1:16" x14ac:dyDescent="0.3">
      <c r="A1173" t="s">
        <v>1309</v>
      </c>
      <c r="B1173" s="45">
        <v>45608</v>
      </c>
      <c r="C1173" t="s">
        <v>966</v>
      </c>
      <c r="D1173" t="s">
        <v>127</v>
      </c>
      <c r="E1173" t="s">
        <v>229</v>
      </c>
      <c r="F1173">
        <v>6</v>
      </c>
      <c r="G1173">
        <v>970</v>
      </c>
      <c r="H1173">
        <v>4.7</v>
      </c>
      <c r="I1173">
        <v>5546.46</v>
      </c>
      <c r="J1173" t="s">
        <v>140</v>
      </c>
      <c r="K1173" t="s">
        <v>133</v>
      </c>
      <c r="L1173" t="s">
        <v>133</v>
      </c>
      <c r="M1173" t="s">
        <v>2806</v>
      </c>
      <c r="N1173" t="s">
        <v>2879</v>
      </c>
      <c r="O1173">
        <v>434</v>
      </c>
      <c r="P1173">
        <v>970</v>
      </c>
    </row>
    <row r="1174" spans="1:16" x14ac:dyDescent="0.3">
      <c r="A1174" t="s">
        <v>1311</v>
      </c>
      <c r="B1174" s="45">
        <v>45348</v>
      </c>
      <c r="C1174" t="s">
        <v>219</v>
      </c>
      <c r="D1174" t="s">
        <v>234</v>
      </c>
      <c r="E1174" t="s">
        <v>273</v>
      </c>
      <c r="F1174">
        <v>5</v>
      </c>
      <c r="G1174">
        <v>3780</v>
      </c>
      <c r="H1174">
        <v>2.9</v>
      </c>
      <c r="I1174">
        <v>18351.900000000001</v>
      </c>
      <c r="J1174" t="s">
        <v>87</v>
      </c>
      <c r="K1174" t="s">
        <v>99</v>
      </c>
      <c r="L1174" t="s">
        <v>99</v>
      </c>
      <c r="M1174" t="s">
        <v>2806</v>
      </c>
      <c r="N1174" t="s">
        <v>2862</v>
      </c>
      <c r="O1174">
        <v>2436</v>
      </c>
      <c r="P1174">
        <v>3780</v>
      </c>
    </row>
    <row r="1175" spans="1:16" x14ac:dyDescent="0.3">
      <c r="A1175" t="s">
        <v>1316</v>
      </c>
      <c r="B1175" s="45">
        <v>45610</v>
      </c>
      <c r="C1175" t="s">
        <v>401</v>
      </c>
      <c r="D1175" t="s">
        <v>131</v>
      </c>
      <c r="E1175" t="s">
        <v>343</v>
      </c>
      <c r="F1175">
        <v>7</v>
      </c>
      <c r="G1175">
        <v>2270</v>
      </c>
      <c r="H1175">
        <v>1.7</v>
      </c>
      <c r="I1175">
        <v>15619.87</v>
      </c>
      <c r="J1175" t="s">
        <v>140</v>
      </c>
      <c r="K1175" t="s">
        <v>94</v>
      </c>
      <c r="L1175" t="s">
        <v>94</v>
      </c>
      <c r="M1175" t="s">
        <v>2806</v>
      </c>
      <c r="N1175" t="s">
        <v>2879</v>
      </c>
      <c r="O1175">
        <v>1203</v>
      </c>
      <c r="P1175">
        <v>2270</v>
      </c>
    </row>
    <row r="1176" spans="1:16" x14ac:dyDescent="0.3">
      <c r="A1176" t="s">
        <v>1317</v>
      </c>
      <c r="B1176" s="45">
        <v>45438</v>
      </c>
      <c r="C1176" t="s">
        <v>643</v>
      </c>
      <c r="D1176" t="s">
        <v>102</v>
      </c>
      <c r="E1176" t="s">
        <v>201</v>
      </c>
      <c r="F1176">
        <v>8</v>
      </c>
      <c r="G1176">
        <v>3660</v>
      </c>
      <c r="H1176">
        <v>19.100000000000001</v>
      </c>
      <c r="I1176">
        <v>23687.52</v>
      </c>
      <c r="J1176" t="s">
        <v>140</v>
      </c>
      <c r="K1176" t="s">
        <v>112</v>
      </c>
      <c r="L1176" t="s">
        <v>112</v>
      </c>
      <c r="M1176" t="s">
        <v>2806</v>
      </c>
      <c r="N1176" t="s">
        <v>2879</v>
      </c>
      <c r="O1176">
        <v>2214</v>
      </c>
      <c r="P1176">
        <v>3660</v>
      </c>
    </row>
    <row r="1177" spans="1:16" x14ac:dyDescent="0.3">
      <c r="A1177" t="s">
        <v>1323</v>
      </c>
      <c r="B1177" s="45">
        <v>45451</v>
      </c>
      <c r="C1177" t="s">
        <v>669</v>
      </c>
      <c r="D1177" t="s">
        <v>338</v>
      </c>
      <c r="E1177" t="s">
        <v>343</v>
      </c>
      <c r="F1177">
        <v>10</v>
      </c>
      <c r="G1177">
        <v>2210</v>
      </c>
      <c r="H1177">
        <v>4.2</v>
      </c>
      <c r="I1177">
        <v>21171.8</v>
      </c>
      <c r="J1177" t="s">
        <v>87</v>
      </c>
      <c r="K1177" t="s">
        <v>133</v>
      </c>
      <c r="L1177" t="s">
        <v>133</v>
      </c>
      <c r="M1177" t="s">
        <v>2806</v>
      </c>
      <c r="N1177" t="s">
        <v>2879</v>
      </c>
      <c r="O1177">
        <v>1010</v>
      </c>
      <c r="P1177">
        <v>2210</v>
      </c>
    </row>
    <row r="1178" spans="1:16" x14ac:dyDescent="0.3">
      <c r="A1178" t="s">
        <v>1326</v>
      </c>
      <c r="B1178" s="45">
        <v>45581</v>
      </c>
      <c r="C1178" t="s">
        <v>442</v>
      </c>
      <c r="D1178" t="s">
        <v>127</v>
      </c>
      <c r="E1178" t="s">
        <v>92</v>
      </c>
      <c r="F1178">
        <v>3</v>
      </c>
      <c r="G1178">
        <v>970</v>
      </c>
      <c r="H1178">
        <v>28.3</v>
      </c>
      <c r="I1178">
        <v>2086.4699999999998</v>
      </c>
      <c r="J1178" t="s">
        <v>87</v>
      </c>
      <c r="K1178" t="s">
        <v>88</v>
      </c>
      <c r="L1178" t="s">
        <v>88</v>
      </c>
      <c r="M1178" t="s">
        <v>2806</v>
      </c>
      <c r="N1178" t="s">
        <v>2855</v>
      </c>
      <c r="O1178">
        <v>434</v>
      </c>
      <c r="P1178">
        <v>970</v>
      </c>
    </row>
    <row r="1179" spans="1:16" x14ac:dyDescent="0.3">
      <c r="A1179" t="s">
        <v>1327</v>
      </c>
      <c r="B1179" s="45">
        <v>45494</v>
      </c>
      <c r="C1179" t="s">
        <v>977</v>
      </c>
      <c r="D1179" t="s">
        <v>245</v>
      </c>
      <c r="E1179" t="s">
        <v>107</v>
      </c>
      <c r="F1179">
        <v>1</v>
      </c>
      <c r="G1179">
        <v>2270</v>
      </c>
      <c r="H1179">
        <v>15.1</v>
      </c>
      <c r="I1179">
        <v>1927.23</v>
      </c>
      <c r="J1179" t="s">
        <v>87</v>
      </c>
      <c r="K1179" t="s">
        <v>88</v>
      </c>
      <c r="L1179" t="s">
        <v>88</v>
      </c>
      <c r="M1179" t="s">
        <v>2806</v>
      </c>
      <c r="N1179" t="s">
        <v>2855</v>
      </c>
      <c r="O1179">
        <v>1412</v>
      </c>
      <c r="P1179">
        <v>2270</v>
      </c>
    </row>
    <row r="1180" spans="1:16" x14ac:dyDescent="0.3">
      <c r="A1180" t="s">
        <v>1339</v>
      </c>
      <c r="B1180" s="45">
        <v>45396</v>
      </c>
      <c r="C1180" t="s">
        <v>729</v>
      </c>
      <c r="D1180" t="s">
        <v>338</v>
      </c>
      <c r="E1180" t="s">
        <v>201</v>
      </c>
      <c r="F1180">
        <v>9</v>
      </c>
      <c r="G1180">
        <v>2210</v>
      </c>
      <c r="H1180">
        <v>12.4</v>
      </c>
      <c r="I1180">
        <v>17423.64</v>
      </c>
      <c r="J1180" t="s">
        <v>87</v>
      </c>
      <c r="K1180" t="s">
        <v>112</v>
      </c>
      <c r="L1180" t="s">
        <v>112</v>
      </c>
      <c r="M1180" t="s">
        <v>2806</v>
      </c>
      <c r="N1180" t="s">
        <v>2879</v>
      </c>
      <c r="O1180">
        <v>1010</v>
      </c>
      <c r="P1180">
        <v>2210</v>
      </c>
    </row>
    <row r="1181" spans="1:16" x14ac:dyDescent="0.3">
      <c r="A1181" t="s">
        <v>1356</v>
      </c>
      <c r="B1181" s="45">
        <v>45505</v>
      </c>
      <c r="C1181" t="s">
        <v>109</v>
      </c>
      <c r="D1181" t="s">
        <v>131</v>
      </c>
      <c r="E1181" t="s">
        <v>132</v>
      </c>
      <c r="F1181">
        <v>10</v>
      </c>
      <c r="G1181">
        <v>2270</v>
      </c>
      <c r="H1181">
        <v>20.5</v>
      </c>
      <c r="I1181">
        <v>18046.5</v>
      </c>
      <c r="J1181" t="s">
        <v>87</v>
      </c>
      <c r="K1181" t="s">
        <v>112</v>
      </c>
      <c r="L1181" t="s">
        <v>112</v>
      </c>
      <c r="M1181" t="s">
        <v>2806</v>
      </c>
      <c r="N1181" t="s">
        <v>2862</v>
      </c>
      <c r="O1181">
        <v>1203</v>
      </c>
      <c r="P1181">
        <v>2270</v>
      </c>
    </row>
    <row r="1182" spans="1:16" x14ac:dyDescent="0.3">
      <c r="A1182" t="s">
        <v>1359</v>
      </c>
      <c r="B1182" s="45">
        <v>45499</v>
      </c>
      <c r="C1182" t="s">
        <v>963</v>
      </c>
      <c r="D1182" t="s">
        <v>234</v>
      </c>
      <c r="E1182" t="s">
        <v>285</v>
      </c>
      <c r="F1182">
        <v>9</v>
      </c>
      <c r="G1182">
        <v>3780</v>
      </c>
      <c r="H1182">
        <v>2.2999999999999998</v>
      </c>
      <c r="I1182">
        <v>33237.54</v>
      </c>
      <c r="J1182" t="s">
        <v>87</v>
      </c>
      <c r="K1182" t="s">
        <v>94</v>
      </c>
      <c r="L1182" t="s">
        <v>94</v>
      </c>
      <c r="M1182" t="s">
        <v>2806</v>
      </c>
      <c r="N1182" t="s">
        <v>2871</v>
      </c>
      <c r="O1182">
        <v>2436</v>
      </c>
      <c r="P1182">
        <v>3780</v>
      </c>
    </row>
    <row r="1183" spans="1:16" x14ac:dyDescent="0.3">
      <c r="A1183" t="s">
        <v>1360</v>
      </c>
      <c r="B1183" s="45">
        <v>45636</v>
      </c>
      <c r="C1183" t="s">
        <v>1361</v>
      </c>
      <c r="D1183" t="s">
        <v>351</v>
      </c>
      <c r="E1183" t="s">
        <v>98</v>
      </c>
      <c r="F1183">
        <v>9</v>
      </c>
      <c r="G1183">
        <v>4060</v>
      </c>
      <c r="H1183">
        <v>11.5</v>
      </c>
      <c r="I1183">
        <v>32337.9</v>
      </c>
      <c r="J1183" t="s">
        <v>87</v>
      </c>
      <c r="K1183" t="s">
        <v>94</v>
      </c>
      <c r="L1183" t="s">
        <v>94</v>
      </c>
      <c r="M1183" t="s">
        <v>2806</v>
      </c>
      <c r="N1183" t="s">
        <v>2862</v>
      </c>
      <c r="O1183">
        <v>2911</v>
      </c>
      <c r="P1183">
        <v>4060</v>
      </c>
    </row>
    <row r="1184" spans="1:16" x14ac:dyDescent="0.3">
      <c r="A1184" t="s">
        <v>677</v>
      </c>
      <c r="B1184" s="45">
        <v>45517</v>
      </c>
      <c r="C1184" t="s">
        <v>420</v>
      </c>
      <c r="D1184" t="s">
        <v>200</v>
      </c>
      <c r="E1184" t="s">
        <v>325</v>
      </c>
      <c r="F1184">
        <v>10</v>
      </c>
      <c r="G1184">
        <v>2760</v>
      </c>
      <c r="H1184">
        <v>3.9</v>
      </c>
      <c r="I1184">
        <v>26523.599999999999</v>
      </c>
      <c r="J1184" t="s">
        <v>144</v>
      </c>
      <c r="K1184" t="s">
        <v>99</v>
      </c>
      <c r="L1184" t="s">
        <v>99</v>
      </c>
      <c r="M1184" t="s">
        <v>2806</v>
      </c>
      <c r="N1184" t="s">
        <v>2862</v>
      </c>
      <c r="O1184">
        <v>1435</v>
      </c>
      <c r="P1184">
        <v>2760</v>
      </c>
    </row>
    <row r="1185" spans="1:16" x14ac:dyDescent="0.3">
      <c r="A1185" t="s">
        <v>1365</v>
      </c>
      <c r="B1185" s="45">
        <v>45562</v>
      </c>
      <c r="C1185" t="s">
        <v>212</v>
      </c>
      <c r="D1185" t="s">
        <v>245</v>
      </c>
      <c r="E1185" t="s">
        <v>343</v>
      </c>
      <c r="F1185">
        <v>1</v>
      </c>
      <c r="G1185">
        <v>2270</v>
      </c>
      <c r="H1185">
        <v>27.8</v>
      </c>
      <c r="I1185">
        <v>1638.94</v>
      </c>
      <c r="J1185" t="s">
        <v>87</v>
      </c>
      <c r="K1185" t="s">
        <v>112</v>
      </c>
      <c r="L1185" t="s">
        <v>112</v>
      </c>
      <c r="M1185" t="s">
        <v>2806</v>
      </c>
      <c r="N1185" t="s">
        <v>2879</v>
      </c>
      <c r="O1185">
        <v>1412</v>
      </c>
      <c r="P1185">
        <v>2270</v>
      </c>
    </row>
    <row r="1186" spans="1:16" x14ac:dyDescent="0.3">
      <c r="A1186" t="s">
        <v>1388</v>
      </c>
      <c r="B1186" s="45">
        <v>45356</v>
      </c>
      <c r="C1186" t="s">
        <v>717</v>
      </c>
      <c r="D1186" t="s">
        <v>351</v>
      </c>
      <c r="E1186" t="s">
        <v>111</v>
      </c>
      <c r="F1186">
        <v>7</v>
      </c>
      <c r="G1186">
        <v>4060</v>
      </c>
      <c r="H1186">
        <v>0.6</v>
      </c>
      <c r="I1186">
        <v>28249.48</v>
      </c>
      <c r="J1186" t="s">
        <v>87</v>
      </c>
      <c r="K1186" t="s">
        <v>94</v>
      </c>
      <c r="L1186" t="s">
        <v>94</v>
      </c>
      <c r="M1186" t="s">
        <v>2806</v>
      </c>
      <c r="N1186" t="s">
        <v>2879</v>
      </c>
      <c r="O1186">
        <v>2911</v>
      </c>
      <c r="P1186">
        <v>4060</v>
      </c>
    </row>
    <row r="1187" spans="1:16" x14ac:dyDescent="0.3">
      <c r="A1187" t="s">
        <v>1390</v>
      </c>
      <c r="B1187" s="45">
        <v>45640</v>
      </c>
      <c r="C1187" t="s">
        <v>621</v>
      </c>
      <c r="D1187" t="s">
        <v>264</v>
      </c>
      <c r="E1187" t="s">
        <v>192</v>
      </c>
      <c r="F1187">
        <v>4</v>
      </c>
      <c r="G1187">
        <v>4070</v>
      </c>
      <c r="H1187">
        <v>26.8</v>
      </c>
      <c r="I1187">
        <v>11916.96</v>
      </c>
      <c r="J1187" t="s">
        <v>87</v>
      </c>
      <c r="K1187" t="s">
        <v>94</v>
      </c>
      <c r="L1187" t="s">
        <v>94</v>
      </c>
      <c r="M1187" t="s">
        <v>2806</v>
      </c>
      <c r="N1187" t="s">
        <v>2871</v>
      </c>
      <c r="O1187">
        <v>2027</v>
      </c>
      <c r="P1187">
        <v>4070</v>
      </c>
    </row>
    <row r="1188" spans="1:16" x14ac:dyDescent="0.3">
      <c r="A1188" t="s">
        <v>1393</v>
      </c>
      <c r="B1188" s="45">
        <v>45355</v>
      </c>
      <c r="C1188" t="s">
        <v>416</v>
      </c>
      <c r="D1188" t="s">
        <v>127</v>
      </c>
      <c r="E1188" t="s">
        <v>128</v>
      </c>
      <c r="F1188">
        <v>4</v>
      </c>
      <c r="G1188">
        <v>970</v>
      </c>
      <c r="H1188">
        <v>0.4</v>
      </c>
      <c r="I1188">
        <v>3864.48</v>
      </c>
      <c r="J1188" t="s">
        <v>87</v>
      </c>
      <c r="K1188" t="s">
        <v>117</v>
      </c>
      <c r="L1188" t="s">
        <v>117</v>
      </c>
      <c r="M1188" t="s">
        <v>2806</v>
      </c>
      <c r="N1188" t="s">
        <v>2879</v>
      </c>
      <c r="O1188">
        <v>434</v>
      </c>
      <c r="P1188">
        <v>970</v>
      </c>
    </row>
    <row r="1189" spans="1:16" x14ac:dyDescent="0.3">
      <c r="A1189" t="s">
        <v>1400</v>
      </c>
      <c r="B1189" s="45">
        <v>45329</v>
      </c>
      <c r="C1189" t="s">
        <v>551</v>
      </c>
      <c r="D1189" t="s">
        <v>102</v>
      </c>
      <c r="E1189" t="s">
        <v>121</v>
      </c>
      <c r="F1189">
        <v>5</v>
      </c>
      <c r="G1189">
        <v>3660</v>
      </c>
      <c r="H1189">
        <v>4.7</v>
      </c>
      <c r="I1189">
        <v>17439.900000000001</v>
      </c>
      <c r="J1189" t="s">
        <v>93</v>
      </c>
      <c r="K1189" t="s">
        <v>112</v>
      </c>
      <c r="L1189" t="s">
        <v>112</v>
      </c>
      <c r="M1189" t="s">
        <v>2806</v>
      </c>
      <c r="N1189" t="s">
        <v>2871</v>
      </c>
      <c r="O1189">
        <v>2214</v>
      </c>
      <c r="P1189">
        <v>3660</v>
      </c>
    </row>
    <row r="1190" spans="1:16" x14ac:dyDescent="0.3">
      <c r="A1190" t="s">
        <v>1403</v>
      </c>
      <c r="B1190" s="45">
        <v>45546</v>
      </c>
      <c r="C1190" t="s">
        <v>608</v>
      </c>
      <c r="D1190" t="s">
        <v>245</v>
      </c>
      <c r="E1190" t="s">
        <v>215</v>
      </c>
      <c r="F1190">
        <v>5</v>
      </c>
      <c r="G1190">
        <v>2270</v>
      </c>
      <c r="H1190">
        <v>5.9</v>
      </c>
      <c r="I1190">
        <v>10680.35</v>
      </c>
      <c r="J1190" t="s">
        <v>87</v>
      </c>
      <c r="K1190" t="s">
        <v>88</v>
      </c>
      <c r="L1190" t="s">
        <v>88</v>
      </c>
      <c r="M1190" t="s">
        <v>2806</v>
      </c>
      <c r="N1190" t="s">
        <v>2855</v>
      </c>
      <c r="O1190">
        <v>1412</v>
      </c>
      <c r="P1190">
        <v>2270</v>
      </c>
    </row>
    <row r="1191" spans="1:16" x14ac:dyDescent="0.3">
      <c r="A1191" t="s">
        <v>1404</v>
      </c>
      <c r="B1191" s="45">
        <v>45625</v>
      </c>
      <c r="C1191" t="s">
        <v>990</v>
      </c>
      <c r="D1191" t="s">
        <v>131</v>
      </c>
      <c r="E1191" t="s">
        <v>273</v>
      </c>
      <c r="F1191">
        <v>1</v>
      </c>
      <c r="G1191">
        <v>2270</v>
      </c>
      <c r="H1191">
        <v>14.9</v>
      </c>
      <c r="I1191">
        <v>1931.77</v>
      </c>
      <c r="J1191" t="s">
        <v>87</v>
      </c>
      <c r="K1191" t="s">
        <v>117</v>
      </c>
      <c r="L1191" t="s">
        <v>117</v>
      </c>
      <c r="M1191" t="s">
        <v>2806</v>
      </c>
      <c r="N1191" t="s">
        <v>2862</v>
      </c>
      <c r="O1191">
        <v>1203</v>
      </c>
      <c r="P1191">
        <v>2270</v>
      </c>
    </row>
    <row r="1192" spans="1:16" x14ac:dyDescent="0.3">
      <c r="A1192" t="s">
        <v>1435</v>
      </c>
      <c r="B1192" s="45">
        <v>45522</v>
      </c>
      <c r="C1192" t="s">
        <v>606</v>
      </c>
      <c r="D1192" t="s">
        <v>338</v>
      </c>
      <c r="E1192" t="s">
        <v>148</v>
      </c>
      <c r="F1192">
        <v>6</v>
      </c>
      <c r="G1192">
        <v>2210</v>
      </c>
      <c r="H1192">
        <v>13.1</v>
      </c>
      <c r="I1192">
        <v>11522.94</v>
      </c>
      <c r="J1192" t="s">
        <v>87</v>
      </c>
      <c r="K1192" t="s">
        <v>112</v>
      </c>
      <c r="L1192" t="s">
        <v>112</v>
      </c>
      <c r="M1192" t="s">
        <v>2806</v>
      </c>
      <c r="N1192" t="s">
        <v>2855</v>
      </c>
      <c r="O1192">
        <v>1010</v>
      </c>
      <c r="P1192">
        <v>2210</v>
      </c>
    </row>
    <row r="1193" spans="1:16" x14ac:dyDescent="0.3">
      <c r="A1193" t="s">
        <v>1441</v>
      </c>
      <c r="B1193" s="45">
        <v>45517</v>
      </c>
      <c r="C1193" t="s">
        <v>501</v>
      </c>
      <c r="D1193" t="s">
        <v>200</v>
      </c>
      <c r="E1193" t="s">
        <v>238</v>
      </c>
      <c r="F1193">
        <v>4</v>
      </c>
      <c r="G1193">
        <v>2760</v>
      </c>
      <c r="H1193">
        <v>17.600000000000001</v>
      </c>
      <c r="I1193">
        <v>9096.9599999999991</v>
      </c>
      <c r="J1193" t="s">
        <v>140</v>
      </c>
      <c r="K1193" t="s">
        <v>133</v>
      </c>
      <c r="L1193" t="s">
        <v>133</v>
      </c>
      <c r="M1193" t="s">
        <v>2806</v>
      </c>
      <c r="N1193" t="s">
        <v>2871</v>
      </c>
      <c r="O1193">
        <v>1435</v>
      </c>
      <c r="P1193">
        <v>2760</v>
      </c>
    </row>
    <row r="1194" spans="1:16" x14ac:dyDescent="0.3">
      <c r="A1194" t="s">
        <v>1444</v>
      </c>
      <c r="B1194" s="45">
        <v>45602</v>
      </c>
      <c r="C1194" t="s">
        <v>373</v>
      </c>
      <c r="D1194" t="s">
        <v>131</v>
      </c>
      <c r="E1194" t="s">
        <v>139</v>
      </c>
      <c r="F1194">
        <v>4</v>
      </c>
      <c r="G1194">
        <v>2270</v>
      </c>
      <c r="H1194">
        <v>28.9</v>
      </c>
      <c r="I1194">
        <v>6455.88</v>
      </c>
      <c r="J1194" t="s">
        <v>87</v>
      </c>
      <c r="K1194" t="s">
        <v>88</v>
      </c>
      <c r="L1194" t="s">
        <v>88</v>
      </c>
      <c r="M1194" t="s">
        <v>2806</v>
      </c>
      <c r="N1194" t="s">
        <v>2855</v>
      </c>
      <c r="O1194">
        <v>1203</v>
      </c>
      <c r="P1194">
        <v>2270</v>
      </c>
    </row>
    <row r="1195" spans="1:16" x14ac:dyDescent="0.3">
      <c r="A1195" t="s">
        <v>1450</v>
      </c>
      <c r="B1195" s="45">
        <v>45566</v>
      </c>
      <c r="C1195" t="s">
        <v>1451</v>
      </c>
      <c r="D1195" t="s">
        <v>127</v>
      </c>
      <c r="E1195" t="s">
        <v>325</v>
      </c>
      <c r="F1195">
        <v>1</v>
      </c>
      <c r="G1195">
        <v>970</v>
      </c>
      <c r="H1195">
        <v>24.9</v>
      </c>
      <c r="I1195">
        <v>728.47</v>
      </c>
      <c r="J1195" t="s">
        <v>87</v>
      </c>
      <c r="K1195" t="s">
        <v>117</v>
      </c>
      <c r="L1195" t="s">
        <v>117</v>
      </c>
      <c r="M1195" t="s">
        <v>2806</v>
      </c>
      <c r="N1195" t="s">
        <v>2862</v>
      </c>
      <c r="O1195">
        <v>434</v>
      </c>
      <c r="P1195">
        <v>970</v>
      </c>
    </row>
    <row r="1196" spans="1:16" x14ac:dyDescent="0.3">
      <c r="A1196" t="s">
        <v>1452</v>
      </c>
      <c r="B1196" s="45">
        <v>45606</v>
      </c>
      <c r="C1196" t="s">
        <v>407</v>
      </c>
      <c r="D1196" t="s">
        <v>367</v>
      </c>
      <c r="E1196" t="s">
        <v>285</v>
      </c>
      <c r="F1196">
        <v>4</v>
      </c>
      <c r="G1196">
        <v>2380</v>
      </c>
      <c r="H1196">
        <v>9.5</v>
      </c>
      <c r="I1196">
        <v>8615.6</v>
      </c>
      <c r="J1196" t="s">
        <v>140</v>
      </c>
      <c r="K1196" t="s">
        <v>88</v>
      </c>
      <c r="L1196" t="s">
        <v>88</v>
      </c>
      <c r="M1196" t="s">
        <v>2806</v>
      </c>
      <c r="N1196" t="s">
        <v>2871</v>
      </c>
      <c r="O1196">
        <v>1182</v>
      </c>
      <c r="P1196">
        <v>2380</v>
      </c>
    </row>
    <row r="1197" spans="1:16" x14ac:dyDescent="0.3">
      <c r="A1197" t="s">
        <v>1458</v>
      </c>
      <c r="B1197" s="45">
        <v>45358</v>
      </c>
      <c r="C1197" t="s">
        <v>533</v>
      </c>
      <c r="D1197" t="s">
        <v>338</v>
      </c>
      <c r="E1197" t="s">
        <v>148</v>
      </c>
      <c r="F1197">
        <v>10</v>
      </c>
      <c r="G1197">
        <v>2210</v>
      </c>
      <c r="H1197">
        <v>24.1</v>
      </c>
      <c r="I1197">
        <v>16773.900000000001</v>
      </c>
      <c r="J1197" t="s">
        <v>93</v>
      </c>
      <c r="K1197" t="s">
        <v>99</v>
      </c>
      <c r="L1197" t="s">
        <v>99</v>
      </c>
      <c r="M1197" t="s">
        <v>2806</v>
      </c>
      <c r="N1197" t="s">
        <v>2855</v>
      </c>
      <c r="O1197">
        <v>1010</v>
      </c>
      <c r="P1197">
        <v>2210</v>
      </c>
    </row>
    <row r="1198" spans="1:16" x14ac:dyDescent="0.3">
      <c r="A1198" t="s">
        <v>1464</v>
      </c>
      <c r="B1198" s="45">
        <v>45531</v>
      </c>
      <c r="C1198" t="s">
        <v>485</v>
      </c>
      <c r="D1198" t="s">
        <v>234</v>
      </c>
      <c r="E1198" t="s">
        <v>273</v>
      </c>
      <c r="F1198">
        <v>7</v>
      </c>
      <c r="G1198">
        <v>3780</v>
      </c>
      <c r="H1198">
        <v>15.1</v>
      </c>
      <c r="I1198">
        <v>22464.54</v>
      </c>
      <c r="J1198" t="s">
        <v>87</v>
      </c>
      <c r="K1198" t="s">
        <v>88</v>
      </c>
      <c r="L1198" t="s">
        <v>88</v>
      </c>
      <c r="M1198" t="s">
        <v>2806</v>
      </c>
      <c r="N1198" t="s">
        <v>2862</v>
      </c>
      <c r="O1198">
        <v>2436</v>
      </c>
      <c r="P1198">
        <v>3780</v>
      </c>
    </row>
    <row r="1199" spans="1:16" x14ac:dyDescent="0.3">
      <c r="A1199" t="s">
        <v>1427</v>
      </c>
      <c r="B1199" s="45">
        <v>45417</v>
      </c>
      <c r="C1199" t="s">
        <v>172</v>
      </c>
      <c r="D1199" t="s">
        <v>200</v>
      </c>
      <c r="E1199" t="s">
        <v>297</v>
      </c>
      <c r="F1199">
        <v>4</v>
      </c>
      <c r="G1199">
        <v>2760</v>
      </c>
      <c r="H1199">
        <v>14.8</v>
      </c>
      <c r="I1199">
        <v>9406.08</v>
      </c>
      <c r="J1199" t="s">
        <v>87</v>
      </c>
      <c r="K1199" t="s">
        <v>88</v>
      </c>
      <c r="L1199" t="s">
        <v>88</v>
      </c>
      <c r="M1199" t="s">
        <v>2806</v>
      </c>
      <c r="N1199" t="s">
        <v>2855</v>
      </c>
      <c r="O1199">
        <v>1435</v>
      </c>
      <c r="P1199">
        <v>2760</v>
      </c>
    </row>
    <row r="1200" spans="1:16" x14ac:dyDescent="0.3">
      <c r="A1200" t="s">
        <v>1481</v>
      </c>
      <c r="B1200" s="45">
        <v>45380</v>
      </c>
      <c r="C1200" t="s">
        <v>1027</v>
      </c>
      <c r="D1200" t="s">
        <v>367</v>
      </c>
      <c r="E1200" t="s">
        <v>111</v>
      </c>
      <c r="F1200">
        <v>1</v>
      </c>
      <c r="G1200">
        <v>2380</v>
      </c>
      <c r="H1200">
        <v>12.9</v>
      </c>
      <c r="I1200">
        <v>2072.98</v>
      </c>
      <c r="J1200" t="s">
        <v>87</v>
      </c>
      <c r="K1200" t="s">
        <v>112</v>
      </c>
      <c r="L1200" t="s">
        <v>112</v>
      </c>
      <c r="M1200" t="s">
        <v>2806</v>
      </c>
      <c r="N1200" t="s">
        <v>2879</v>
      </c>
      <c r="O1200">
        <v>1182</v>
      </c>
      <c r="P1200">
        <v>2380</v>
      </c>
    </row>
    <row r="1201" spans="1:16" x14ac:dyDescent="0.3">
      <c r="A1201" t="s">
        <v>1491</v>
      </c>
      <c r="B1201" s="45">
        <v>45630</v>
      </c>
      <c r="C1201" t="s">
        <v>537</v>
      </c>
      <c r="D1201" t="s">
        <v>131</v>
      </c>
      <c r="E1201" t="s">
        <v>107</v>
      </c>
      <c r="F1201">
        <v>4</v>
      </c>
      <c r="G1201">
        <v>2270</v>
      </c>
      <c r="H1201">
        <v>18.399999999999999</v>
      </c>
      <c r="I1201">
        <v>7409.28</v>
      </c>
      <c r="J1201" t="s">
        <v>87</v>
      </c>
      <c r="K1201" t="s">
        <v>133</v>
      </c>
      <c r="L1201" t="s">
        <v>133</v>
      </c>
      <c r="M1201" t="s">
        <v>2806</v>
      </c>
      <c r="N1201" t="s">
        <v>2855</v>
      </c>
      <c r="O1201">
        <v>1203</v>
      </c>
      <c r="P1201">
        <v>2270</v>
      </c>
    </row>
    <row r="1202" spans="1:16" x14ac:dyDescent="0.3">
      <c r="A1202" t="s">
        <v>1494</v>
      </c>
      <c r="B1202" s="45">
        <v>45500</v>
      </c>
      <c r="C1202" t="s">
        <v>376</v>
      </c>
      <c r="D1202" t="s">
        <v>127</v>
      </c>
      <c r="E1202" t="s">
        <v>188</v>
      </c>
      <c r="F1202">
        <v>1</v>
      </c>
      <c r="G1202">
        <v>970</v>
      </c>
      <c r="H1202">
        <v>28</v>
      </c>
      <c r="I1202">
        <v>698.4</v>
      </c>
      <c r="J1202" t="s">
        <v>140</v>
      </c>
      <c r="K1202" t="s">
        <v>117</v>
      </c>
      <c r="L1202" t="s">
        <v>117</v>
      </c>
      <c r="M1202" t="s">
        <v>2806</v>
      </c>
      <c r="N1202" t="s">
        <v>2862</v>
      </c>
      <c r="O1202">
        <v>434</v>
      </c>
      <c r="P1202">
        <v>970</v>
      </c>
    </row>
    <row r="1203" spans="1:16" x14ac:dyDescent="0.3">
      <c r="A1203" t="s">
        <v>1496</v>
      </c>
      <c r="B1203" s="45">
        <v>45598</v>
      </c>
      <c r="C1203" t="s">
        <v>785</v>
      </c>
      <c r="D1203" t="s">
        <v>127</v>
      </c>
      <c r="E1203" t="s">
        <v>116</v>
      </c>
      <c r="F1203">
        <v>7</v>
      </c>
      <c r="G1203">
        <v>970</v>
      </c>
      <c r="H1203">
        <v>25.5</v>
      </c>
      <c r="I1203">
        <v>5058.55</v>
      </c>
      <c r="J1203" t="s">
        <v>87</v>
      </c>
      <c r="K1203" t="s">
        <v>88</v>
      </c>
      <c r="L1203" t="s">
        <v>88</v>
      </c>
      <c r="M1203" t="s">
        <v>2806</v>
      </c>
      <c r="N1203" t="s">
        <v>2879</v>
      </c>
      <c r="O1203">
        <v>434</v>
      </c>
      <c r="P1203">
        <v>970</v>
      </c>
    </row>
    <row r="1204" spans="1:16" x14ac:dyDescent="0.3">
      <c r="A1204" t="s">
        <v>1498</v>
      </c>
      <c r="B1204" s="45">
        <v>45524</v>
      </c>
      <c r="C1204" t="s">
        <v>1499</v>
      </c>
      <c r="D1204" t="s">
        <v>127</v>
      </c>
      <c r="E1204" t="s">
        <v>346</v>
      </c>
      <c r="F1204">
        <v>6</v>
      </c>
      <c r="G1204">
        <v>970</v>
      </c>
      <c r="H1204">
        <v>19.600000000000001</v>
      </c>
      <c r="I1204">
        <v>4679.28</v>
      </c>
      <c r="J1204" t="s">
        <v>87</v>
      </c>
      <c r="K1204" t="s">
        <v>94</v>
      </c>
      <c r="L1204" t="s">
        <v>94</v>
      </c>
      <c r="M1204" t="s">
        <v>2806</v>
      </c>
      <c r="N1204" t="s">
        <v>2862</v>
      </c>
      <c r="O1204">
        <v>434</v>
      </c>
      <c r="P1204">
        <v>970</v>
      </c>
    </row>
    <row r="1205" spans="1:16" x14ac:dyDescent="0.3">
      <c r="A1205" t="s">
        <v>1503</v>
      </c>
      <c r="B1205" s="45">
        <v>45336</v>
      </c>
      <c r="C1205" t="s">
        <v>388</v>
      </c>
      <c r="D1205" t="s">
        <v>200</v>
      </c>
      <c r="E1205" t="s">
        <v>98</v>
      </c>
      <c r="F1205">
        <v>7</v>
      </c>
      <c r="G1205">
        <v>2760</v>
      </c>
      <c r="H1205">
        <v>23.6</v>
      </c>
      <c r="I1205">
        <v>14760.48</v>
      </c>
      <c r="J1205" t="s">
        <v>93</v>
      </c>
      <c r="K1205" t="s">
        <v>133</v>
      </c>
      <c r="L1205" t="s">
        <v>133</v>
      </c>
      <c r="M1205" t="s">
        <v>2806</v>
      </c>
      <c r="N1205" t="s">
        <v>2862</v>
      </c>
      <c r="O1205">
        <v>1435</v>
      </c>
      <c r="P1205">
        <v>2760</v>
      </c>
    </row>
    <row r="1206" spans="1:16" x14ac:dyDescent="0.3">
      <c r="A1206" t="s">
        <v>1505</v>
      </c>
      <c r="B1206" s="45">
        <v>45392</v>
      </c>
      <c r="C1206" t="s">
        <v>585</v>
      </c>
      <c r="D1206" t="s">
        <v>234</v>
      </c>
      <c r="E1206" t="s">
        <v>188</v>
      </c>
      <c r="F1206">
        <v>4</v>
      </c>
      <c r="G1206">
        <v>3780</v>
      </c>
      <c r="H1206">
        <v>10.1</v>
      </c>
      <c r="I1206">
        <v>13592.88</v>
      </c>
      <c r="J1206" t="s">
        <v>87</v>
      </c>
      <c r="K1206" t="s">
        <v>94</v>
      </c>
      <c r="L1206" t="s">
        <v>94</v>
      </c>
      <c r="M1206" t="s">
        <v>2806</v>
      </c>
      <c r="N1206" t="s">
        <v>2862</v>
      </c>
      <c r="O1206">
        <v>2436</v>
      </c>
      <c r="P1206">
        <v>3780</v>
      </c>
    </row>
    <row r="1207" spans="1:16" x14ac:dyDescent="0.3">
      <c r="A1207" t="s">
        <v>1507</v>
      </c>
      <c r="B1207" s="45">
        <v>45411</v>
      </c>
      <c r="C1207" t="s">
        <v>741</v>
      </c>
      <c r="D1207" t="s">
        <v>245</v>
      </c>
      <c r="E1207" t="s">
        <v>273</v>
      </c>
      <c r="F1207">
        <v>6</v>
      </c>
      <c r="G1207">
        <v>2270</v>
      </c>
      <c r="H1207">
        <v>7.9</v>
      </c>
      <c r="I1207">
        <v>12544.02</v>
      </c>
      <c r="J1207" t="s">
        <v>144</v>
      </c>
      <c r="K1207" t="s">
        <v>133</v>
      </c>
      <c r="L1207" t="s">
        <v>133</v>
      </c>
      <c r="M1207" t="s">
        <v>2806</v>
      </c>
      <c r="N1207" t="s">
        <v>2862</v>
      </c>
      <c r="O1207">
        <v>1412</v>
      </c>
      <c r="P1207">
        <v>2270</v>
      </c>
    </row>
    <row r="1208" spans="1:16" x14ac:dyDescent="0.3">
      <c r="A1208" t="s">
        <v>1516</v>
      </c>
      <c r="B1208" s="45">
        <v>45453</v>
      </c>
      <c r="C1208" t="s">
        <v>163</v>
      </c>
      <c r="D1208" t="s">
        <v>264</v>
      </c>
      <c r="E1208" t="s">
        <v>103</v>
      </c>
      <c r="F1208">
        <v>9</v>
      </c>
      <c r="G1208">
        <v>4070</v>
      </c>
      <c r="H1208">
        <v>16.2</v>
      </c>
      <c r="I1208">
        <v>30695.94</v>
      </c>
      <c r="J1208" t="s">
        <v>87</v>
      </c>
      <c r="K1208" t="s">
        <v>94</v>
      </c>
      <c r="L1208" t="s">
        <v>94</v>
      </c>
      <c r="M1208" t="s">
        <v>2806</v>
      </c>
      <c r="N1208" t="s">
        <v>2855</v>
      </c>
      <c r="O1208">
        <v>2027</v>
      </c>
      <c r="P1208">
        <v>4070</v>
      </c>
    </row>
    <row r="1209" spans="1:16" x14ac:dyDescent="0.3">
      <c r="A1209" t="s">
        <v>1518</v>
      </c>
      <c r="B1209" s="45">
        <v>45422</v>
      </c>
      <c r="C1209" t="s">
        <v>105</v>
      </c>
      <c r="D1209" t="s">
        <v>338</v>
      </c>
      <c r="E1209" t="s">
        <v>285</v>
      </c>
      <c r="F1209">
        <v>3</v>
      </c>
      <c r="G1209">
        <v>2210</v>
      </c>
      <c r="H1209">
        <v>29.7</v>
      </c>
      <c r="I1209">
        <v>4660.8900000000003</v>
      </c>
      <c r="J1209" t="s">
        <v>87</v>
      </c>
      <c r="K1209" t="s">
        <v>94</v>
      </c>
      <c r="L1209" t="s">
        <v>94</v>
      </c>
      <c r="M1209" t="s">
        <v>2806</v>
      </c>
      <c r="N1209" t="s">
        <v>2871</v>
      </c>
      <c r="O1209">
        <v>1010</v>
      </c>
      <c r="P1209">
        <v>2210</v>
      </c>
    </row>
    <row r="1210" spans="1:16" x14ac:dyDescent="0.3">
      <c r="A1210" t="s">
        <v>1530</v>
      </c>
      <c r="B1210" s="45">
        <v>45450</v>
      </c>
      <c r="C1210" t="s">
        <v>872</v>
      </c>
      <c r="D1210" t="s">
        <v>245</v>
      </c>
      <c r="E1210" t="s">
        <v>158</v>
      </c>
      <c r="F1210">
        <v>10</v>
      </c>
      <c r="G1210">
        <v>2270</v>
      </c>
      <c r="H1210">
        <v>1.6</v>
      </c>
      <c r="I1210">
        <v>22336.799999999999</v>
      </c>
      <c r="J1210" t="s">
        <v>87</v>
      </c>
      <c r="K1210" t="s">
        <v>112</v>
      </c>
      <c r="L1210" t="s">
        <v>112</v>
      </c>
      <c r="M1210" t="s">
        <v>2806</v>
      </c>
      <c r="N1210" t="s">
        <v>2871</v>
      </c>
      <c r="O1210">
        <v>1412</v>
      </c>
      <c r="P1210">
        <v>2270</v>
      </c>
    </row>
    <row r="1211" spans="1:16" x14ac:dyDescent="0.3">
      <c r="A1211" t="s">
        <v>1531</v>
      </c>
      <c r="B1211" s="45">
        <v>45589</v>
      </c>
      <c r="C1211" t="s">
        <v>407</v>
      </c>
      <c r="D1211" t="s">
        <v>127</v>
      </c>
      <c r="E1211" t="s">
        <v>148</v>
      </c>
      <c r="F1211">
        <v>8</v>
      </c>
      <c r="G1211">
        <v>970</v>
      </c>
      <c r="H1211">
        <v>13.1</v>
      </c>
      <c r="I1211">
        <v>6743.44</v>
      </c>
      <c r="J1211" t="s">
        <v>87</v>
      </c>
      <c r="K1211" t="s">
        <v>88</v>
      </c>
      <c r="L1211" t="s">
        <v>88</v>
      </c>
      <c r="M1211" t="s">
        <v>2806</v>
      </c>
      <c r="N1211" t="s">
        <v>2855</v>
      </c>
      <c r="O1211">
        <v>434</v>
      </c>
      <c r="P1211">
        <v>970</v>
      </c>
    </row>
    <row r="1212" spans="1:16" x14ac:dyDescent="0.3">
      <c r="A1212" t="s">
        <v>1532</v>
      </c>
      <c r="B1212" s="45">
        <v>45646</v>
      </c>
      <c r="C1212" t="s">
        <v>382</v>
      </c>
      <c r="D1212" t="s">
        <v>367</v>
      </c>
      <c r="E1212" t="s">
        <v>325</v>
      </c>
      <c r="F1212">
        <v>7</v>
      </c>
      <c r="G1212">
        <v>2380</v>
      </c>
      <c r="H1212">
        <v>10.6</v>
      </c>
      <c r="I1212">
        <v>14894.04</v>
      </c>
      <c r="J1212" t="s">
        <v>140</v>
      </c>
      <c r="K1212" t="s">
        <v>99</v>
      </c>
      <c r="L1212" t="s">
        <v>99</v>
      </c>
      <c r="M1212" t="s">
        <v>2806</v>
      </c>
      <c r="N1212" t="s">
        <v>2862</v>
      </c>
      <c r="O1212">
        <v>1182</v>
      </c>
      <c r="P1212">
        <v>2380</v>
      </c>
    </row>
    <row r="1213" spans="1:16" x14ac:dyDescent="0.3">
      <c r="A1213" t="s">
        <v>1535</v>
      </c>
      <c r="B1213" s="45">
        <v>45555</v>
      </c>
      <c r="C1213" t="s">
        <v>490</v>
      </c>
      <c r="D1213" t="s">
        <v>264</v>
      </c>
      <c r="E1213" t="s">
        <v>343</v>
      </c>
      <c r="F1213">
        <v>3</v>
      </c>
      <c r="G1213">
        <v>4070</v>
      </c>
      <c r="H1213">
        <v>8.1999999999999993</v>
      </c>
      <c r="I1213">
        <v>11208.78</v>
      </c>
      <c r="J1213" t="s">
        <v>140</v>
      </c>
      <c r="K1213" t="s">
        <v>99</v>
      </c>
      <c r="L1213" t="s">
        <v>99</v>
      </c>
      <c r="M1213" t="s">
        <v>2806</v>
      </c>
      <c r="N1213" t="s">
        <v>2879</v>
      </c>
      <c r="O1213">
        <v>2027</v>
      </c>
      <c r="P1213">
        <v>4070</v>
      </c>
    </row>
    <row r="1214" spans="1:16" x14ac:dyDescent="0.3">
      <c r="A1214" t="s">
        <v>1548</v>
      </c>
      <c r="B1214" s="45">
        <v>45378</v>
      </c>
      <c r="C1214" t="s">
        <v>779</v>
      </c>
      <c r="D1214" t="s">
        <v>338</v>
      </c>
      <c r="E1214" t="s">
        <v>238</v>
      </c>
      <c r="F1214">
        <v>1</v>
      </c>
      <c r="G1214">
        <v>2210</v>
      </c>
      <c r="H1214">
        <v>10.7</v>
      </c>
      <c r="I1214">
        <v>1973.53</v>
      </c>
      <c r="J1214" t="s">
        <v>87</v>
      </c>
      <c r="K1214" t="s">
        <v>117</v>
      </c>
      <c r="L1214" t="s">
        <v>117</v>
      </c>
      <c r="M1214" t="s">
        <v>2806</v>
      </c>
      <c r="N1214" t="s">
        <v>2871</v>
      </c>
      <c r="O1214">
        <v>1010</v>
      </c>
      <c r="P1214">
        <v>2210</v>
      </c>
    </row>
    <row r="1215" spans="1:16" x14ac:dyDescent="0.3">
      <c r="A1215" t="s">
        <v>1551</v>
      </c>
      <c r="B1215" s="45">
        <v>45618</v>
      </c>
      <c r="C1215" t="s">
        <v>872</v>
      </c>
      <c r="D1215" t="s">
        <v>234</v>
      </c>
      <c r="E1215" t="s">
        <v>303</v>
      </c>
      <c r="F1215">
        <v>7</v>
      </c>
      <c r="G1215">
        <v>3780</v>
      </c>
      <c r="H1215">
        <v>8.5</v>
      </c>
      <c r="I1215">
        <v>24210.9</v>
      </c>
      <c r="J1215" t="s">
        <v>140</v>
      </c>
      <c r="K1215" t="s">
        <v>112</v>
      </c>
      <c r="L1215" t="s">
        <v>112</v>
      </c>
      <c r="M1215" t="s">
        <v>2806</v>
      </c>
      <c r="N1215" t="s">
        <v>2871</v>
      </c>
      <c r="O1215">
        <v>2436</v>
      </c>
      <c r="P1215">
        <v>3780</v>
      </c>
    </row>
    <row r="1216" spans="1:16" x14ac:dyDescent="0.3">
      <c r="A1216" t="s">
        <v>1563</v>
      </c>
      <c r="B1216" s="45">
        <v>45479</v>
      </c>
      <c r="C1216" t="s">
        <v>1036</v>
      </c>
      <c r="D1216" t="s">
        <v>102</v>
      </c>
      <c r="E1216" t="s">
        <v>204</v>
      </c>
      <c r="F1216">
        <v>5</v>
      </c>
      <c r="G1216">
        <v>3660</v>
      </c>
      <c r="H1216">
        <v>4.5999999999999996</v>
      </c>
      <c r="I1216">
        <v>17458.2</v>
      </c>
      <c r="J1216" t="s">
        <v>87</v>
      </c>
      <c r="K1216" t="s">
        <v>112</v>
      </c>
      <c r="L1216" t="s">
        <v>112</v>
      </c>
      <c r="M1216" t="s">
        <v>2806</v>
      </c>
      <c r="N1216" t="s">
        <v>2862</v>
      </c>
      <c r="O1216">
        <v>2214</v>
      </c>
      <c r="P1216">
        <v>3660</v>
      </c>
    </row>
    <row r="1217" spans="1:16" x14ac:dyDescent="0.3">
      <c r="A1217" t="s">
        <v>1567</v>
      </c>
      <c r="B1217" s="45">
        <v>45383</v>
      </c>
      <c r="C1217" t="s">
        <v>447</v>
      </c>
      <c r="D1217" t="s">
        <v>245</v>
      </c>
      <c r="E1217" t="s">
        <v>111</v>
      </c>
      <c r="F1217">
        <v>1</v>
      </c>
      <c r="G1217">
        <v>2270</v>
      </c>
      <c r="H1217">
        <v>12.4</v>
      </c>
      <c r="I1217">
        <v>1988.52</v>
      </c>
      <c r="J1217" t="s">
        <v>87</v>
      </c>
      <c r="K1217" t="s">
        <v>112</v>
      </c>
      <c r="L1217" t="s">
        <v>112</v>
      </c>
      <c r="M1217" t="s">
        <v>2806</v>
      </c>
      <c r="N1217" t="s">
        <v>2879</v>
      </c>
      <c r="O1217">
        <v>1412</v>
      </c>
      <c r="P1217">
        <v>2270</v>
      </c>
    </row>
    <row r="1218" spans="1:16" x14ac:dyDescent="0.3">
      <c r="A1218" t="s">
        <v>1571</v>
      </c>
      <c r="B1218" s="45">
        <v>45588</v>
      </c>
      <c r="C1218" t="s">
        <v>101</v>
      </c>
      <c r="D1218" t="s">
        <v>131</v>
      </c>
      <c r="E1218" t="s">
        <v>325</v>
      </c>
      <c r="F1218">
        <v>6</v>
      </c>
      <c r="G1218">
        <v>2270</v>
      </c>
      <c r="H1218">
        <v>9.3000000000000007</v>
      </c>
      <c r="I1218">
        <v>12353.34</v>
      </c>
      <c r="J1218" t="s">
        <v>87</v>
      </c>
      <c r="K1218" t="s">
        <v>99</v>
      </c>
      <c r="L1218" t="s">
        <v>99</v>
      </c>
      <c r="M1218" t="s">
        <v>2806</v>
      </c>
      <c r="N1218" t="s">
        <v>2862</v>
      </c>
      <c r="O1218">
        <v>1203</v>
      </c>
      <c r="P1218">
        <v>2270</v>
      </c>
    </row>
    <row r="1219" spans="1:16" x14ac:dyDescent="0.3">
      <c r="A1219" t="s">
        <v>1587</v>
      </c>
      <c r="B1219" s="45">
        <v>45407</v>
      </c>
      <c r="C1219" t="s">
        <v>595</v>
      </c>
      <c r="D1219" t="s">
        <v>338</v>
      </c>
      <c r="E1219" t="s">
        <v>148</v>
      </c>
      <c r="F1219">
        <v>6</v>
      </c>
      <c r="G1219">
        <v>2210</v>
      </c>
      <c r="H1219">
        <v>9.1</v>
      </c>
      <c r="I1219">
        <v>12053.34</v>
      </c>
      <c r="J1219" t="s">
        <v>87</v>
      </c>
      <c r="K1219" t="s">
        <v>99</v>
      </c>
      <c r="L1219" t="s">
        <v>99</v>
      </c>
      <c r="M1219" t="s">
        <v>2806</v>
      </c>
      <c r="N1219" t="s">
        <v>2855</v>
      </c>
      <c r="O1219">
        <v>1010</v>
      </c>
      <c r="P1219">
        <v>2210</v>
      </c>
    </row>
    <row r="1220" spans="1:16" x14ac:dyDescent="0.3">
      <c r="A1220" t="s">
        <v>1594</v>
      </c>
      <c r="B1220" s="45">
        <v>45369</v>
      </c>
      <c r="C1220" t="s">
        <v>160</v>
      </c>
      <c r="D1220" t="s">
        <v>127</v>
      </c>
      <c r="E1220" t="s">
        <v>111</v>
      </c>
      <c r="F1220">
        <v>5</v>
      </c>
      <c r="G1220">
        <v>970</v>
      </c>
      <c r="H1220">
        <v>6.8</v>
      </c>
      <c r="I1220">
        <v>4520.2</v>
      </c>
      <c r="J1220" t="s">
        <v>93</v>
      </c>
      <c r="K1220" t="s">
        <v>112</v>
      </c>
      <c r="L1220" t="s">
        <v>112</v>
      </c>
      <c r="M1220" t="s">
        <v>2806</v>
      </c>
      <c r="N1220" t="s">
        <v>2879</v>
      </c>
      <c r="O1220">
        <v>434</v>
      </c>
      <c r="P1220">
        <v>970</v>
      </c>
    </row>
    <row r="1221" spans="1:16" x14ac:dyDescent="0.3">
      <c r="A1221" t="s">
        <v>1595</v>
      </c>
      <c r="B1221" s="45">
        <v>45519</v>
      </c>
      <c r="C1221" t="s">
        <v>231</v>
      </c>
      <c r="D1221" t="s">
        <v>234</v>
      </c>
      <c r="E1221" t="s">
        <v>297</v>
      </c>
      <c r="F1221">
        <v>5</v>
      </c>
      <c r="G1221">
        <v>3780</v>
      </c>
      <c r="H1221">
        <v>16.600000000000001</v>
      </c>
      <c r="I1221">
        <v>15762.6</v>
      </c>
      <c r="J1221" t="s">
        <v>87</v>
      </c>
      <c r="K1221" t="s">
        <v>117</v>
      </c>
      <c r="L1221" t="s">
        <v>117</v>
      </c>
      <c r="M1221" t="s">
        <v>2806</v>
      </c>
      <c r="N1221" t="s">
        <v>2855</v>
      </c>
      <c r="O1221">
        <v>2436</v>
      </c>
      <c r="P1221">
        <v>3780</v>
      </c>
    </row>
    <row r="1222" spans="1:16" x14ac:dyDescent="0.3">
      <c r="A1222" t="s">
        <v>1599</v>
      </c>
      <c r="B1222" s="45">
        <v>45338</v>
      </c>
      <c r="C1222" t="s">
        <v>345</v>
      </c>
      <c r="D1222" t="s">
        <v>338</v>
      </c>
      <c r="E1222" t="s">
        <v>192</v>
      </c>
      <c r="F1222">
        <v>6</v>
      </c>
      <c r="G1222">
        <v>2210</v>
      </c>
      <c r="H1222">
        <v>29.4</v>
      </c>
      <c r="I1222">
        <v>9361.56</v>
      </c>
      <c r="J1222" t="s">
        <v>87</v>
      </c>
      <c r="K1222" t="s">
        <v>94</v>
      </c>
      <c r="L1222" t="s">
        <v>94</v>
      </c>
      <c r="M1222" t="s">
        <v>2806</v>
      </c>
      <c r="N1222" t="s">
        <v>2871</v>
      </c>
      <c r="O1222">
        <v>1010</v>
      </c>
      <c r="P1222">
        <v>2210</v>
      </c>
    </row>
    <row r="1223" spans="1:16" x14ac:dyDescent="0.3">
      <c r="A1223" t="s">
        <v>1611</v>
      </c>
      <c r="B1223" s="45">
        <v>45513</v>
      </c>
      <c r="C1223" t="s">
        <v>178</v>
      </c>
      <c r="D1223" t="s">
        <v>351</v>
      </c>
      <c r="E1223" t="s">
        <v>297</v>
      </c>
      <c r="F1223">
        <v>5</v>
      </c>
      <c r="G1223">
        <v>4060</v>
      </c>
      <c r="H1223">
        <v>9.1</v>
      </c>
      <c r="I1223">
        <v>18452.7</v>
      </c>
      <c r="J1223" t="s">
        <v>93</v>
      </c>
      <c r="K1223" t="s">
        <v>94</v>
      </c>
      <c r="L1223" t="s">
        <v>94</v>
      </c>
      <c r="M1223" t="s">
        <v>2806</v>
      </c>
      <c r="N1223" t="s">
        <v>2855</v>
      </c>
      <c r="O1223">
        <v>2911</v>
      </c>
      <c r="P1223">
        <v>4060</v>
      </c>
    </row>
    <row r="1224" spans="1:16" x14ac:dyDescent="0.3">
      <c r="A1224" t="s">
        <v>1624</v>
      </c>
      <c r="B1224" s="45">
        <v>45597</v>
      </c>
      <c r="C1224" t="s">
        <v>1250</v>
      </c>
      <c r="D1224" t="s">
        <v>367</v>
      </c>
      <c r="E1224" t="s">
        <v>297</v>
      </c>
      <c r="F1224">
        <v>7</v>
      </c>
      <c r="G1224">
        <v>2380</v>
      </c>
      <c r="H1224">
        <v>15.5</v>
      </c>
      <c r="I1224">
        <v>14077.7</v>
      </c>
      <c r="J1224" t="s">
        <v>87</v>
      </c>
      <c r="K1224" t="s">
        <v>88</v>
      </c>
      <c r="L1224" t="s">
        <v>88</v>
      </c>
      <c r="M1224" t="s">
        <v>2806</v>
      </c>
      <c r="N1224" t="s">
        <v>2855</v>
      </c>
      <c r="O1224">
        <v>1182</v>
      </c>
      <c r="P1224">
        <v>2380</v>
      </c>
    </row>
    <row r="1225" spans="1:16" x14ac:dyDescent="0.3">
      <c r="A1225" t="s">
        <v>1627</v>
      </c>
      <c r="B1225" s="45">
        <v>45331</v>
      </c>
      <c r="C1225" t="s">
        <v>1628</v>
      </c>
      <c r="D1225" t="s">
        <v>127</v>
      </c>
      <c r="E1225" t="s">
        <v>116</v>
      </c>
      <c r="F1225">
        <v>5</v>
      </c>
      <c r="G1225">
        <v>970</v>
      </c>
      <c r="H1225">
        <v>23.6</v>
      </c>
      <c r="I1225">
        <v>3705.4</v>
      </c>
      <c r="J1225" t="s">
        <v>87</v>
      </c>
      <c r="K1225" t="s">
        <v>94</v>
      </c>
      <c r="L1225" t="s">
        <v>94</v>
      </c>
      <c r="M1225" t="s">
        <v>2806</v>
      </c>
      <c r="N1225" t="s">
        <v>2879</v>
      </c>
      <c r="O1225">
        <v>434</v>
      </c>
      <c r="P1225">
        <v>970</v>
      </c>
    </row>
    <row r="1226" spans="1:16" x14ac:dyDescent="0.3">
      <c r="A1226" t="s">
        <v>1636</v>
      </c>
      <c r="B1226" s="45">
        <v>45390</v>
      </c>
      <c r="C1226" t="s">
        <v>1534</v>
      </c>
      <c r="D1226" t="s">
        <v>351</v>
      </c>
      <c r="E1226" t="s">
        <v>154</v>
      </c>
      <c r="F1226">
        <v>4</v>
      </c>
      <c r="G1226">
        <v>4060</v>
      </c>
      <c r="H1226">
        <v>19.600000000000001</v>
      </c>
      <c r="I1226">
        <v>13056.96</v>
      </c>
      <c r="J1226" t="s">
        <v>140</v>
      </c>
      <c r="K1226" t="s">
        <v>133</v>
      </c>
      <c r="L1226" t="s">
        <v>133</v>
      </c>
      <c r="M1226" t="s">
        <v>2806</v>
      </c>
      <c r="N1226" t="s">
        <v>2871</v>
      </c>
      <c r="O1226">
        <v>2911</v>
      </c>
      <c r="P1226">
        <v>4060</v>
      </c>
    </row>
    <row r="1227" spans="1:16" x14ac:dyDescent="0.3">
      <c r="A1227" t="s">
        <v>1649</v>
      </c>
      <c r="B1227" s="45">
        <v>45479</v>
      </c>
      <c r="C1227" t="s">
        <v>1003</v>
      </c>
      <c r="D1227" t="s">
        <v>264</v>
      </c>
      <c r="E1227" t="s">
        <v>116</v>
      </c>
      <c r="F1227">
        <v>4</v>
      </c>
      <c r="G1227">
        <v>4070</v>
      </c>
      <c r="H1227">
        <v>10.1</v>
      </c>
      <c r="I1227">
        <v>14635.72</v>
      </c>
      <c r="J1227" t="s">
        <v>87</v>
      </c>
      <c r="K1227" t="s">
        <v>99</v>
      </c>
      <c r="L1227" t="s">
        <v>99</v>
      </c>
      <c r="M1227" t="s">
        <v>2806</v>
      </c>
      <c r="N1227" t="s">
        <v>2879</v>
      </c>
      <c r="O1227">
        <v>2027</v>
      </c>
      <c r="P1227">
        <v>4070</v>
      </c>
    </row>
    <row r="1228" spans="1:16" x14ac:dyDescent="0.3">
      <c r="A1228" t="s">
        <v>1654</v>
      </c>
      <c r="B1228" s="45">
        <v>45485</v>
      </c>
      <c r="C1228" t="s">
        <v>378</v>
      </c>
      <c r="D1228" t="s">
        <v>102</v>
      </c>
      <c r="E1228" t="s">
        <v>325</v>
      </c>
      <c r="F1228">
        <v>8</v>
      </c>
      <c r="G1228">
        <v>3660</v>
      </c>
      <c r="H1228">
        <v>29.5</v>
      </c>
      <c r="I1228">
        <v>20642.400000000001</v>
      </c>
      <c r="J1228" t="s">
        <v>87</v>
      </c>
      <c r="K1228" t="s">
        <v>94</v>
      </c>
      <c r="L1228" t="s">
        <v>94</v>
      </c>
      <c r="M1228" t="s">
        <v>2806</v>
      </c>
      <c r="N1228" t="s">
        <v>2862</v>
      </c>
      <c r="O1228">
        <v>2214</v>
      </c>
      <c r="P1228">
        <v>3660</v>
      </c>
    </row>
    <row r="1229" spans="1:16" x14ac:dyDescent="0.3">
      <c r="A1229" t="s">
        <v>1659</v>
      </c>
      <c r="B1229" s="45">
        <v>45401</v>
      </c>
      <c r="C1229" t="s">
        <v>413</v>
      </c>
      <c r="D1229" t="s">
        <v>245</v>
      </c>
      <c r="E1229" t="s">
        <v>346</v>
      </c>
      <c r="F1229">
        <v>4</v>
      </c>
      <c r="G1229">
        <v>2270</v>
      </c>
      <c r="H1229">
        <v>27.3</v>
      </c>
      <c r="I1229">
        <v>6601.16</v>
      </c>
      <c r="J1229" t="s">
        <v>87</v>
      </c>
      <c r="K1229" t="s">
        <v>88</v>
      </c>
      <c r="L1229" t="s">
        <v>88</v>
      </c>
      <c r="M1229" t="s">
        <v>2806</v>
      </c>
      <c r="N1229" t="s">
        <v>2862</v>
      </c>
      <c r="O1229">
        <v>1412</v>
      </c>
      <c r="P1229">
        <v>2270</v>
      </c>
    </row>
    <row r="1230" spans="1:16" x14ac:dyDescent="0.3">
      <c r="A1230" t="s">
        <v>1661</v>
      </c>
      <c r="B1230" s="45">
        <v>45602</v>
      </c>
      <c r="C1230" t="s">
        <v>785</v>
      </c>
      <c r="D1230" t="s">
        <v>264</v>
      </c>
      <c r="E1230" t="s">
        <v>229</v>
      </c>
      <c r="F1230">
        <v>8</v>
      </c>
      <c r="G1230">
        <v>4070</v>
      </c>
      <c r="H1230">
        <v>17.7</v>
      </c>
      <c r="I1230">
        <v>26796.880000000001</v>
      </c>
      <c r="J1230" t="s">
        <v>87</v>
      </c>
      <c r="K1230" t="s">
        <v>88</v>
      </c>
      <c r="L1230" t="s">
        <v>88</v>
      </c>
      <c r="M1230" t="s">
        <v>2806</v>
      </c>
      <c r="N1230" t="s">
        <v>2879</v>
      </c>
      <c r="O1230">
        <v>2027</v>
      </c>
      <c r="P1230">
        <v>4070</v>
      </c>
    </row>
    <row r="1231" spans="1:16" x14ac:dyDescent="0.3">
      <c r="A1231" t="s">
        <v>1668</v>
      </c>
      <c r="B1231" s="45">
        <v>45508</v>
      </c>
      <c r="C1231" t="s">
        <v>263</v>
      </c>
      <c r="D1231" t="s">
        <v>264</v>
      </c>
      <c r="E1231" t="s">
        <v>192</v>
      </c>
      <c r="F1231">
        <v>9</v>
      </c>
      <c r="G1231">
        <v>4070</v>
      </c>
      <c r="H1231">
        <v>4.4000000000000004</v>
      </c>
      <c r="I1231">
        <v>35018.28</v>
      </c>
      <c r="J1231" t="s">
        <v>87</v>
      </c>
      <c r="K1231" t="s">
        <v>133</v>
      </c>
      <c r="L1231" t="s">
        <v>133</v>
      </c>
      <c r="M1231" t="s">
        <v>2806</v>
      </c>
      <c r="N1231" t="s">
        <v>2879</v>
      </c>
      <c r="O1231">
        <v>2027</v>
      </c>
      <c r="P1231">
        <v>4070</v>
      </c>
    </row>
    <row r="1232" spans="1:16" x14ac:dyDescent="0.3">
      <c r="A1232" t="s">
        <v>1679</v>
      </c>
      <c r="B1232" s="45">
        <v>45656</v>
      </c>
      <c r="C1232" t="s">
        <v>604</v>
      </c>
      <c r="D1232" t="s">
        <v>127</v>
      </c>
      <c r="E1232" t="s">
        <v>285</v>
      </c>
      <c r="F1232">
        <v>9</v>
      </c>
      <c r="G1232">
        <v>970</v>
      </c>
      <c r="H1232">
        <v>19.5</v>
      </c>
      <c r="I1232">
        <v>7027.65</v>
      </c>
      <c r="J1232" t="s">
        <v>87</v>
      </c>
      <c r="K1232" t="s">
        <v>117</v>
      </c>
      <c r="L1232" t="s">
        <v>117</v>
      </c>
      <c r="M1232" t="s">
        <v>2806</v>
      </c>
      <c r="N1232" t="s">
        <v>2871</v>
      </c>
      <c r="O1232">
        <v>434</v>
      </c>
      <c r="P1232">
        <v>970</v>
      </c>
    </row>
    <row r="1233" spans="1:16" x14ac:dyDescent="0.3">
      <c r="A1233" t="s">
        <v>1685</v>
      </c>
      <c r="B1233" s="45">
        <v>45300</v>
      </c>
      <c r="C1233" t="s">
        <v>1006</v>
      </c>
      <c r="D1233" t="s">
        <v>245</v>
      </c>
      <c r="E1233" t="s">
        <v>192</v>
      </c>
      <c r="F1233">
        <v>4</v>
      </c>
      <c r="G1233">
        <v>2270</v>
      </c>
      <c r="H1233">
        <v>8.1</v>
      </c>
      <c r="I1233">
        <v>8344.52</v>
      </c>
      <c r="J1233" t="s">
        <v>93</v>
      </c>
      <c r="K1233" t="s">
        <v>117</v>
      </c>
      <c r="L1233" t="s">
        <v>117</v>
      </c>
      <c r="M1233" t="s">
        <v>2806</v>
      </c>
      <c r="N1233" t="s">
        <v>2871</v>
      </c>
      <c r="O1233">
        <v>1412</v>
      </c>
      <c r="P1233">
        <v>2270</v>
      </c>
    </row>
    <row r="1234" spans="1:16" x14ac:dyDescent="0.3">
      <c r="A1234" t="s">
        <v>1690</v>
      </c>
      <c r="B1234" s="45">
        <v>45501</v>
      </c>
      <c r="C1234" t="s">
        <v>1051</v>
      </c>
      <c r="D1234" t="s">
        <v>127</v>
      </c>
      <c r="E1234" t="s">
        <v>132</v>
      </c>
      <c r="F1234">
        <v>7</v>
      </c>
      <c r="G1234">
        <v>970</v>
      </c>
      <c r="H1234">
        <v>23.7</v>
      </c>
      <c r="I1234">
        <v>5180.7700000000004</v>
      </c>
      <c r="J1234" t="s">
        <v>87</v>
      </c>
      <c r="K1234" t="s">
        <v>112</v>
      </c>
      <c r="L1234" t="s">
        <v>112</v>
      </c>
      <c r="M1234" t="s">
        <v>2806</v>
      </c>
      <c r="N1234" t="s">
        <v>2855</v>
      </c>
      <c r="O1234">
        <v>434</v>
      </c>
      <c r="P1234">
        <v>970</v>
      </c>
    </row>
    <row r="1235" spans="1:16" x14ac:dyDescent="0.3">
      <c r="A1235" t="s">
        <v>1691</v>
      </c>
      <c r="B1235" s="45">
        <v>45338</v>
      </c>
      <c r="C1235" t="s">
        <v>868</v>
      </c>
      <c r="D1235" t="s">
        <v>131</v>
      </c>
      <c r="E1235" t="s">
        <v>103</v>
      </c>
      <c r="F1235">
        <v>8</v>
      </c>
      <c r="G1235">
        <v>2270</v>
      </c>
      <c r="H1235">
        <v>6.8</v>
      </c>
      <c r="I1235">
        <v>16925.12</v>
      </c>
      <c r="J1235" t="s">
        <v>87</v>
      </c>
      <c r="K1235" t="s">
        <v>99</v>
      </c>
      <c r="L1235" t="s">
        <v>99</v>
      </c>
      <c r="M1235" t="s">
        <v>2806</v>
      </c>
      <c r="N1235" t="s">
        <v>2855</v>
      </c>
      <c r="O1235">
        <v>1203</v>
      </c>
      <c r="P1235">
        <v>2270</v>
      </c>
    </row>
    <row r="1236" spans="1:16" x14ac:dyDescent="0.3">
      <c r="A1236" t="s">
        <v>1699</v>
      </c>
      <c r="B1236" s="45">
        <v>45310</v>
      </c>
      <c r="C1236" t="s">
        <v>392</v>
      </c>
      <c r="D1236" t="s">
        <v>367</v>
      </c>
      <c r="E1236" t="s">
        <v>303</v>
      </c>
      <c r="F1236">
        <v>5</v>
      </c>
      <c r="G1236">
        <v>2380</v>
      </c>
      <c r="H1236">
        <v>20.5</v>
      </c>
      <c r="I1236">
        <v>9460.5</v>
      </c>
      <c r="J1236" t="s">
        <v>87</v>
      </c>
      <c r="K1236" t="s">
        <v>112</v>
      </c>
      <c r="L1236" t="s">
        <v>112</v>
      </c>
      <c r="M1236" t="s">
        <v>2806</v>
      </c>
      <c r="N1236" t="s">
        <v>2862</v>
      </c>
      <c r="O1236">
        <v>1182</v>
      </c>
      <c r="P1236">
        <v>2380</v>
      </c>
    </row>
    <row r="1237" spans="1:16" x14ac:dyDescent="0.3">
      <c r="A1237" t="s">
        <v>1705</v>
      </c>
      <c r="B1237" s="45">
        <v>45519</v>
      </c>
      <c r="C1237" t="s">
        <v>1016</v>
      </c>
      <c r="D1237" t="s">
        <v>200</v>
      </c>
      <c r="E1237" t="s">
        <v>111</v>
      </c>
      <c r="F1237">
        <v>1</v>
      </c>
      <c r="G1237">
        <v>2760</v>
      </c>
      <c r="H1237">
        <v>9.5</v>
      </c>
      <c r="I1237">
        <v>2497.8000000000002</v>
      </c>
      <c r="J1237" t="s">
        <v>87</v>
      </c>
      <c r="K1237" t="s">
        <v>117</v>
      </c>
      <c r="L1237" t="s">
        <v>117</v>
      </c>
      <c r="M1237" t="s">
        <v>2806</v>
      </c>
      <c r="N1237" t="s">
        <v>2871</v>
      </c>
      <c r="O1237">
        <v>1435</v>
      </c>
      <c r="P1237">
        <v>2760</v>
      </c>
    </row>
    <row r="1238" spans="1:16" x14ac:dyDescent="0.3">
      <c r="A1238" t="s">
        <v>1709</v>
      </c>
      <c r="B1238" s="45">
        <v>45560</v>
      </c>
      <c r="C1238" t="s">
        <v>533</v>
      </c>
      <c r="D1238" t="s">
        <v>245</v>
      </c>
      <c r="E1238" t="s">
        <v>154</v>
      </c>
      <c r="F1238">
        <v>8</v>
      </c>
      <c r="G1238">
        <v>2270</v>
      </c>
      <c r="H1238">
        <v>15.6</v>
      </c>
      <c r="I1238">
        <v>15327.04</v>
      </c>
      <c r="J1238" t="s">
        <v>93</v>
      </c>
      <c r="K1238" t="s">
        <v>99</v>
      </c>
      <c r="L1238" t="s">
        <v>99</v>
      </c>
      <c r="M1238" t="s">
        <v>2806</v>
      </c>
      <c r="N1238" t="s">
        <v>2855</v>
      </c>
      <c r="O1238">
        <v>1412</v>
      </c>
      <c r="P1238">
        <v>2270</v>
      </c>
    </row>
    <row r="1239" spans="1:16" x14ac:dyDescent="0.3">
      <c r="A1239" t="s">
        <v>1751</v>
      </c>
      <c r="B1239" s="45">
        <v>45395</v>
      </c>
      <c r="C1239" t="s">
        <v>258</v>
      </c>
      <c r="D1239" t="s">
        <v>367</v>
      </c>
      <c r="E1239" t="s">
        <v>158</v>
      </c>
      <c r="F1239">
        <v>3</v>
      </c>
      <c r="G1239">
        <v>2380</v>
      </c>
      <c r="H1239">
        <v>19.5</v>
      </c>
      <c r="I1239">
        <v>5747.7</v>
      </c>
      <c r="J1239" t="s">
        <v>140</v>
      </c>
      <c r="K1239" t="s">
        <v>99</v>
      </c>
      <c r="L1239" t="s">
        <v>99</v>
      </c>
      <c r="M1239" t="s">
        <v>2806</v>
      </c>
      <c r="N1239" t="s">
        <v>2862</v>
      </c>
      <c r="O1239">
        <v>1182</v>
      </c>
      <c r="P1239">
        <v>2380</v>
      </c>
    </row>
    <row r="1240" spans="1:16" x14ac:dyDescent="0.3">
      <c r="A1240" t="s">
        <v>1755</v>
      </c>
      <c r="B1240" s="45">
        <v>45370</v>
      </c>
      <c r="C1240" t="s">
        <v>597</v>
      </c>
      <c r="D1240" t="s">
        <v>367</v>
      </c>
      <c r="E1240" t="s">
        <v>252</v>
      </c>
      <c r="F1240">
        <v>8</v>
      </c>
      <c r="G1240">
        <v>2380</v>
      </c>
      <c r="H1240">
        <v>24.2</v>
      </c>
      <c r="I1240">
        <v>14432.32</v>
      </c>
      <c r="J1240" t="s">
        <v>87</v>
      </c>
      <c r="K1240" t="s">
        <v>112</v>
      </c>
      <c r="L1240" t="s">
        <v>112</v>
      </c>
      <c r="M1240" t="s">
        <v>2806</v>
      </c>
      <c r="N1240" t="s">
        <v>2879</v>
      </c>
      <c r="O1240">
        <v>1182</v>
      </c>
      <c r="P1240">
        <v>2380</v>
      </c>
    </row>
    <row r="1241" spans="1:16" x14ac:dyDescent="0.3">
      <c r="A1241" t="s">
        <v>1756</v>
      </c>
      <c r="B1241" s="45">
        <v>45373</v>
      </c>
      <c r="C1241" t="s">
        <v>258</v>
      </c>
      <c r="D1241" t="s">
        <v>338</v>
      </c>
      <c r="E1241" t="s">
        <v>86</v>
      </c>
      <c r="F1241">
        <v>10</v>
      </c>
      <c r="G1241">
        <v>2210</v>
      </c>
      <c r="H1241">
        <v>3.6</v>
      </c>
      <c r="I1241">
        <v>21304.400000000001</v>
      </c>
      <c r="J1241" t="s">
        <v>87</v>
      </c>
      <c r="K1241" t="s">
        <v>99</v>
      </c>
      <c r="L1241" t="s">
        <v>99</v>
      </c>
      <c r="M1241" t="s">
        <v>2806</v>
      </c>
      <c r="N1241" t="s">
        <v>2879</v>
      </c>
      <c r="O1241">
        <v>1010</v>
      </c>
      <c r="P1241">
        <v>2210</v>
      </c>
    </row>
    <row r="1242" spans="1:16" x14ac:dyDescent="0.3">
      <c r="A1242" t="s">
        <v>1759</v>
      </c>
      <c r="B1242" s="45">
        <v>45582</v>
      </c>
      <c r="C1242" t="s">
        <v>948</v>
      </c>
      <c r="D1242" t="s">
        <v>102</v>
      </c>
      <c r="E1242" t="s">
        <v>273</v>
      </c>
      <c r="F1242">
        <v>8</v>
      </c>
      <c r="G1242">
        <v>3660</v>
      </c>
      <c r="H1242">
        <v>8.4</v>
      </c>
      <c r="I1242">
        <v>26820.48</v>
      </c>
      <c r="J1242" t="s">
        <v>87</v>
      </c>
      <c r="K1242" t="s">
        <v>88</v>
      </c>
      <c r="L1242" t="s">
        <v>88</v>
      </c>
      <c r="M1242" t="s">
        <v>2806</v>
      </c>
      <c r="N1242" t="s">
        <v>2879</v>
      </c>
      <c r="O1242">
        <v>2214</v>
      </c>
      <c r="P1242">
        <v>3660</v>
      </c>
    </row>
    <row r="1243" spans="1:16" x14ac:dyDescent="0.3">
      <c r="A1243" t="s">
        <v>1764</v>
      </c>
      <c r="B1243" s="45">
        <v>45437</v>
      </c>
      <c r="C1243" t="s">
        <v>197</v>
      </c>
      <c r="D1243" t="s">
        <v>338</v>
      </c>
      <c r="E1243" t="s">
        <v>215</v>
      </c>
      <c r="F1243">
        <v>10</v>
      </c>
      <c r="G1243">
        <v>2210</v>
      </c>
      <c r="H1243">
        <v>8.5</v>
      </c>
      <c r="I1243">
        <v>20221.5</v>
      </c>
      <c r="J1243" t="s">
        <v>87</v>
      </c>
      <c r="K1243" t="s">
        <v>88</v>
      </c>
      <c r="L1243" t="s">
        <v>88</v>
      </c>
      <c r="M1243" t="s">
        <v>2806</v>
      </c>
      <c r="N1243" t="s">
        <v>2855</v>
      </c>
      <c r="O1243">
        <v>1010</v>
      </c>
      <c r="P1243">
        <v>2210</v>
      </c>
    </row>
    <row r="1244" spans="1:16" x14ac:dyDescent="0.3">
      <c r="A1244" t="s">
        <v>1765</v>
      </c>
      <c r="B1244" s="45">
        <v>45604</v>
      </c>
      <c r="C1244" t="s">
        <v>1231</v>
      </c>
      <c r="D1244" t="s">
        <v>338</v>
      </c>
      <c r="E1244" t="s">
        <v>188</v>
      </c>
      <c r="F1244">
        <v>4</v>
      </c>
      <c r="G1244">
        <v>2210</v>
      </c>
      <c r="H1244">
        <v>3.1</v>
      </c>
      <c r="I1244">
        <v>8565.9599999999991</v>
      </c>
      <c r="J1244" t="s">
        <v>87</v>
      </c>
      <c r="K1244" t="s">
        <v>88</v>
      </c>
      <c r="L1244" t="s">
        <v>88</v>
      </c>
      <c r="M1244" t="s">
        <v>2806</v>
      </c>
      <c r="N1244" t="s">
        <v>2871</v>
      </c>
      <c r="O1244">
        <v>1010</v>
      </c>
      <c r="P1244">
        <v>2210</v>
      </c>
    </row>
    <row r="1245" spans="1:16" x14ac:dyDescent="0.3">
      <c r="A1245" t="s">
        <v>1776</v>
      </c>
      <c r="B1245" s="45">
        <v>45397</v>
      </c>
      <c r="C1245" t="s">
        <v>376</v>
      </c>
      <c r="D1245" t="s">
        <v>338</v>
      </c>
      <c r="E1245" t="s">
        <v>154</v>
      </c>
      <c r="F1245">
        <v>8</v>
      </c>
      <c r="G1245">
        <v>2210</v>
      </c>
      <c r="H1245">
        <v>9.8000000000000007</v>
      </c>
      <c r="I1245">
        <v>15947.36</v>
      </c>
      <c r="J1245" t="s">
        <v>87</v>
      </c>
      <c r="K1245" t="s">
        <v>117</v>
      </c>
      <c r="L1245" t="s">
        <v>117</v>
      </c>
      <c r="M1245" t="s">
        <v>2806</v>
      </c>
      <c r="N1245" t="s">
        <v>2879</v>
      </c>
      <c r="O1245">
        <v>1010</v>
      </c>
      <c r="P1245">
        <v>2210</v>
      </c>
    </row>
    <row r="1246" spans="1:16" x14ac:dyDescent="0.3">
      <c r="A1246" t="s">
        <v>1780</v>
      </c>
      <c r="B1246" s="45">
        <v>45325</v>
      </c>
      <c r="C1246" t="s">
        <v>350</v>
      </c>
      <c r="D1246" t="s">
        <v>338</v>
      </c>
      <c r="E1246" t="s">
        <v>111</v>
      </c>
      <c r="F1246">
        <v>6</v>
      </c>
      <c r="G1246">
        <v>2210</v>
      </c>
      <c r="H1246">
        <v>9.5</v>
      </c>
      <c r="I1246">
        <v>12000.3</v>
      </c>
      <c r="J1246" t="s">
        <v>87</v>
      </c>
      <c r="K1246" t="s">
        <v>112</v>
      </c>
      <c r="L1246" t="s">
        <v>112</v>
      </c>
      <c r="M1246" t="s">
        <v>2806</v>
      </c>
      <c r="N1246" t="s">
        <v>2862</v>
      </c>
      <c r="O1246">
        <v>1010</v>
      </c>
      <c r="P1246">
        <v>2210</v>
      </c>
    </row>
    <row r="1247" spans="1:16" x14ac:dyDescent="0.3">
      <c r="A1247" t="s">
        <v>1788</v>
      </c>
      <c r="B1247" s="45">
        <v>45560</v>
      </c>
      <c r="C1247" t="s">
        <v>902</v>
      </c>
      <c r="D1247" t="s">
        <v>338</v>
      </c>
      <c r="E1247" t="s">
        <v>303</v>
      </c>
      <c r="F1247">
        <v>3</v>
      </c>
      <c r="G1247">
        <v>2210</v>
      </c>
      <c r="H1247">
        <v>18.2</v>
      </c>
      <c r="I1247">
        <v>5423.34</v>
      </c>
      <c r="J1247" t="s">
        <v>93</v>
      </c>
      <c r="K1247" t="s">
        <v>112</v>
      </c>
      <c r="L1247" t="s">
        <v>112</v>
      </c>
      <c r="M1247" t="s">
        <v>2806</v>
      </c>
      <c r="N1247" t="s">
        <v>2855</v>
      </c>
      <c r="O1247">
        <v>1010</v>
      </c>
      <c r="P1247">
        <v>2210</v>
      </c>
    </row>
    <row r="1248" spans="1:16" x14ac:dyDescent="0.3">
      <c r="A1248" t="s">
        <v>1806</v>
      </c>
      <c r="B1248" s="45">
        <v>45443</v>
      </c>
      <c r="C1248" t="s">
        <v>1358</v>
      </c>
      <c r="D1248" t="s">
        <v>127</v>
      </c>
      <c r="E1248" t="s">
        <v>98</v>
      </c>
      <c r="F1248">
        <v>1</v>
      </c>
      <c r="G1248">
        <v>970</v>
      </c>
      <c r="H1248">
        <v>1.7</v>
      </c>
      <c r="I1248">
        <v>953.51</v>
      </c>
      <c r="J1248" t="s">
        <v>87</v>
      </c>
      <c r="K1248" t="s">
        <v>112</v>
      </c>
      <c r="L1248" t="s">
        <v>112</v>
      </c>
      <c r="M1248" t="s">
        <v>2806</v>
      </c>
      <c r="N1248" t="s">
        <v>2879</v>
      </c>
      <c r="O1248">
        <v>434</v>
      </c>
      <c r="P1248">
        <v>970</v>
      </c>
    </row>
    <row r="1249" spans="1:16" x14ac:dyDescent="0.3">
      <c r="A1249" t="s">
        <v>1844</v>
      </c>
      <c r="B1249" s="45">
        <v>45502</v>
      </c>
      <c r="C1249" t="s">
        <v>768</v>
      </c>
      <c r="D1249" t="s">
        <v>200</v>
      </c>
      <c r="E1249" t="s">
        <v>103</v>
      </c>
      <c r="F1249">
        <v>4</v>
      </c>
      <c r="G1249">
        <v>2760</v>
      </c>
      <c r="H1249">
        <v>27.2</v>
      </c>
      <c r="I1249">
        <v>8037.12</v>
      </c>
      <c r="J1249" t="s">
        <v>144</v>
      </c>
      <c r="K1249" t="s">
        <v>88</v>
      </c>
      <c r="L1249" t="s">
        <v>88</v>
      </c>
      <c r="M1249" t="s">
        <v>2806</v>
      </c>
      <c r="N1249" t="s">
        <v>2855</v>
      </c>
      <c r="O1249">
        <v>1435</v>
      </c>
      <c r="P1249">
        <v>2760</v>
      </c>
    </row>
    <row r="1250" spans="1:16" x14ac:dyDescent="0.3">
      <c r="A1250" t="s">
        <v>1845</v>
      </c>
      <c r="B1250" s="45">
        <v>45466</v>
      </c>
      <c r="C1250" t="s">
        <v>442</v>
      </c>
      <c r="D1250" t="s">
        <v>131</v>
      </c>
      <c r="E1250" t="s">
        <v>343</v>
      </c>
      <c r="F1250">
        <v>9</v>
      </c>
      <c r="G1250">
        <v>2270</v>
      </c>
      <c r="H1250">
        <v>5.2</v>
      </c>
      <c r="I1250">
        <v>19367.64</v>
      </c>
      <c r="J1250" t="s">
        <v>87</v>
      </c>
      <c r="K1250" t="s">
        <v>88</v>
      </c>
      <c r="L1250" t="s">
        <v>88</v>
      </c>
      <c r="M1250" t="s">
        <v>2806</v>
      </c>
      <c r="N1250" t="s">
        <v>2862</v>
      </c>
      <c r="O1250">
        <v>1203</v>
      </c>
      <c r="P1250">
        <v>2270</v>
      </c>
    </row>
    <row r="1251" spans="1:16" x14ac:dyDescent="0.3">
      <c r="A1251" t="s">
        <v>1847</v>
      </c>
      <c r="B1251" s="45">
        <v>45337</v>
      </c>
      <c r="C1251" t="s">
        <v>312</v>
      </c>
      <c r="D1251" t="s">
        <v>367</v>
      </c>
      <c r="E1251" t="s">
        <v>325</v>
      </c>
      <c r="F1251">
        <v>1</v>
      </c>
      <c r="G1251">
        <v>2380</v>
      </c>
      <c r="H1251">
        <v>23.5</v>
      </c>
      <c r="I1251">
        <v>1820.7</v>
      </c>
      <c r="J1251" t="s">
        <v>87</v>
      </c>
      <c r="K1251" t="s">
        <v>133</v>
      </c>
      <c r="L1251" t="s">
        <v>133</v>
      </c>
      <c r="M1251" t="s">
        <v>2806</v>
      </c>
      <c r="N1251" t="s">
        <v>2879</v>
      </c>
      <c r="O1251">
        <v>1182</v>
      </c>
      <c r="P1251">
        <v>2380</v>
      </c>
    </row>
    <row r="1252" spans="1:16" x14ac:dyDescent="0.3">
      <c r="A1252" t="s">
        <v>1853</v>
      </c>
      <c r="B1252" s="45">
        <v>45466</v>
      </c>
      <c r="C1252" t="s">
        <v>585</v>
      </c>
      <c r="D1252" t="s">
        <v>351</v>
      </c>
      <c r="E1252" t="s">
        <v>92</v>
      </c>
      <c r="F1252">
        <v>5</v>
      </c>
      <c r="G1252">
        <v>4060</v>
      </c>
      <c r="H1252">
        <v>18.100000000000001</v>
      </c>
      <c r="I1252">
        <v>16625.7</v>
      </c>
      <c r="J1252" t="s">
        <v>93</v>
      </c>
      <c r="K1252" t="s">
        <v>94</v>
      </c>
      <c r="L1252" t="s">
        <v>94</v>
      </c>
      <c r="M1252" t="s">
        <v>2806</v>
      </c>
      <c r="N1252" t="s">
        <v>2855</v>
      </c>
      <c r="O1252">
        <v>2911</v>
      </c>
      <c r="P1252">
        <v>4060</v>
      </c>
    </row>
    <row r="1253" spans="1:16" x14ac:dyDescent="0.3">
      <c r="A1253" t="s">
        <v>1728</v>
      </c>
      <c r="B1253" s="45">
        <v>45547</v>
      </c>
      <c r="C1253" t="s">
        <v>561</v>
      </c>
      <c r="D1253" t="s">
        <v>338</v>
      </c>
      <c r="E1253" t="s">
        <v>285</v>
      </c>
      <c r="F1253">
        <v>1</v>
      </c>
      <c r="G1253">
        <v>2210</v>
      </c>
      <c r="H1253">
        <v>5.8</v>
      </c>
      <c r="I1253">
        <v>2081.8200000000002</v>
      </c>
      <c r="J1253" t="s">
        <v>93</v>
      </c>
      <c r="K1253" t="s">
        <v>133</v>
      </c>
      <c r="L1253" t="s">
        <v>133</v>
      </c>
      <c r="M1253" t="s">
        <v>2806</v>
      </c>
      <c r="N1253" t="s">
        <v>2862</v>
      </c>
      <c r="O1253">
        <v>1010</v>
      </c>
      <c r="P1253">
        <v>2210</v>
      </c>
    </row>
    <row r="1254" spans="1:16" x14ac:dyDescent="0.3">
      <c r="A1254" t="s">
        <v>1856</v>
      </c>
      <c r="B1254" s="45">
        <v>45550</v>
      </c>
      <c r="C1254" t="s">
        <v>212</v>
      </c>
      <c r="D1254" t="s">
        <v>367</v>
      </c>
      <c r="E1254" t="s">
        <v>154</v>
      </c>
      <c r="F1254">
        <v>9</v>
      </c>
      <c r="G1254">
        <v>2380</v>
      </c>
      <c r="H1254">
        <v>15.2</v>
      </c>
      <c r="I1254">
        <v>18164.16</v>
      </c>
      <c r="J1254" t="s">
        <v>144</v>
      </c>
      <c r="K1254" t="s">
        <v>112</v>
      </c>
      <c r="L1254" t="s">
        <v>112</v>
      </c>
      <c r="M1254" t="s">
        <v>2806</v>
      </c>
      <c r="N1254" t="s">
        <v>2879</v>
      </c>
      <c r="O1254">
        <v>1182</v>
      </c>
      <c r="P1254">
        <v>2380</v>
      </c>
    </row>
    <row r="1255" spans="1:16" x14ac:dyDescent="0.3">
      <c r="A1255" t="s">
        <v>1857</v>
      </c>
      <c r="B1255" s="45">
        <v>45551</v>
      </c>
      <c r="C1255" t="s">
        <v>399</v>
      </c>
      <c r="D1255" t="s">
        <v>367</v>
      </c>
      <c r="E1255" t="s">
        <v>297</v>
      </c>
      <c r="F1255">
        <v>2</v>
      </c>
      <c r="G1255">
        <v>2380</v>
      </c>
      <c r="H1255">
        <v>24.3</v>
      </c>
      <c r="I1255">
        <v>3603.32</v>
      </c>
      <c r="J1255" t="s">
        <v>87</v>
      </c>
      <c r="K1255" t="s">
        <v>99</v>
      </c>
      <c r="L1255" t="s">
        <v>99</v>
      </c>
      <c r="M1255" t="s">
        <v>2806</v>
      </c>
      <c r="N1255" t="s">
        <v>2879</v>
      </c>
      <c r="O1255">
        <v>1182</v>
      </c>
      <c r="P1255">
        <v>2380</v>
      </c>
    </row>
    <row r="1256" spans="1:16" x14ac:dyDescent="0.3">
      <c r="A1256" t="s">
        <v>1862</v>
      </c>
      <c r="B1256" s="45">
        <v>45486</v>
      </c>
      <c r="C1256" t="s">
        <v>785</v>
      </c>
      <c r="D1256" t="s">
        <v>367</v>
      </c>
      <c r="E1256" t="s">
        <v>128</v>
      </c>
      <c r="F1256">
        <v>4</v>
      </c>
      <c r="G1256">
        <v>2380</v>
      </c>
      <c r="H1256">
        <v>18.899999999999999</v>
      </c>
      <c r="I1256">
        <v>7720.72</v>
      </c>
      <c r="J1256" t="s">
        <v>93</v>
      </c>
      <c r="K1256" t="s">
        <v>88</v>
      </c>
      <c r="L1256" t="s">
        <v>88</v>
      </c>
      <c r="M1256" t="s">
        <v>2806</v>
      </c>
      <c r="N1256" t="s">
        <v>2862</v>
      </c>
      <c r="O1256">
        <v>1182</v>
      </c>
      <c r="P1256">
        <v>2380</v>
      </c>
    </row>
    <row r="1257" spans="1:16" x14ac:dyDescent="0.3">
      <c r="A1257" t="s">
        <v>1863</v>
      </c>
      <c r="B1257" s="45">
        <v>45578</v>
      </c>
      <c r="C1257" t="s">
        <v>905</v>
      </c>
      <c r="D1257" t="s">
        <v>131</v>
      </c>
      <c r="E1257" t="s">
        <v>139</v>
      </c>
      <c r="F1257">
        <v>6</v>
      </c>
      <c r="G1257">
        <v>2270</v>
      </c>
      <c r="H1257">
        <v>20.9</v>
      </c>
      <c r="I1257">
        <v>10773.42</v>
      </c>
      <c r="J1257" t="s">
        <v>93</v>
      </c>
      <c r="K1257" t="s">
        <v>112</v>
      </c>
      <c r="L1257" t="s">
        <v>112</v>
      </c>
      <c r="M1257" t="s">
        <v>2806</v>
      </c>
      <c r="N1257" t="s">
        <v>2855</v>
      </c>
      <c r="O1257">
        <v>1203</v>
      </c>
      <c r="P1257">
        <v>2270</v>
      </c>
    </row>
    <row r="1258" spans="1:16" x14ac:dyDescent="0.3">
      <c r="A1258" t="s">
        <v>1867</v>
      </c>
      <c r="B1258" s="45">
        <v>45412</v>
      </c>
      <c r="C1258" t="s">
        <v>1623</v>
      </c>
      <c r="D1258" t="s">
        <v>131</v>
      </c>
      <c r="E1258" t="s">
        <v>201</v>
      </c>
      <c r="F1258">
        <v>9</v>
      </c>
      <c r="G1258">
        <v>2270</v>
      </c>
      <c r="H1258">
        <v>25.4</v>
      </c>
      <c r="I1258">
        <v>15240.78</v>
      </c>
      <c r="J1258" t="s">
        <v>93</v>
      </c>
      <c r="K1258" t="s">
        <v>117</v>
      </c>
      <c r="L1258" t="s">
        <v>117</v>
      </c>
      <c r="M1258" t="s">
        <v>2806</v>
      </c>
      <c r="N1258" t="s">
        <v>2862</v>
      </c>
      <c r="O1258">
        <v>1203</v>
      </c>
      <c r="P1258">
        <v>2270</v>
      </c>
    </row>
    <row r="1259" spans="1:16" x14ac:dyDescent="0.3">
      <c r="A1259" t="s">
        <v>1869</v>
      </c>
      <c r="B1259" s="45">
        <v>45570</v>
      </c>
      <c r="C1259" t="s">
        <v>617</v>
      </c>
      <c r="D1259" t="s">
        <v>338</v>
      </c>
      <c r="E1259" t="s">
        <v>98</v>
      </c>
      <c r="F1259">
        <v>6</v>
      </c>
      <c r="G1259">
        <v>2210</v>
      </c>
      <c r="H1259">
        <v>7.4</v>
      </c>
      <c r="I1259">
        <v>12278.76</v>
      </c>
      <c r="J1259" t="s">
        <v>87</v>
      </c>
      <c r="K1259" t="s">
        <v>112</v>
      </c>
      <c r="L1259" t="s">
        <v>112</v>
      </c>
      <c r="M1259" t="s">
        <v>2806</v>
      </c>
      <c r="N1259" t="s">
        <v>2871</v>
      </c>
      <c r="O1259">
        <v>1010</v>
      </c>
      <c r="P1259">
        <v>2210</v>
      </c>
    </row>
    <row r="1260" spans="1:16" x14ac:dyDescent="0.3">
      <c r="A1260" t="s">
        <v>1905</v>
      </c>
      <c r="B1260" s="45">
        <v>45561</v>
      </c>
      <c r="C1260" t="s">
        <v>493</v>
      </c>
      <c r="D1260" t="s">
        <v>351</v>
      </c>
      <c r="E1260" t="s">
        <v>343</v>
      </c>
      <c r="F1260">
        <v>10</v>
      </c>
      <c r="G1260">
        <v>4060</v>
      </c>
      <c r="H1260">
        <v>15.1</v>
      </c>
      <c r="I1260">
        <v>34469.4</v>
      </c>
      <c r="J1260" t="s">
        <v>87</v>
      </c>
      <c r="K1260" t="s">
        <v>88</v>
      </c>
      <c r="L1260" t="s">
        <v>88</v>
      </c>
      <c r="M1260" t="s">
        <v>2806</v>
      </c>
      <c r="N1260" t="s">
        <v>2862</v>
      </c>
      <c r="O1260">
        <v>2911</v>
      </c>
      <c r="P1260">
        <v>4060</v>
      </c>
    </row>
    <row r="1261" spans="1:16" x14ac:dyDescent="0.3">
      <c r="A1261" t="s">
        <v>1914</v>
      </c>
      <c r="B1261" s="45">
        <v>45303</v>
      </c>
      <c r="C1261" t="s">
        <v>544</v>
      </c>
      <c r="D1261" t="s">
        <v>234</v>
      </c>
      <c r="E1261" t="s">
        <v>285</v>
      </c>
      <c r="F1261">
        <v>9</v>
      </c>
      <c r="G1261">
        <v>3780</v>
      </c>
      <c r="H1261">
        <v>4.5</v>
      </c>
      <c r="I1261">
        <v>32489.1</v>
      </c>
      <c r="J1261" t="s">
        <v>87</v>
      </c>
      <c r="K1261" t="s">
        <v>133</v>
      </c>
      <c r="L1261" t="s">
        <v>133</v>
      </c>
      <c r="M1261" t="s">
        <v>2806</v>
      </c>
      <c r="N1261" t="s">
        <v>2871</v>
      </c>
      <c r="O1261">
        <v>2436</v>
      </c>
      <c r="P1261">
        <v>3780</v>
      </c>
    </row>
    <row r="1262" spans="1:16" x14ac:dyDescent="0.3">
      <c r="A1262" t="s">
        <v>1915</v>
      </c>
      <c r="B1262" s="45">
        <v>45631</v>
      </c>
      <c r="C1262" t="s">
        <v>359</v>
      </c>
      <c r="D1262" t="s">
        <v>351</v>
      </c>
      <c r="E1262" t="s">
        <v>132</v>
      </c>
      <c r="F1262">
        <v>5</v>
      </c>
      <c r="G1262">
        <v>4060</v>
      </c>
      <c r="H1262">
        <v>2.7</v>
      </c>
      <c r="I1262">
        <v>19751.900000000001</v>
      </c>
      <c r="J1262" t="s">
        <v>87</v>
      </c>
      <c r="K1262" t="s">
        <v>99</v>
      </c>
      <c r="L1262" t="s">
        <v>99</v>
      </c>
      <c r="M1262" t="s">
        <v>2806</v>
      </c>
      <c r="N1262" t="s">
        <v>2862</v>
      </c>
      <c r="O1262">
        <v>2911</v>
      </c>
      <c r="P1262">
        <v>4060</v>
      </c>
    </row>
    <row r="1263" spans="1:16" x14ac:dyDescent="0.3">
      <c r="A1263" t="s">
        <v>1920</v>
      </c>
      <c r="B1263" s="45">
        <v>45439</v>
      </c>
      <c r="C1263" t="s">
        <v>256</v>
      </c>
      <c r="D1263" t="s">
        <v>234</v>
      </c>
      <c r="E1263" t="s">
        <v>132</v>
      </c>
      <c r="F1263">
        <v>3</v>
      </c>
      <c r="G1263">
        <v>3780</v>
      </c>
      <c r="H1263">
        <v>1.9</v>
      </c>
      <c r="I1263">
        <v>11124.54</v>
      </c>
      <c r="J1263" t="s">
        <v>87</v>
      </c>
      <c r="K1263" t="s">
        <v>133</v>
      </c>
      <c r="L1263" t="s">
        <v>133</v>
      </c>
      <c r="M1263" t="s">
        <v>2806</v>
      </c>
      <c r="N1263" t="s">
        <v>2855</v>
      </c>
      <c r="O1263">
        <v>2436</v>
      </c>
      <c r="P1263">
        <v>3780</v>
      </c>
    </row>
    <row r="1264" spans="1:16" x14ac:dyDescent="0.3">
      <c r="A1264" t="s">
        <v>1922</v>
      </c>
      <c r="B1264" s="45">
        <v>45495</v>
      </c>
      <c r="C1264" t="s">
        <v>1875</v>
      </c>
      <c r="D1264" t="s">
        <v>245</v>
      </c>
      <c r="E1264" t="s">
        <v>229</v>
      </c>
      <c r="F1264">
        <v>6</v>
      </c>
      <c r="G1264">
        <v>2270</v>
      </c>
      <c r="H1264">
        <v>21.5</v>
      </c>
      <c r="I1264">
        <v>10691.7</v>
      </c>
      <c r="J1264" t="s">
        <v>87</v>
      </c>
      <c r="K1264" t="s">
        <v>94</v>
      </c>
      <c r="L1264" t="s">
        <v>94</v>
      </c>
      <c r="M1264" t="s">
        <v>2806</v>
      </c>
      <c r="N1264" t="s">
        <v>2879</v>
      </c>
      <c r="O1264">
        <v>1412</v>
      </c>
      <c r="P1264">
        <v>2270</v>
      </c>
    </row>
    <row r="1265" spans="1:16" x14ac:dyDescent="0.3">
      <c r="A1265" t="s">
        <v>1923</v>
      </c>
      <c r="B1265" s="45">
        <v>45600</v>
      </c>
      <c r="C1265" t="s">
        <v>405</v>
      </c>
      <c r="D1265" t="s">
        <v>338</v>
      </c>
      <c r="E1265" t="s">
        <v>154</v>
      </c>
      <c r="F1265">
        <v>7</v>
      </c>
      <c r="G1265">
        <v>2210</v>
      </c>
      <c r="H1265">
        <v>10.3</v>
      </c>
      <c r="I1265">
        <v>13876.59</v>
      </c>
      <c r="J1265" t="s">
        <v>87</v>
      </c>
      <c r="K1265" t="s">
        <v>94</v>
      </c>
      <c r="L1265" t="s">
        <v>94</v>
      </c>
      <c r="M1265" t="s">
        <v>2806</v>
      </c>
      <c r="N1265" t="s">
        <v>2862</v>
      </c>
      <c r="O1265">
        <v>1010</v>
      </c>
      <c r="P1265">
        <v>2210</v>
      </c>
    </row>
    <row r="1266" spans="1:16" x14ac:dyDescent="0.3">
      <c r="A1266" t="s">
        <v>1933</v>
      </c>
      <c r="B1266" s="45">
        <v>45307</v>
      </c>
      <c r="C1266" t="s">
        <v>281</v>
      </c>
      <c r="D1266" t="s">
        <v>338</v>
      </c>
      <c r="E1266" t="s">
        <v>139</v>
      </c>
      <c r="F1266">
        <v>1</v>
      </c>
      <c r="G1266">
        <v>2210</v>
      </c>
      <c r="H1266">
        <v>3.5</v>
      </c>
      <c r="I1266">
        <v>2132.65</v>
      </c>
      <c r="J1266" t="s">
        <v>87</v>
      </c>
      <c r="K1266" t="s">
        <v>88</v>
      </c>
      <c r="L1266" t="s">
        <v>88</v>
      </c>
      <c r="M1266" t="s">
        <v>2806</v>
      </c>
      <c r="N1266" t="s">
        <v>2879</v>
      </c>
      <c r="O1266">
        <v>1010</v>
      </c>
      <c r="P1266">
        <v>2210</v>
      </c>
    </row>
    <row r="1267" spans="1:16" x14ac:dyDescent="0.3">
      <c r="A1267" t="s">
        <v>1937</v>
      </c>
      <c r="B1267" s="45">
        <v>45482</v>
      </c>
      <c r="C1267" t="s">
        <v>233</v>
      </c>
      <c r="D1267" t="s">
        <v>102</v>
      </c>
      <c r="E1267" t="s">
        <v>325</v>
      </c>
      <c r="F1267">
        <v>1</v>
      </c>
      <c r="G1267">
        <v>3660</v>
      </c>
      <c r="H1267">
        <v>14</v>
      </c>
      <c r="I1267">
        <v>3147.6</v>
      </c>
      <c r="J1267" t="s">
        <v>144</v>
      </c>
      <c r="K1267" t="s">
        <v>88</v>
      </c>
      <c r="L1267" t="s">
        <v>88</v>
      </c>
      <c r="M1267" t="s">
        <v>2806</v>
      </c>
      <c r="N1267" t="s">
        <v>2879</v>
      </c>
      <c r="O1267">
        <v>2214</v>
      </c>
      <c r="P1267">
        <v>3660</v>
      </c>
    </row>
    <row r="1268" spans="1:16" x14ac:dyDescent="0.3">
      <c r="A1268" t="s">
        <v>1938</v>
      </c>
      <c r="B1268" s="45">
        <v>45447</v>
      </c>
      <c r="C1268" t="s">
        <v>225</v>
      </c>
      <c r="D1268" t="s">
        <v>245</v>
      </c>
      <c r="E1268" t="s">
        <v>238</v>
      </c>
      <c r="F1268">
        <v>6</v>
      </c>
      <c r="G1268">
        <v>2270</v>
      </c>
      <c r="H1268">
        <v>16</v>
      </c>
      <c r="I1268">
        <v>11440.8</v>
      </c>
      <c r="J1268" t="s">
        <v>87</v>
      </c>
      <c r="K1268" t="s">
        <v>94</v>
      </c>
      <c r="L1268" t="s">
        <v>94</v>
      </c>
      <c r="M1268" t="s">
        <v>2806</v>
      </c>
      <c r="N1268" t="s">
        <v>2862</v>
      </c>
      <c r="O1268">
        <v>1412</v>
      </c>
      <c r="P1268">
        <v>2270</v>
      </c>
    </row>
    <row r="1269" spans="1:16" x14ac:dyDescent="0.3">
      <c r="A1269" t="s">
        <v>1941</v>
      </c>
      <c r="B1269" s="45">
        <v>45299</v>
      </c>
      <c r="C1269" t="s">
        <v>1016</v>
      </c>
      <c r="D1269" t="s">
        <v>367</v>
      </c>
      <c r="E1269" t="s">
        <v>92</v>
      </c>
      <c r="F1269">
        <v>6</v>
      </c>
      <c r="G1269">
        <v>2380</v>
      </c>
      <c r="H1269">
        <v>13.2</v>
      </c>
      <c r="I1269">
        <v>12395.04</v>
      </c>
      <c r="J1269" t="s">
        <v>87</v>
      </c>
      <c r="K1269" t="s">
        <v>117</v>
      </c>
      <c r="L1269" t="s">
        <v>117</v>
      </c>
      <c r="M1269" t="s">
        <v>2806</v>
      </c>
      <c r="N1269" t="s">
        <v>2871</v>
      </c>
      <c r="O1269">
        <v>1182</v>
      </c>
      <c r="P1269">
        <v>2380</v>
      </c>
    </row>
    <row r="1270" spans="1:16" x14ac:dyDescent="0.3">
      <c r="A1270" t="s">
        <v>1950</v>
      </c>
      <c r="B1270" s="45">
        <v>45490</v>
      </c>
      <c r="C1270" t="s">
        <v>599</v>
      </c>
      <c r="D1270" t="s">
        <v>338</v>
      </c>
      <c r="E1270" t="s">
        <v>201</v>
      </c>
      <c r="F1270">
        <v>1</v>
      </c>
      <c r="G1270">
        <v>2210</v>
      </c>
      <c r="H1270">
        <v>1.7</v>
      </c>
      <c r="I1270">
        <v>2172.4299999999998</v>
      </c>
      <c r="J1270" t="s">
        <v>87</v>
      </c>
      <c r="K1270" t="s">
        <v>117</v>
      </c>
      <c r="L1270" t="s">
        <v>117</v>
      </c>
      <c r="M1270" t="s">
        <v>2806</v>
      </c>
      <c r="N1270" t="s">
        <v>2855</v>
      </c>
      <c r="O1270">
        <v>1010</v>
      </c>
      <c r="P1270">
        <v>2210</v>
      </c>
    </row>
    <row r="1271" spans="1:16" x14ac:dyDescent="0.3">
      <c r="A1271" t="s">
        <v>1951</v>
      </c>
      <c r="B1271" s="45">
        <v>45584</v>
      </c>
      <c r="C1271" t="s">
        <v>563</v>
      </c>
      <c r="D1271" t="s">
        <v>127</v>
      </c>
      <c r="E1271" t="s">
        <v>111</v>
      </c>
      <c r="F1271">
        <v>3</v>
      </c>
      <c r="G1271">
        <v>970</v>
      </c>
      <c r="H1271">
        <v>20.3</v>
      </c>
      <c r="I1271">
        <v>2319.27</v>
      </c>
      <c r="J1271" t="s">
        <v>93</v>
      </c>
      <c r="K1271" t="s">
        <v>88</v>
      </c>
      <c r="L1271" t="s">
        <v>88</v>
      </c>
      <c r="M1271" t="s">
        <v>2806</v>
      </c>
      <c r="N1271" t="s">
        <v>2879</v>
      </c>
      <c r="O1271">
        <v>434</v>
      </c>
      <c r="P1271">
        <v>970</v>
      </c>
    </row>
    <row r="1272" spans="1:16" x14ac:dyDescent="0.3">
      <c r="A1272" t="s">
        <v>1990</v>
      </c>
      <c r="B1272" s="45">
        <v>45384</v>
      </c>
      <c r="C1272" t="s">
        <v>823</v>
      </c>
      <c r="D1272" t="s">
        <v>367</v>
      </c>
      <c r="E1272" t="s">
        <v>154</v>
      </c>
      <c r="F1272">
        <v>7</v>
      </c>
      <c r="G1272">
        <v>2380</v>
      </c>
      <c r="H1272">
        <v>12.3</v>
      </c>
      <c r="I1272">
        <v>14610.82</v>
      </c>
      <c r="J1272" t="s">
        <v>87</v>
      </c>
      <c r="K1272" t="s">
        <v>94</v>
      </c>
      <c r="L1272" t="s">
        <v>94</v>
      </c>
      <c r="M1272" t="s">
        <v>2806</v>
      </c>
      <c r="N1272" t="s">
        <v>2855</v>
      </c>
      <c r="O1272">
        <v>1182</v>
      </c>
      <c r="P1272">
        <v>2380</v>
      </c>
    </row>
    <row r="1273" spans="1:16" x14ac:dyDescent="0.3">
      <c r="A1273" t="s">
        <v>2016</v>
      </c>
      <c r="B1273" s="45">
        <v>45454</v>
      </c>
      <c r="C1273" t="s">
        <v>738</v>
      </c>
      <c r="D1273" t="s">
        <v>234</v>
      </c>
      <c r="E1273" t="s">
        <v>303</v>
      </c>
      <c r="F1273">
        <v>7</v>
      </c>
      <c r="G1273">
        <v>3780</v>
      </c>
      <c r="H1273">
        <v>18.7</v>
      </c>
      <c r="I1273">
        <v>21511.98</v>
      </c>
      <c r="J1273" t="s">
        <v>87</v>
      </c>
      <c r="K1273" t="s">
        <v>88</v>
      </c>
      <c r="L1273" t="s">
        <v>88</v>
      </c>
      <c r="M1273" t="s">
        <v>2806</v>
      </c>
      <c r="N1273" t="s">
        <v>2879</v>
      </c>
      <c r="O1273">
        <v>2436</v>
      </c>
      <c r="P1273">
        <v>3780</v>
      </c>
    </row>
    <row r="1274" spans="1:16" x14ac:dyDescent="0.3">
      <c r="A1274" t="s">
        <v>2019</v>
      </c>
      <c r="B1274" s="45">
        <v>45397</v>
      </c>
      <c r="C1274" t="s">
        <v>340</v>
      </c>
      <c r="D1274" t="s">
        <v>234</v>
      </c>
      <c r="E1274" t="s">
        <v>158</v>
      </c>
      <c r="F1274">
        <v>2</v>
      </c>
      <c r="G1274">
        <v>3780</v>
      </c>
      <c r="H1274">
        <v>1</v>
      </c>
      <c r="I1274">
        <v>7484.4</v>
      </c>
      <c r="J1274" t="s">
        <v>144</v>
      </c>
      <c r="K1274" t="s">
        <v>88</v>
      </c>
      <c r="L1274" t="s">
        <v>88</v>
      </c>
      <c r="M1274" t="s">
        <v>2806</v>
      </c>
      <c r="N1274" t="s">
        <v>2871</v>
      </c>
      <c r="O1274">
        <v>2436</v>
      </c>
      <c r="P1274">
        <v>3780</v>
      </c>
    </row>
    <row r="1275" spans="1:16" x14ac:dyDescent="0.3">
      <c r="A1275" t="s">
        <v>2020</v>
      </c>
      <c r="B1275" s="45">
        <v>45417</v>
      </c>
      <c r="C1275" t="s">
        <v>447</v>
      </c>
      <c r="D1275" t="s">
        <v>338</v>
      </c>
      <c r="E1275" t="s">
        <v>343</v>
      </c>
      <c r="F1275">
        <v>5</v>
      </c>
      <c r="G1275">
        <v>2210</v>
      </c>
      <c r="H1275">
        <v>16.600000000000001</v>
      </c>
      <c r="I1275">
        <v>9215.7000000000007</v>
      </c>
      <c r="J1275" t="s">
        <v>87</v>
      </c>
      <c r="K1275" t="s">
        <v>112</v>
      </c>
      <c r="L1275" t="s">
        <v>112</v>
      </c>
      <c r="M1275" t="s">
        <v>2806</v>
      </c>
      <c r="N1275" t="s">
        <v>2871</v>
      </c>
      <c r="O1275">
        <v>1010</v>
      </c>
      <c r="P1275">
        <v>2210</v>
      </c>
    </row>
    <row r="1276" spans="1:16" x14ac:dyDescent="0.3">
      <c r="A1276" t="s">
        <v>2027</v>
      </c>
      <c r="B1276" s="45">
        <v>45296</v>
      </c>
      <c r="C1276" t="s">
        <v>528</v>
      </c>
      <c r="D1276" t="s">
        <v>127</v>
      </c>
      <c r="E1276" t="s">
        <v>285</v>
      </c>
      <c r="F1276">
        <v>6</v>
      </c>
      <c r="G1276">
        <v>970</v>
      </c>
      <c r="H1276">
        <v>27.1</v>
      </c>
      <c r="I1276">
        <v>4242.78</v>
      </c>
      <c r="J1276" t="s">
        <v>87</v>
      </c>
      <c r="K1276" t="s">
        <v>112</v>
      </c>
      <c r="L1276" t="s">
        <v>112</v>
      </c>
      <c r="M1276" t="s">
        <v>2806</v>
      </c>
      <c r="N1276" t="s">
        <v>2862</v>
      </c>
      <c r="O1276">
        <v>434</v>
      </c>
      <c r="P1276">
        <v>970</v>
      </c>
    </row>
    <row r="1277" spans="1:16" x14ac:dyDescent="0.3">
      <c r="A1277" t="s">
        <v>2029</v>
      </c>
      <c r="B1277" s="45">
        <v>45337</v>
      </c>
      <c r="C1277" t="s">
        <v>841</v>
      </c>
      <c r="D1277" t="s">
        <v>245</v>
      </c>
      <c r="E1277" t="s">
        <v>154</v>
      </c>
      <c r="F1277">
        <v>1</v>
      </c>
      <c r="G1277">
        <v>2270</v>
      </c>
      <c r="H1277">
        <v>22.2</v>
      </c>
      <c r="I1277">
        <v>1766.06</v>
      </c>
      <c r="J1277" t="s">
        <v>87</v>
      </c>
      <c r="K1277" t="s">
        <v>117</v>
      </c>
      <c r="L1277" t="s">
        <v>117</v>
      </c>
      <c r="M1277" t="s">
        <v>2806</v>
      </c>
      <c r="N1277" t="s">
        <v>2862</v>
      </c>
      <c r="O1277">
        <v>1412</v>
      </c>
      <c r="P1277">
        <v>2270</v>
      </c>
    </row>
    <row r="1278" spans="1:16" x14ac:dyDescent="0.3">
      <c r="A1278" t="s">
        <v>2031</v>
      </c>
      <c r="B1278" s="45">
        <v>45616</v>
      </c>
      <c r="C1278" t="s">
        <v>561</v>
      </c>
      <c r="D1278" t="s">
        <v>245</v>
      </c>
      <c r="E1278" t="s">
        <v>273</v>
      </c>
      <c r="F1278">
        <v>3</v>
      </c>
      <c r="G1278">
        <v>2270</v>
      </c>
      <c r="H1278">
        <v>19.100000000000001</v>
      </c>
      <c r="I1278">
        <v>5509.29</v>
      </c>
      <c r="J1278" t="s">
        <v>140</v>
      </c>
      <c r="K1278" t="s">
        <v>133</v>
      </c>
      <c r="L1278" t="s">
        <v>133</v>
      </c>
      <c r="M1278" t="s">
        <v>2806</v>
      </c>
      <c r="N1278" t="s">
        <v>2855</v>
      </c>
      <c r="O1278">
        <v>1412</v>
      </c>
      <c r="P1278">
        <v>2270</v>
      </c>
    </row>
    <row r="1279" spans="1:16" x14ac:dyDescent="0.3">
      <c r="A1279" t="s">
        <v>2032</v>
      </c>
      <c r="B1279" s="45">
        <v>45360</v>
      </c>
      <c r="C1279" t="s">
        <v>921</v>
      </c>
      <c r="D1279" t="s">
        <v>338</v>
      </c>
      <c r="E1279" t="s">
        <v>170</v>
      </c>
      <c r="F1279">
        <v>10</v>
      </c>
      <c r="G1279">
        <v>2210</v>
      </c>
      <c r="H1279">
        <v>22.3</v>
      </c>
      <c r="I1279">
        <v>17171.7</v>
      </c>
      <c r="J1279" t="s">
        <v>87</v>
      </c>
      <c r="K1279" t="s">
        <v>117</v>
      </c>
      <c r="L1279" t="s">
        <v>117</v>
      </c>
      <c r="M1279" t="s">
        <v>2806</v>
      </c>
      <c r="N1279" t="s">
        <v>2862</v>
      </c>
      <c r="O1279">
        <v>1010</v>
      </c>
      <c r="P1279">
        <v>2210</v>
      </c>
    </row>
    <row r="1280" spans="1:16" x14ac:dyDescent="0.3">
      <c r="A1280" t="s">
        <v>2041</v>
      </c>
      <c r="B1280" s="45">
        <v>45514</v>
      </c>
      <c r="C1280" t="s">
        <v>1072</v>
      </c>
      <c r="D1280" t="s">
        <v>102</v>
      </c>
      <c r="E1280" t="s">
        <v>148</v>
      </c>
      <c r="F1280">
        <v>1</v>
      </c>
      <c r="G1280">
        <v>3660</v>
      </c>
      <c r="H1280">
        <v>15.6</v>
      </c>
      <c r="I1280">
        <v>3089.04</v>
      </c>
      <c r="J1280" t="s">
        <v>87</v>
      </c>
      <c r="K1280" t="s">
        <v>112</v>
      </c>
      <c r="L1280" t="s">
        <v>112</v>
      </c>
      <c r="M1280" t="s">
        <v>2806</v>
      </c>
      <c r="N1280" t="s">
        <v>2879</v>
      </c>
      <c r="O1280">
        <v>2214</v>
      </c>
      <c r="P1280">
        <v>3660</v>
      </c>
    </row>
    <row r="1281" spans="1:16" x14ac:dyDescent="0.3">
      <c r="A1281" t="s">
        <v>2046</v>
      </c>
      <c r="B1281" s="45">
        <v>45550</v>
      </c>
      <c r="C1281" t="s">
        <v>394</v>
      </c>
      <c r="D1281" t="s">
        <v>245</v>
      </c>
      <c r="E1281" t="s">
        <v>139</v>
      </c>
      <c r="F1281">
        <v>4</v>
      </c>
      <c r="G1281">
        <v>2270</v>
      </c>
      <c r="H1281">
        <v>3.8</v>
      </c>
      <c r="I1281">
        <v>8734.9599999999991</v>
      </c>
      <c r="J1281" t="s">
        <v>140</v>
      </c>
      <c r="K1281" t="s">
        <v>117</v>
      </c>
      <c r="L1281" t="s">
        <v>117</v>
      </c>
      <c r="M1281" t="s">
        <v>2806</v>
      </c>
      <c r="N1281" t="s">
        <v>2862</v>
      </c>
      <c r="O1281">
        <v>1412</v>
      </c>
      <c r="P1281">
        <v>2270</v>
      </c>
    </row>
    <row r="1282" spans="1:16" x14ac:dyDescent="0.3">
      <c r="A1282" t="s">
        <v>2057</v>
      </c>
      <c r="B1282" s="45">
        <v>45439</v>
      </c>
      <c r="C1282" t="s">
        <v>350</v>
      </c>
      <c r="D1282" t="s">
        <v>351</v>
      </c>
      <c r="E1282" t="s">
        <v>229</v>
      </c>
      <c r="F1282">
        <v>10</v>
      </c>
      <c r="G1282">
        <v>4060</v>
      </c>
      <c r="H1282">
        <v>4.7</v>
      </c>
      <c r="I1282">
        <v>38691.800000000003</v>
      </c>
      <c r="J1282" t="s">
        <v>140</v>
      </c>
      <c r="K1282" t="s">
        <v>112</v>
      </c>
      <c r="L1282" t="s">
        <v>112</v>
      </c>
      <c r="M1282" t="s">
        <v>2806</v>
      </c>
      <c r="N1282" t="s">
        <v>2862</v>
      </c>
      <c r="O1282">
        <v>2911</v>
      </c>
      <c r="P1282">
        <v>4060</v>
      </c>
    </row>
    <row r="1283" spans="1:16" x14ac:dyDescent="0.3">
      <c r="A1283" t="s">
        <v>2065</v>
      </c>
      <c r="B1283" s="45">
        <v>45625</v>
      </c>
      <c r="C1283" t="s">
        <v>1350</v>
      </c>
      <c r="D1283" t="s">
        <v>200</v>
      </c>
      <c r="E1283" t="s">
        <v>158</v>
      </c>
      <c r="F1283">
        <v>10</v>
      </c>
      <c r="G1283">
        <v>2760</v>
      </c>
      <c r="H1283">
        <v>17.2</v>
      </c>
      <c r="I1283">
        <v>22852.799999999999</v>
      </c>
      <c r="J1283" t="s">
        <v>87</v>
      </c>
      <c r="K1283" t="s">
        <v>112</v>
      </c>
      <c r="L1283" t="s">
        <v>112</v>
      </c>
      <c r="M1283" t="s">
        <v>2806</v>
      </c>
      <c r="N1283" t="s">
        <v>2862</v>
      </c>
      <c r="O1283">
        <v>1435</v>
      </c>
      <c r="P1283">
        <v>2760</v>
      </c>
    </row>
    <row r="1284" spans="1:16" x14ac:dyDescent="0.3">
      <c r="A1284" t="s">
        <v>2066</v>
      </c>
      <c r="B1284" s="45">
        <v>45358</v>
      </c>
      <c r="C1284" t="s">
        <v>231</v>
      </c>
      <c r="D1284" t="s">
        <v>131</v>
      </c>
      <c r="E1284" t="s">
        <v>201</v>
      </c>
      <c r="F1284">
        <v>4</v>
      </c>
      <c r="G1284">
        <v>2270</v>
      </c>
      <c r="H1284">
        <v>26.8</v>
      </c>
      <c r="I1284">
        <v>6646.56</v>
      </c>
      <c r="J1284" t="s">
        <v>87</v>
      </c>
      <c r="K1284" t="s">
        <v>117</v>
      </c>
      <c r="L1284" t="s">
        <v>117</v>
      </c>
      <c r="M1284" t="s">
        <v>2806</v>
      </c>
      <c r="N1284" t="s">
        <v>2871</v>
      </c>
      <c r="O1284">
        <v>1203</v>
      </c>
      <c r="P1284">
        <v>2270</v>
      </c>
    </row>
    <row r="1285" spans="1:16" x14ac:dyDescent="0.3">
      <c r="A1285" t="s">
        <v>2074</v>
      </c>
      <c r="B1285" s="45">
        <v>45454</v>
      </c>
      <c r="C1285" t="s">
        <v>333</v>
      </c>
      <c r="D1285" t="s">
        <v>102</v>
      </c>
      <c r="E1285" t="s">
        <v>92</v>
      </c>
      <c r="F1285">
        <v>4</v>
      </c>
      <c r="G1285">
        <v>3660</v>
      </c>
      <c r="H1285">
        <v>7.2</v>
      </c>
      <c r="I1285">
        <v>13585.92</v>
      </c>
      <c r="J1285" t="s">
        <v>87</v>
      </c>
      <c r="K1285" t="s">
        <v>133</v>
      </c>
      <c r="L1285" t="s">
        <v>133</v>
      </c>
      <c r="M1285" t="s">
        <v>2806</v>
      </c>
      <c r="N1285" t="s">
        <v>2879</v>
      </c>
      <c r="O1285">
        <v>2214</v>
      </c>
      <c r="P1285">
        <v>3660</v>
      </c>
    </row>
    <row r="1286" spans="1:16" x14ac:dyDescent="0.3">
      <c r="A1286" t="s">
        <v>2076</v>
      </c>
      <c r="B1286" s="45">
        <v>45645</v>
      </c>
      <c r="C1286" t="s">
        <v>427</v>
      </c>
      <c r="D1286" t="s">
        <v>245</v>
      </c>
      <c r="E1286" t="s">
        <v>148</v>
      </c>
      <c r="F1286">
        <v>6</v>
      </c>
      <c r="G1286">
        <v>2270</v>
      </c>
      <c r="H1286">
        <v>17.100000000000001</v>
      </c>
      <c r="I1286">
        <v>11290.98</v>
      </c>
      <c r="J1286" t="s">
        <v>87</v>
      </c>
      <c r="K1286" t="s">
        <v>88</v>
      </c>
      <c r="L1286" t="s">
        <v>88</v>
      </c>
      <c r="M1286" t="s">
        <v>2806</v>
      </c>
      <c r="N1286" t="s">
        <v>2871</v>
      </c>
      <c r="O1286">
        <v>1412</v>
      </c>
      <c r="P1286">
        <v>2270</v>
      </c>
    </row>
    <row r="1287" spans="1:16" x14ac:dyDescent="0.3">
      <c r="A1287" t="s">
        <v>2077</v>
      </c>
      <c r="B1287" s="45">
        <v>45588</v>
      </c>
      <c r="C1287" t="s">
        <v>281</v>
      </c>
      <c r="D1287" t="s">
        <v>245</v>
      </c>
      <c r="E1287" t="s">
        <v>188</v>
      </c>
      <c r="F1287">
        <v>8</v>
      </c>
      <c r="G1287">
        <v>2270</v>
      </c>
      <c r="H1287">
        <v>11.9</v>
      </c>
      <c r="I1287">
        <v>15998.96</v>
      </c>
      <c r="J1287" t="s">
        <v>93</v>
      </c>
      <c r="K1287" t="s">
        <v>88</v>
      </c>
      <c r="L1287" t="s">
        <v>88</v>
      </c>
      <c r="M1287" t="s">
        <v>2806</v>
      </c>
      <c r="N1287" t="s">
        <v>2855</v>
      </c>
      <c r="O1287">
        <v>1412</v>
      </c>
      <c r="P1287">
        <v>2270</v>
      </c>
    </row>
    <row r="1288" spans="1:16" x14ac:dyDescent="0.3">
      <c r="A1288" t="s">
        <v>2091</v>
      </c>
      <c r="B1288" s="45">
        <v>45367</v>
      </c>
      <c r="C1288" t="s">
        <v>621</v>
      </c>
      <c r="D1288" t="s">
        <v>264</v>
      </c>
      <c r="E1288" t="s">
        <v>107</v>
      </c>
      <c r="F1288">
        <v>2</v>
      </c>
      <c r="G1288">
        <v>4070</v>
      </c>
      <c r="H1288">
        <v>14.3</v>
      </c>
      <c r="I1288">
        <v>6975.98</v>
      </c>
      <c r="J1288" t="s">
        <v>87</v>
      </c>
      <c r="K1288" t="s">
        <v>94</v>
      </c>
      <c r="L1288" t="s">
        <v>94</v>
      </c>
      <c r="M1288" t="s">
        <v>2806</v>
      </c>
      <c r="N1288" t="s">
        <v>2855</v>
      </c>
      <c r="O1288">
        <v>2027</v>
      </c>
      <c r="P1288">
        <v>4070</v>
      </c>
    </row>
    <row r="1289" spans="1:16" x14ac:dyDescent="0.3">
      <c r="A1289" t="s">
        <v>2095</v>
      </c>
      <c r="B1289" s="45">
        <v>45491</v>
      </c>
      <c r="C1289" t="s">
        <v>357</v>
      </c>
      <c r="D1289" t="s">
        <v>127</v>
      </c>
      <c r="E1289" t="s">
        <v>92</v>
      </c>
      <c r="F1289">
        <v>7</v>
      </c>
      <c r="G1289">
        <v>970</v>
      </c>
      <c r="H1289">
        <v>0.1</v>
      </c>
      <c r="I1289">
        <v>6783.21</v>
      </c>
      <c r="J1289" t="s">
        <v>87</v>
      </c>
      <c r="K1289" t="s">
        <v>99</v>
      </c>
      <c r="L1289" t="s">
        <v>99</v>
      </c>
      <c r="M1289" t="s">
        <v>2806</v>
      </c>
      <c r="N1289" t="s">
        <v>2862</v>
      </c>
      <c r="O1289">
        <v>434</v>
      </c>
      <c r="P1289">
        <v>970</v>
      </c>
    </row>
    <row r="1290" spans="1:16" x14ac:dyDescent="0.3">
      <c r="A1290" t="s">
        <v>2104</v>
      </c>
      <c r="B1290" s="45">
        <v>45343</v>
      </c>
      <c r="C1290" t="s">
        <v>175</v>
      </c>
      <c r="D1290" t="s">
        <v>131</v>
      </c>
      <c r="E1290" t="s">
        <v>346</v>
      </c>
      <c r="F1290">
        <v>5</v>
      </c>
      <c r="G1290">
        <v>2270</v>
      </c>
      <c r="H1290">
        <v>11.5</v>
      </c>
      <c r="I1290">
        <v>10044.75</v>
      </c>
      <c r="J1290" t="s">
        <v>87</v>
      </c>
      <c r="K1290" t="s">
        <v>133</v>
      </c>
      <c r="L1290" t="s">
        <v>133</v>
      </c>
      <c r="M1290" t="s">
        <v>2806</v>
      </c>
      <c r="N1290" t="s">
        <v>2879</v>
      </c>
      <c r="O1290">
        <v>1203</v>
      </c>
      <c r="P1290">
        <v>2270</v>
      </c>
    </row>
    <row r="1291" spans="1:16" x14ac:dyDescent="0.3">
      <c r="A1291" t="s">
        <v>2107</v>
      </c>
      <c r="B1291" s="45">
        <v>45561</v>
      </c>
      <c r="C1291" t="s">
        <v>123</v>
      </c>
      <c r="D1291" t="s">
        <v>131</v>
      </c>
      <c r="E1291" t="s">
        <v>343</v>
      </c>
      <c r="F1291">
        <v>2</v>
      </c>
      <c r="G1291">
        <v>2270</v>
      </c>
      <c r="H1291">
        <v>27</v>
      </c>
      <c r="I1291">
        <v>3314.2</v>
      </c>
      <c r="J1291" t="s">
        <v>87</v>
      </c>
      <c r="K1291" t="s">
        <v>117</v>
      </c>
      <c r="L1291" t="s">
        <v>117</v>
      </c>
      <c r="M1291" t="s">
        <v>2806</v>
      </c>
      <c r="N1291" t="s">
        <v>2862</v>
      </c>
      <c r="O1291">
        <v>1203</v>
      </c>
      <c r="P1291">
        <v>2270</v>
      </c>
    </row>
    <row r="1292" spans="1:16" x14ac:dyDescent="0.3">
      <c r="A1292" t="s">
        <v>2108</v>
      </c>
      <c r="B1292" s="45">
        <v>45636</v>
      </c>
      <c r="C1292" t="s">
        <v>105</v>
      </c>
      <c r="D1292" t="s">
        <v>200</v>
      </c>
      <c r="E1292" t="s">
        <v>343</v>
      </c>
      <c r="F1292">
        <v>8</v>
      </c>
      <c r="G1292">
        <v>2760</v>
      </c>
      <c r="H1292">
        <v>18</v>
      </c>
      <c r="I1292">
        <v>18105.599999999999</v>
      </c>
      <c r="J1292" t="s">
        <v>140</v>
      </c>
      <c r="K1292" t="s">
        <v>94</v>
      </c>
      <c r="L1292" t="s">
        <v>94</v>
      </c>
      <c r="M1292" t="s">
        <v>2806</v>
      </c>
      <c r="N1292" t="s">
        <v>2879</v>
      </c>
      <c r="O1292">
        <v>1435</v>
      </c>
      <c r="P1292">
        <v>2760</v>
      </c>
    </row>
    <row r="1293" spans="1:16" x14ac:dyDescent="0.3">
      <c r="A1293" t="s">
        <v>2117</v>
      </c>
      <c r="B1293" s="45">
        <v>45584</v>
      </c>
      <c r="C1293" t="s">
        <v>589</v>
      </c>
      <c r="D1293" t="s">
        <v>245</v>
      </c>
      <c r="E1293" t="s">
        <v>192</v>
      </c>
      <c r="F1293">
        <v>7</v>
      </c>
      <c r="G1293">
        <v>2270</v>
      </c>
      <c r="H1293">
        <v>1.4</v>
      </c>
      <c r="I1293">
        <v>15667.54</v>
      </c>
      <c r="J1293" t="s">
        <v>87</v>
      </c>
      <c r="K1293" t="s">
        <v>94</v>
      </c>
      <c r="L1293" t="s">
        <v>94</v>
      </c>
      <c r="M1293" t="s">
        <v>2806</v>
      </c>
      <c r="N1293" t="s">
        <v>2871</v>
      </c>
      <c r="O1293">
        <v>1412</v>
      </c>
      <c r="P1293">
        <v>2270</v>
      </c>
    </row>
    <row r="1294" spans="1:16" x14ac:dyDescent="0.3">
      <c r="A1294" t="s">
        <v>2119</v>
      </c>
      <c r="B1294" s="45">
        <v>45365</v>
      </c>
      <c r="C1294" t="s">
        <v>874</v>
      </c>
      <c r="D1294" t="s">
        <v>127</v>
      </c>
      <c r="E1294" t="s">
        <v>204</v>
      </c>
      <c r="F1294">
        <v>9</v>
      </c>
      <c r="G1294">
        <v>970</v>
      </c>
      <c r="H1294">
        <v>29.7</v>
      </c>
      <c r="I1294">
        <v>6137.19</v>
      </c>
      <c r="J1294" t="s">
        <v>87</v>
      </c>
      <c r="K1294" t="s">
        <v>112</v>
      </c>
      <c r="L1294" t="s">
        <v>112</v>
      </c>
      <c r="M1294" t="s">
        <v>2806</v>
      </c>
      <c r="N1294" t="s">
        <v>2871</v>
      </c>
      <c r="O1294">
        <v>434</v>
      </c>
      <c r="P1294">
        <v>970</v>
      </c>
    </row>
    <row r="1295" spans="1:16" x14ac:dyDescent="0.3">
      <c r="A1295" t="s">
        <v>2120</v>
      </c>
      <c r="B1295" s="45">
        <v>45533</v>
      </c>
      <c r="C1295" t="s">
        <v>872</v>
      </c>
      <c r="D1295" t="s">
        <v>102</v>
      </c>
      <c r="E1295" t="s">
        <v>229</v>
      </c>
      <c r="F1295">
        <v>5</v>
      </c>
      <c r="G1295">
        <v>3660</v>
      </c>
      <c r="H1295">
        <v>8</v>
      </c>
      <c r="I1295">
        <v>16836</v>
      </c>
      <c r="J1295" t="s">
        <v>87</v>
      </c>
      <c r="K1295" t="s">
        <v>112</v>
      </c>
      <c r="L1295" t="s">
        <v>112</v>
      </c>
      <c r="M1295" t="s">
        <v>2806</v>
      </c>
      <c r="N1295" t="s">
        <v>2871</v>
      </c>
      <c r="O1295">
        <v>2214</v>
      </c>
      <c r="P1295">
        <v>3660</v>
      </c>
    </row>
    <row r="1296" spans="1:16" x14ac:dyDescent="0.3">
      <c r="A1296" t="s">
        <v>2121</v>
      </c>
      <c r="B1296" s="45">
        <v>45628</v>
      </c>
      <c r="C1296" t="s">
        <v>101</v>
      </c>
      <c r="D1296" t="s">
        <v>338</v>
      </c>
      <c r="E1296" t="s">
        <v>116</v>
      </c>
      <c r="F1296">
        <v>7</v>
      </c>
      <c r="G1296">
        <v>2210</v>
      </c>
      <c r="H1296">
        <v>13.7</v>
      </c>
      <c r="I1296">
        <v>13350.61</v>
      </c>
      <c r="J1296" t="s">
        <v>144</v>
      </c>
      <c r="K1296" t="s">
        <v>99</v>
      </c>
      <c r="L1296" t="s">
        <v>99</v>
      </c>
      <c r="M1296" t="s">
        <v>2806</v>
      </c>
      <c r="N1296" t="s">
        <v>2855</v>
      </c>
      <c r="O1296">
        <v>1010</v>
      </c>
      <c r="P1296">
        <v>2210</v>
      </c>
    </row>
    <row r="1297" spans="1:16" x14ac:dyDescent="0.3">
      <c r="A1297" t="s">
        <v>2124</v>
      </c>
      <c r="B1297" s="45">
        <v>45365</v>
      </c>
      <c r="C1297" t="s">
        <v>551</v>
      </c>
      <c r="D1297" t="s">
        <v>234</v>
      </c>
      <c r="E1297" t="s">
        <v>238</v>
      </c>
      <c r="F1297">
        <v>3</v>
      </c>
      <c r="G1297">
        <v>3780</v>
      </c>
      <c r="H1297">
        <v>14.4</v>
      </c>
      <c r="I1297">
        <v>9707.0400000000009</v>
      </c>
      <c r="J1297" t="s">
        <v>87</v>
      </c>
      <c r="K1297" t="s">
        <v>112</v>
      </c>
      <c r="L1297" t="s">
        <v>112</v>
      </c>
      <c r="M1297" t="s">
        <v>2806</v>
      </c>
      <c r="N1297" t="s">
        <v>2855</v>
      </c>
      <c r="O1297">
        <v>2436</v>
      </c>
      <c r="P1297">
        <v>3780</v>
      </c>
    </row>
    <row r="1298" spans="1:16" x14ac:dyDescent="0.3">
      <c r="A1298" t="s">
        <v>2129</v>
      </c>
      <c r="B1298" s="45">
        <v>45577</v>
      </c>
      <c r="C1298" t="s">
        <v>479</v>
      </c>
      <c r="D1298" t="s">
        <v>102</v>
      </c>
      <c r="E1298" t="s">
        <v>170</v>
      </c>
      <c r="F1298">
        <v>9</v>
      </c>
      <c r="G1298">
        <v>3660</v>
      </c>
      <c r="H1298">
        <v>9</v>
      </c>
      <c r="I1298">
        <v>29975.4</v>
      </c>
      <c r="J1298" t="s">
        <v>87</v>
      </c>
      <c r="K1298" t="s">
        <v>88</v>
      </c>
      <c r="L1298" t="s">
        <v>88</v>
      </c>
      <c r="M1298" t="s">
        <v>2806</v>
      </c>
      <c r="N1298" t="s">
        <v>2855</v>
      </c>
      <c r="O1298">
        <v>2214</v>
      </c>
      <c r="P1298">
        <v>3660</v>
      </c>
    </row>
    <row r="1299" spans="1:16" x14ac:dyDescent="0.3">
      <c r="A1299" t="s">
        <v>2131</v>
      </c>
      <c r="B1299" s="45">
        <v>45347</v>
      </c>
      <c r="C1299" t="s">
        <v>551</v>
      </c>
      <c r="D1299" t="s">
        <v>264</v>
      </c>
      <c r="E1299" t="s">
        <v>139</v>
      </c>
      <c r="F1299">
        <v>6</v>
      </c>
      <c r="G1299">
        <v>4070</v>
      </c>
      <c r="H1299">
        <v>6.2</v>
      </c>
      <c r="I1299">
        <v>22905.96</v>
      </c>
      <c r="J1299" t="s">
        <v>87</v>
      </c>
      <c r="K1299" t="s">
        <v>112</v>
      </c>
      <c r="L1299" t="s">
        <v>112</v>
      </c>
      <c r="M1299" t="s">
        <v>2806</v>
      </c>
      <c r="N1299" t="s">
        <v>2862</v>
      </c>
      <c r="O1299">
        <v>2027</v>
      </c>
      <c r="P1299">
        <v>4070</v>
      </c>
    </row>
    <row r="1300" spans="1:16" x14ac:dyDescent="0.3">
      <c r="A1300" t="s">
        <v>2134</v>
      </c>
      <c r="B1300" s="45">
        <v>45393</v>
      </c>
      <c r="C1300" t="s">
        <v>328</v>
      </c>
      <c r="D1300" t="s">
        <v>102</v>
      </c>
      <c r="E1300" t="s">
        <v>215</v>
      </c>
      <c r="F1300">
        <v>4</v>
      </c>
      <c r="G1300">
        <v>3660</v>
      </c>
      <c r="H1300">
        <v>2.2000000000000002</v>
      </c>
      <c r="I1300">
        <v>14317.92</v>
      </c>
      <c r="J1300" t="s">
        <v>87</v>
      </c>
      <c r="K1300" t="s">
        <v>94</v>
      </c>
      <c r="L1300" t="s">
        <v>94</v>
      </c>
      <c r="M1300" t="s">
        <v>2806</v>
      </c>
      <c r="N1300" t="s">
        <v>2871</v>
      </c>
      <c r="O1300">
        <v>2214</v>
      </c>
      <c r="P1300">
        <v>3660</v>
      </c>
    </row>
    <row r="1301" spans="1:16" x14ac:dyDescent="0.3">
      <c r="A1301" t="s">
        <v>2140</v>
      </c>
      <c r="B1301" s="45">
        <v>45523</v>
      </c>
      <c r="C1301" t="s">
        <v>422</v>
      </c>
      <c r="D1301" t="s">
        <v>200</v>
      </c>
      <c r="E1301" t="s">
        <v>154</v>
      </c>
      <c r="F1301">
        <v>10</v>
      </c>
      <c r="G1301">
        <v>2760</v>
      </c>
      <c r="H1301">
        <v>8.9</v>
      </c>
      <c r="I1301">
        <v>25143.599999999999</v>
      </c>
      <c r="J1301" t="s">
        <v>87</v>
      </c>
      <c r="K1301" t="s">
        <v>94</v>
      </c>
      <c r="L1301" t="s">
        <v>94</v>
      </c>
      <c r="M1301" t="s">
        <v>2806</v>
      </c>
      <c r="N1301" t="s">
        <v>2862</v>
      </c>
      <c r="O1301">
        <v>1435</v>
      </c>
      <c r="P1301">
        <v>2760</v>
      </c>
    </row>
    <row r="1302" spans="1:16" x14ac:dyDescent="0.3">
      <c r="A1302" t="s">
        <v>2143</v>
      </c>
      <c r="B1302" s="45">
        <v>45410</v>
      </c>
      <c r="C1302" t="s">
        <v>429</v>
      </c>
      <c r="D1302" t="s">
        <v>127</v>
      </c>
      <c r="E1302" t="s">
        <v>158</v>
      </c>
      <c r="F1302">
        <v>1</v>
      </c>
      <c r="G1302">
        <v>970</v>
      </c>
      <c r="H1302">
        <v>8.4</v>
      </c>
      <c r="I1302">
        <v>888.52</v>
      </c>
      <c r="J1302" t="s">
        <v>140</v>
      </c>
      <c r="K1302" t="s">
        <v>117</v>
      </c>
      <c r="L1302" t="s">
        <v>117</v>
      </c>
      <c r="M1302" t="s">
        <v>2806</v>
      </c>
      <c r="N1302" t="s">
        <v>2871</v>
      </c>
      <c r="O1302">
        <v>434</v>
      </c>
      <c r="P1302">
        <v>970</v>
      </c>
    </row>
    <row r="1303" spans="1:16" x14ac:dyDescent="0.3">
      <c r="A1303" t="s">
        <v>2145</v>
      </c>
      <c r="B1303" s="45">
        <v>45525</v>
      </c>
      <c r="C1303" t="s">
        <v>968</v>
      </c>
      <c r="D1303" t="s">
        <v>102</v>
      </c>
      <c r="E1303" t="s">
        <v>252</v>
      </c>
      <c r="F1303">
        <v>4</v>
      </c>
      <c r="G1303">
        <v>3660</v>
      </c>
      <c r="H1303">
        <v>21.8</v>
      </c>
      <c r="I1303">
        <v>11448.48</v>
      </c>
      <c r="J1303" t="s">
        <v>93</v>
      </c>
      <c r="K1303" t="s">
        <v>99</v>
      </c>
      <c r="L1303" t="s">
        <v>99</v>
      </c>
      <c r="M1303" t="s">
        <v>2806</v>
      </c>
      <c r="N1303" t="s">
        <v>2871</v>
      </c>
      <c r="O1303">
        <v>2214</v>
      </c>
      <c r="P1303">
        <v>3660</v>
      </c>
    </row>
    <row r="1304" spans="1:16" x14ac:dyDescent="0.3">
      <c r="A1304" t="s">
        <v>2148</v>
      </c>
      <c r="B1304" s="45">
        <v>45390</v>
      </c>
      <c r="C1304" t="s">
        <v>416</v>
      </c>
      <c r="D1304" t="s">
        <v>200</v>
      </c>
      <c r="E1304" t="s">
        <v>346</v>
      </c>
      <c r="F1304">
        <v>4</v>
      </c>
      <c r="G1304">
        <v>2760</v>
      </c>
      <c r="H1304">
        <v>14</v>
      </c>
      <c r="I1304">
        <v>9494.4</v>
      </c>
      <c r="J1304" t="s">
        <v>87</v>
      </c>
      <c r="K1304" t="s">
        <v>117</v>
      </c>
      <c r="L1304" t="s">
        <v>117</v>
      </c>
      <c r="M1304" t="s">
        <v>2806</v>
      </c>
      <c r="N1304" t="s">
        <v>2879</v>
      </c>
      <c r="O1304">
        <v>1435</v>
      </c>
      <c r="P1304">
        <v>2760</v>
      </c>
    </row>
    <row r="1305" spans="1:16" x14ac:dyDescent="0.3">
      <c r="A1305" t="s">
        <v>2149</v>
      </c>
      <c r="B1305" s="45">
        <v>45597</v>
      </c>
      <c r="C1305" t="s">
        <v>208</v>
      </c>
      <c r="D1305" t="s">
        <v>367</v>
      </c>
      <c r="E1305" t="s">
        <v>192</v>
      </c>
      <c r="F1305">
        <v>5</v>
      </c>
      <c r="G1305">
        <v>2380</v>
      </c>
      <c r="H1305">
        <v>16.399999999999999</v>
      </c>
      <c r="I1305">
        <v>9948.4</v>
      </c>
      <c r="J1305" t="s">
        <v>87</v>
      </c>
      <c r="K1305" t="s">
        <v>133</v>
      </c>
      <c r="L1305" t="s">
        <v>133</v>
      </c>
      <c r="M1305" t="s">
        <v>2806</v>
      </c>
      <c r="N1305" t="s">
        <v>2871</v>
      </c>
      <c r="O1305">
        <v>1182</v>
      </c>
      <c r="P1305">
        <v>2380</v>
      </c>
    </row>
    <row r="1306" spans="1:16" x14ac:dyDescent="0.3">
      <c r="A1306" t="s">
        <v>2155</v>
      </c>
      <c r="B1306" s="45">
        <v>45653</v>
      </c>
      <c r="C1306" t="s">
        <v>247</v>
      </c>
      <c r="D1306" t="s">
        <v>264</v>
      </c>
      <c r="E1306" t="s">
        <v>132</v>
      </c>
      <c r="F1306">
        <v>1</v>
      </c>
      <c r="G1306">
        <v>4070</v>
      </c>
      <c r="H1306">
        <v>29.1</v>
      </c>
      <c r="I1306">
        <v>2885.63</v>
      </c>
      <c r="J1306" t="s">
        <v>93</v>
      </c>
      <c r="K1306" t="s">
        <v>117</v>
      </c>
      <c r="L1306" t="s">
        <v>117</v>
      </c>
      <c r="M1306" t="s">
        <v>2806</v>
      </c>
      <c r="N1306" t="s">
        <v>2871</v>
      </c>
      <c r="O1306">
        <v>2027</v>
      </c>
      <c r="P1306">
        <v>4070</v>
      </c>
    </row>
    <row r="1307" spans="1:16" x14ac:dyDescent="0.3">
      <c r="A1307" t="s">
        <v>2160</v>
      </c>
      <c r="B1307" s="45">
        <v>45483</v>
      </c>
      <c r="C1307" t="s">
        <v>411</v>
      </c>
      <c r="D1307" t="s">
        <v>102</v>
      </c>
      <c r="E1307" t="s">
        <v>148</v>
      </c>
      <c r="F1307">
        <v>6</v>
      </c>
      <c r="G1307">
        <v>3660</v>
      </c>
      <c r="H1307">
        <v>29.9</v>
      </c>
      <c r="I1307">
        <v>15393.96</v>
      </c>
      <c r="J1307" t="s">
        <v>87</v>
      </c>
      <c r="K1307" t="s">
        <v>112</v>
      </c>
      <c r="L1307" t="s">
        <v>112</v>
      </c>
      <c r="M1307" t="s">
        <v>2806</v>
      </c>
      <c r="N1307" t="s">
        <v>2871</v>
      </c>
      <c r="O1307">
        <v>2214</v>
      </c>
      <c r="P1307">
        <v>3660</v>
      </c>
    </row>
    <row r="1308" spans="1:16" x14ac:dyDescent="0.3">
      <c r="A1308" t="s">
        <v>2163</v>
      </c>
      <c r="B1308" s="45">
        <v>45377</v>
      </c>
      <c r="C1308" t="s">
        <v>1065</v>
      </c>
      <c r="D1308" t="s">
        <v>131</v>
      </c>
      <c r="E1308" t="s">
        <v>86</v>
      </c>
      <c r="F1308">
        <v>9</v>
      </c>
      <c r="G1308">
        <v>2270</v>
      </c>
      <c r="H1308">
        <v>4.7</v>
      </c>
      <c r="I1308">
        <v>19469.79</v>
      </c>
      <c r="J1308" t="s">
        <v>87</v>
      </c>
      <c r="K1308" t="s">
        <v>94</v>
      </c>
      <c r="L1308" t="s">
        <v>94</v>
      </c>
      <c r="M1308" t="s">
        <v>2806</v>
      </c>
      <c r="N1308" t="s">
        <v>2879</v>
      </c>
      <c r="O1308">
        <v>1203</v>
      </c>
      <c r="P1308">
        <v>2270</v>
      </c>
    </row>
    <row r="1309" spans="1:16" x14ac:dyDescent="0.3">
      <c r="A1309" t="s">
        <v>2172</v>
      </c>
      <c r="B1309" s="45">
        <v>45598</v>
      </c>
      <c r="C1309" t="s">
        <v>411</v>
      </c>
      <c r="D1309" t="s">
        <v>367</v>
      </c>
      <c r="E1309" t="s">
        <v>201</v>
      </c>
      <c r="F1309">
        <v>4</v>
      </c>
      <c r="G1309">
        <v>2380</v>
      </c>
      <c r="H1309">
        <v>6.9</v>
      </c>
      <c r="I1309">
        <v>8863.1200000000008</v>
      </c>
      <c r="J1309" t="s">
        <v>87</v>
      </c>
      <c r="K1309" t="s">
        <v>112</v>
      </c>
      <c r="L1309" t="s">
        <v>112</v>
      </c>
      <c r="M1309" t="s">
        <v>2806</v>
      </c>
      <c r="N1309" t="s">
        <v>2862</v>
      </c>
      <c r="O1309">
        <v>1182</v>
      </c>
      <c r="P1309">
        <v>2380</v>
      </c>
    </row>
    <row r="1310" spans="1:16" x14ac:dyDescent="0.3">
      <c r="A1310" t="s">
        <v>2195</v>
      </c>
      <c r="B1310" s="45">
        <v>45531</v>
      </c>
      <c r="C1310" t="s">
        <v>921</v>
      </c>
      <c r="D1310" t="s">
        <v>200</v>
      </c>
      <c r="E1310" t="s">
        <v>154</v>
      </c>
      <c r="F1310">
        <v>2</v>
      </c>
      <c r="G1310">
        <v>2760</v>
      </c>
      <c r="H1310">
        <v>2.2999999999999998</v>
      </c>
      <c r="I1310">
        <v>5393.04</v>
      </c>
      <c r="J1310" t="s">
        <v>87</v>
      </c>
      <c r="K1310" t="s">
        <v>117</v>
      </c>
      <c r="L1310" t="s">
        <v>117</v>
      </c>
      <c r="M1310" t="s">
        <v>2806</v>
      </c>
      <c r="N1310" t="s">
        <v>2855</v>
      </c>
      <c r="O1310">
        <v>1435</v>
      </c>
      <c r="P1310">
        <v>2760</v>
      </c>
    </row>
    <row r="1311" spans="1:16" x14ac:dyDescent="0.3">
      <c r="A1311" t="s">
        <v>2199</v>
      </c>
      <c r="B1311" s="45">
        <v>45435</v>
      </c>
      <c r="C1311" t="s">
        <v>109</v>
      </c>
      <c r="D1311" t="s">
        <v>338</v>
      </c>
      <c r="E1311" t="s">
        <v>139</v>
      </c>
      <c r="F1311">
        <v>10</v>
      </c>
      <c r="G1311">
        <v>2210</v>
      </c>
      <c r="H1311">
        <v>16.600000000000001</v>
      </c>
      <c r="I1311">
        <v>18431.400000000001</v>
      </c>
      <c r="J1311" t="s">
        <v>87</v>
      </c>
      <c r="K1311" t="s">
        <v>112</v>
      </c>
      <c r="L1311" t="s">
        <v>112</v>
      </c>
      <c r="M1311" t="s">
        <v>2806</v>
      </c>
      <c r="N1311" t="s">
        <v>2855</v>
      </c>
      <c r="O1311">
        <v>1010</v>
      </c>
      <c r="P1311">
        <v>2210</v>
      </c>
    </row>
    <row r="1312" spans="1:16" x14ac:dyDescent="0.3">
      <c r="A1312" t="s">
        <v>2205</v>
      </c>
      <c r="B1312" s="45">
        <v>45603</v>
      </c>
      <c r="C1312" t="s">
        <v>366</v>
      </c>
      <c r="D1312" t="s">
        <v>351</v>
      </c>
      <c r="E1312" t="s">
        <v>148</v>
      </c>
      <c r="F1312">
        <v>10</v>
      </c>
      <c r="G1312">
        <v>4060</v>
      </c>
      <c r="H1312">
        <v>2.2999999999999998</v>
      </c>
      <c r="I1312">
        <v>39666.199999999997</v>
      </c>
      <c r="J1312" t="s">
        <v>87</v>
      </c>
      <c r="K1312" t="s">
        <v>112</v>
      </c>
      <c r="L1312" t="s">
        <v>112</v>
      </c>
      <c r="M1312" t="s">
        <v>2806</v>
      </c>
      <c r="N1312" t="s">
        <v>2871</v>
      </c>
      <c r="O1312">
        <v>2911</v>
      </c>
      <c r="P1312">
        <v>4060</v>
      </c>
    </row>
    <row r="1313" spans="1:16" x14ac:dyDescent="0.3">
      <c r="A1313" t="s">
        <v>2212</v>
      </c>
      <c r="B1313" s="45">
        <v>45370</v>
      </c>
      <c r="C1313" t="s">
        <v>522</v>
      </c>
      <c r="D1313" t="s">
        <v>102</v>
      </c>
      <c r="E1313" t="s">
        <v>325</v>
      </c>
      <c r="F1313">
        <v>1</v>
      </c>
      <c r="G1313">
        <v>3660</v>
      </c>
      <c r="H1313">
        <v>28.2</v>
      </c>
      <c r="I1313">
        <v>2627.88</v>
      </c>
      <c r="J1313" t="s">
        <v>93</v>
      </c>
      <c r="K1313" t="s">
        <v>99</v>
      </c>
      <c r="L1313" t="s">
        <v>99</v>
      </c>
      <c r="M1313" t="s">
        <v>2806</v>
      </c>
      <c r="N1313" t="s">
        <v>2855</v>
      </c>
      <c r="O1313">
        <v>2214</v>
      </c>
      <c r="P1313">
        <v>3660</v>
      </c>
    </row>
    <row r="1314" spans="1:16" x14ac:dyDescent="0.3">
      <c r="A1314" t="s">
        <v>2214</v>
      </c>
      <c r="B1314" s="45">
        <v>45446</v>
      </c>
      <c r="C1314" t="s">
        <v>263</v>
      </c>
      <c r="D1314" t="s">
        <v>367</v>
      </c>
      <c r="E1314" t="s">
        <v>285</v>
      </c>
      <c r="F1314">
        <v>5</v>
      </c>
      <c r="G1314">
        <v>2380</v>
      </c>
      <c r="H1314">
        <v>23</v>
      </c>
      <c r="I1314">
        <v>9163</v>
      </c>
      <c r="J1314" t="s">
        <v>87</v>
      </c>
      <c r="K1314" t="s">
        <v>133</v>
      </c>
      <c r="L1314" t="s">
        <v>133</v>
      </c>
      <c r="M1314" t="s">
        <v>2806</v>
      </c>
      <c r="N1314" t="s">
        <v>2855</v>
      </c>
      <c r="O1314">
        <v>1182</v>
      </c>
      <c r="P1314">
        <v>2380</v>
      </c>
    </row>
    <row r="1315" spans="1:16" x14ac:dyDescent="0.3">
      <c r="A1315" t="s">
        <v>2218</v>
      </c>
      <c r="B1315" s="45">
        <v>45589</v>
      </c>
      <c r="C1315" t="s">
        <v>902</v>
      </c>
      <c r="D1315" t="s">
        <v>200</v>
      </c>
      <c r="E1315" t="s">
        <v>252</v>
      </c>
      <c r="F1315">
        <v>1</v>
      </c>
      <c r="G1315">
        <v>2760</v>
      </c>
      <c r="H1315">
        <v>17.8</v>
      </c>
      <c r="I1315">
        <v>2268.7199999999998</v>
      </c>
      <c r="J1315" t="s">
        <v>144</v>
      </c>
      <c r="K1315" t="s">
        <v>112</v>
      </c>
      <c r="L1315" t="s">
        <v>112</v>
      </c>
      <c r="M1315" t="s">
        <v>2806</v>
      </c>
      <c r="N1315" t="s">
        <v>2871</v>
      </c>
      <c r="O1315">
        <v>1435</v>
      </c>
      <c r="P1315">
        <v>2760</v>
      </c>
    </row>
    <row r="1316" spans="1:16" x14ac:dyDescent="0.3">
      <c r="A1316" t="s">
        <v>2224</v>
      </c>
      <c r="B1316" s="45">
        <v>45383</v>
      </c>
      <c r="C1316" t="s">
        <v>539</v>
      </c>
      <c r="D1316" t="s">
        <v>245</v>
      </c>
      <c r="E1316" t="s">
        <v>303</v>
      </c>
      <c r="F1316">
        <v>6</v>
      </c>
      <c r="G1316">
        <v>2270</v>
      </c>
      <c r="H1316">
        <v>11.1</v>
      </c>
      <c r="I1316">
        <v>12108.18</v>
      </c>
      <c r="J1316" t="s">
        <v>140</v>
      </c>
      <c r="K1316" t="s">
        <v>133</v>
      </c>
      <c r="L1316" t="s">
        <v>133</v>
      </c>
      <c r="M1316" t="s">
        <v>2806</v>
      </c>
      <c r="N1316" t="s">
        <v>2862</v>
      </c>
      <c r="O1316">
        <v>1412</v>
      </c>
      <c r="P1316">
        <v>2270</v>
      </c>
    </row>
    <row r="1317" spans="1:16" x14ac:dyDescent="0.3">
      <c r="A1317" t="s">
        <v>2225</v>
      </c>
      <c r="B1317" s="45">
        <v>45543</v>
      </c>
      <c r="C1317" t="s">
        <v>1361</v>
      </c>
      <c r="D1317" t="s">
        <v>245</v>
      </c>
      <c r="E1317" t="s">
        <v>98</v>
      </c>
      <c r="F1317">
        <v>4</v>
      </c>
      <c r="G1317">
        <v>2270</v>
      </c>
      <c r="H1317">
        <v>27.2</v>
      </c>
      <c r="I1317">
        <v>6610.24</v>
      </c>
      <c r="J1317" t="s">
        <v>93</v>
      </c>
      <c r="K1317" t="s">
        <v>94</v>
      </c>
      <c r="L1317" t="s">
        <v>94</v>
      </c>
      <c r="M1317" t="s">
        <v>2806</v>
      </c>
      <c r="N1317" t="s">
        <v>2862</v>
      </c>
      <c r="O1317">
        <v>1412</v>
      </c>
      <c r="P1317">
        <v>2270</v>
      </c>
    </row>
    <row r="1318" spans="1:16" x14ac:dyDescent="0.3">
      <c r="A1318" t="s">
        <v>2229</v>
      </c>
      <c r="B1318" s="45">
        <v>45614</v>
      </c>
      <c r="C1318" t="s">
        <v>440</v>
      </c>
      <c r="D1318" t="s">
        <v>264</v>
      </c>
      <c r="E1318" t="s">
        <v>192</v>
      </c>
      <c r="F1318">
        <v>1</v>
      </c>
      <c r="G1318">
        <v>4070</v>
      </c>
      <c r="H1318">
        <v>9.3000000000000007</v>
      </c>
      <c r="I1318">
        <v>3691.49</v>
      </c>
      <c r="J1318" t="s">
        <v>144</v>
      </c>
      <c r="K1318" t="s">
        <v>88</v>
      </c>
      <c r="L1318" t="s">
        <v>88</v>
      </c>
      <c r="M1318" t="s">
        <v>2806</v>
      </c>
      <c r="N1318" t="s">
        <v>2879</v>
      </c>
      <c r="O1318">
        <v>2027</v>
      </c>
      <c r="P1318">
        <v>4070</v>
      </c>
    </row>
    <row r="1319" spans="1:16" x14ac:dyDescent="0.3">
      <c r="A1319" t="s">
        <v>2234</v>
      </c>
      <c r="B1319" s="45">
        <v>45564</v>
      </c>
      <c r="C1319" t="s">
        <v>318</v>
      </c>
      <c r="D1319" t="s">
        <v>102</v>
      </c>
      <c r="E1319" t="s">
        <v>139</v>
      </c>
      <c r="F1319">
        <v>6</v>
      </c>
      <c r="G1319">
        <v>3660</v>
      </c>
      <c r="H1319">
        <v>6.2</v>
      </c>
      <c r="I1319">
        <v>20598.48</v>
      </c>
      <c r="J1319" t="s">
        <v>87</v>
      </c>
      <c r="K1319" t="s">
        <v>94</v>
      </c>
      <c r="L1319" t="s">
        <v>94</v>
      </c>
      <c r="M1319" t="s">
        <v>2806</v>
      </c>
      <c r="N1319" t="s">
        <v>2879</v>
      </c>
      <c r="O1319">
        <v>2214</v>
      </c>
      <c r="P1319">
        <v>3660</v>
      </c>
    </row>
    <row r="1320" spans="1:16" x14ac:dyDescent="0.3">
      <c r="A1320" t="s">
        <v>2246</v>
      </c>
      <c r="B1320" s="45">
        <v>45397</v>
      </c>
      <c r="C1320" t="s">
        <v>194</v>
      </c>
      <c r="D1320" t="s">
        <v>131</v>
      </c>
      <c r="E1320" t="s">
        <v>188</v>
      </c>
      <c r="F1320">
        <v>3</v>
      </c>
      <c r="G1320">
        <v>2270</v>
      </c>
      <c r="H1320">
        <v>2.8</v>
      </c>
      <c r="I1320">
        <v>6619.32</v>
      </c>
      <c r="J1320" t="s">
        <v>93</v>
      </c>
      <c r="K1320" t="s">
        <v>88</v>
      </c>
      <c r="L1320" t="s">
        <v>88</v>
      </c>
      <c r="M1320" t="s">
        <v>2806</v>
      </c>
      <c r="N1320" t="s">
        <v>2879</v>
      </c>
      <c r="O1320">
        <v>1203</v>
      </c>
      <c r="P1320">
        <v>2270</v>
      </c>
    </row>
    <row r="1321" spans="1:16" x14ac:dyDescent="0.3">
      <c r="A1321" t="s">
        <v>2247</v>
      </c>
      <c r="B1321" s="45">
        <v>45354</v>
      </c>
      <c r="C1321" t="s">
        <v>781</v>
      </c>
      <c r="D1321" t="s">
        <v>102</v>
      </c>
      <c r="E1321" t="s">
        <v>86</v>
      </c>
      <c r="F1321">
        <v>8</v>
      </c>
      <c r="G1321">
        <v>3660</v>
      </c>
      <c r="H1321">
        <v>16.8</v>
      </c>
      <c r="I1321">
        <v>24360.959999999999</v>
      </c>
      <c r="J1321" t="s">
        <v>87</v>
      </c>
      <c r="K1321" t="s">
        <v>99</v>
      </c>
      <c r="L1321" t="s">
        <v>99</v>
      </c>
      <c r="M1321" t="s">
        <v>2806</v>
      </c>
      <c r="N1321" t="s">
        <v>2879</v>
      </c>
      <c r="O1321">
        <v>2214</v>
      </c>
      <c r="P1321">
        <v>3660</v>
      </c>
    </row>
    <row r="1322" spans="1:16" x14ac:dyDescent="0.3">
      <c r="A1322" t="s">
        <v>2250</v>
      </c>
      <c r="B1322" s="45">
        <v>45494</v>
      </c>
      <c r="C1322" t="s">
        <v>565</v>
      </c>
      <c r="D1322" t="s">
        <v>245</v>
      </c>
      <c r="E1322" t="s">
        <v>325</v>
      </c>
      <c r="F1322">
        <v>2</v>
      </c>
      <c r="G1322">
        <v>2270</v>
      </c>
      <c r="H1322">
        <v>8.6</v>
      </c>
      <c r="I1322">
        <v>4149.5600000000004</v>
      </c>
      <c r="J1322" t="s">
        <v>140</v>
      </c>
      <c r="K1322" t="s">
        <v>112</v>
      </c>
      <c r="L1322" t="s">
        <v>112</v>
      </c>
      <c r="M1322" t="s">
        <v>2806</v>
      </c>
      <c r="N1322" t="s">
        <v>2871</v>
      </c>
      <c r="O1322">
        <v>1412</v>
      </c>
      <c r="P1322">
        <v>2270</v>
      </c>
    </row>
    <row r="1323" spans="1:16" x14ac:dyDescent="0.3">
      <c r="A1323" t="s">
        <v>2252</v>
      </c>
      <c r="B1323" s="45">
        <v>45561</v>
      </c>
      <c r="C1323" t="s">
        <v>606</v>
      </c>
      <c r="D1323" t="s">
        <v>351</v>
      </c>
      <c r="E1323" t="s">
        <v>188</v>
      </c>
      <c r="F1323">
        <v>2</v>
      </c>
      <c r="G1323">
        <v>4060</v>
      </c>
      <c r="H1323">
        <v>3.8</v>
      </c>
      <c r="I1323">
        <v>7811.44</v>
      </c>
      <c r="J1323" t="s">
        <v>87</v>
      </c>
      <c r="K1323" t="s">
        <v>112</v>
      </c>
      <c r="L1323" t="s">
        <v>112</v>
      </c>
      <c r="M1323" t="s">
        <v>2806</v>
      </c>
      <c r="N1323" t="s">
        <v>2871</v>
      </c>
      <c r="O1323">
        <v>2911</v>
      </c>
      <c r="P1323">
        <v>4060</v>
      </c>
    </row>
    <row r="1324" spans="1:16" x14ac:dyDescent="0.3">
      <c r="A1324" t="s">
        <v>2253</v>
      </c>
      <c r="B1324" s="45">
        <v>45488</v>
      </c>
      <c r="C1324" t="s">
        <v>278</v>
      </c>
      <c r="D1324" t="s">
        <v>234</v>
      </c>
      <c r="E1324" t="s">
        <v>325</v>
      </c>
      <c r="F1324">
        <v>1</v>
      </c>
      <c r="G1324">
        <v>3780</v>
      </c>
      <c r="H1324">
        <v>27.9</v>
      </c>
      <c r="I1324">
        <v>2725.38</v>
      </c>
      <c r="J1324" t="s">
        <v>87</v>
      </c>
      <c r="K1324" t="s">
        <v>133</v>
      </c>
      <c r="L1324" t="s">
        <v>133</v>
      </c>
      <c r="M1324" t="s">
        <v>2806</v>
      </c>
      <c r="N1324" t="s">
        <v>2855</v>
      </c>
      <c r="O1324">
        <v>2436</v>
      </c>
      <c r="P1324">
        <v>3780</v>
      </c>
    </row>
    <row r="1325" spans="1:16" x14ac:dyDescent="0.3">
      <c r="A1325" t="s">
        <v>2254</v>
      </c>
      <c r="B1325" s="45">
        <v>45617</v>
      </c>
      <c r="C1325" t="s">
        <v>258</v>
      </c>
      <c r="D1325" t="s">
        <v>367</v>
      </c>
      <c r="E1325" t="s">
        <v>285</v>
      </c>
      <c r="F1325">
        <v>8</v>
      </c>
      <c r="G1325">
        <v>2380</v>
      </c>
      <c r="H1325">
        <v>3.8</v>
      </c>
      <c r="I1325">
        <v>18316.48</v>
      </c>
      <c r="J1325" t="s">
        <v>87</v>
      </c>
      <c r="K1325" t="s">
        <v>99</v>
      </c>
      <c r="L1325" t="s">
        <v>99</v>
      </c>
      <c r="M1325" t="s">
        <v>2806</v>
      </c>
      <c r="N1325" t="s">
        <v>2855</v>
      </c>
      <c r="O1325">
        <v>1182</v>
      </c>
      <c r="P1325">
        <v>2380</v>
      </c>
    </row>
    <row r="1326" spans="1:16" x14ac:dyDescent="0.3">
      <c r="A1326" t="s">
        <v>2255</v>
      </c>
      <c r="B1326" s="45">
        <v>45378</v>
      </c>
      <c r="C1326" t="s">
        <v>289</v>
      </c>
      <c r="D1326" t="s">
        <v>264</v>
      </c>
      <c r="E1326" t="s">
        <v>116</v>
      </c>
      <c r="F1326">
        <v>7</v>
      </c>
      <c r="G1326">
        <v>4070</v>
      </c>
      <c r="H1326">
        <v>0.3</v>
      </c>
      <c r="I1326">
        <v>28404.53</v>
      </c>
      <c r="J1326" t="s">
        <v>87</v>
      </c>
      <c r="K1326" t="s">
        <v>94</v>
      </c>
      <c r="L1326" t="s">
        <v>94</v>
      </c>
      <c r="M1326" t="s">
        <v>2806</v>
      </c>
      <c r="N1326" t="s">
        <v>2862</v>
      </c>
      <c r="O1326">
        <v>2027</v>
      </c>
      <c r="P1326">
        <v>4070</v>
      </c>
    </row>
    <row r="1327" spans="1:16" x14ac:dyDescent="0.3">
      <c r="A1327" t="s">
        <v>2268</v>
      </c>
      <c r="B1327" s="45">
        <v>45609</v>
      </c>
      <c r="C1327" t="s">
        <v>403</v>
      </c>
      <c r="D1327" t="s">
        <v>200</v>
      </c>
      <c r="E1327" t="s">
        <v>215</v>
      </c>
      <c r="F1327">
        <v>3</v>
      </c>
      <c r="G1327">
        <v>2760</v>
      </c>
      <c r="H1327">
        <v>2.4</v>
      </c>
      <c r="I1327">
        <v>8081.28</v>
      </c>
      <c r="J1327" t="s">
        <v>87</v>
      </c>
      <c r="K1327" t="s">
        <v>117</v>
      </c>
      <c r="L1327" t="s">
        <v>117</v>
      </c>
      <c r="M1327" t="s">
        <v>2806</v>
      </c>
      <c r="N1327" t="s">
        <v>2855</v>
      </c>
      <c r="O1327">
        <v>1435</v>
      </c>
      <c r="P1327">
        <v>2760</v>
      </c>
    </row>
    <row r="1328" spans="1:16" x14ac:dyDescent="0.3">
      <c r="A1328" t="s">
        <v>2271</v>
      </c>
      <c r="B1328" s="45">
        <v>45329</v>
      </c>
      <c r="C1328" t="s">
        <v>1234</v>
      </c>
      <c r="D1328" t="s">
        <v>338</v>
      </c>
      <c r="E1328" t="s">
        <v>215</v>
      </c>
      <c r="F1328">
        <v>6</v>
      </c>
      <c r="G1328">
        <v>2210</v>
      </c>
      <c r="H1328">
        <v>28.3</v>
      </c>
      <c r="I1328">
        <v>9507.42</v>
      </c>
      <c r="J1328" t="s">
        <v>140</v>
      </c>
      <c r="K1328" t="s">
        <v>112</v>
      </c>
      <c r="L1328" t="s">
        <v>112</v>
      </c>
      <c r="M1328" t="s">
        <v>2806</v>
      </c>
      <c r="N1328" t="s">
        <v>2855</v>
      </c>
      <c r="O1328">
        <v>1010</v>
      </c>
      <c r="P1328">
        <v>2210</v>
      </c>
    </row>
    <row r="1329" spans="1:16" x14ac:dyDescent="0.3">
      <c r="A1329" t="s">
        <v>2283</v>
      </c>
      <c r="B1329" s="45">
        <v>45610</v>
      </c>
      <c r="C1329" t="s">
        <v>563</v>
      </c>
      <c r="D1329" t="s">
        <v>102</v>
      </c>
      <c r="E1329" t="s">
        <v>86</v>
      </c>
      <c r="F1329">
        <v>9</v>
      </c>
      <c r="G1329">
        <v>3660</v>
      </c>
      <c r="H1329">
        <v>9.3000000000000007</v>
      </c>
      <c r="I1329">
        <v>29876.58</v>
      </c>
      <c r="J1329" t="s">
        <v>140</v>
      </c>
      <c r="K1329" t="s">
        <v>88</v>
      </c>
      <c r="L1329" t="s">
        <v>88</v>
      </c>
      <c r="M1329" t="s">
        <v>2806</v>
      </c>
      <c r="N1329" t="s">
        <v>2879</v>
      </c>
      <c r="O1329">
        <v>2214</v>
      </c>
      <c r="P1329">
        <v>3660</v>
      </c>
    </row>
    <row r="1330" spans="1:16" x14ac:dyDescent="0.3">
      <c r="A1330" t="s">
        <v>2288</v>
      </c>
      <c r="B1330" s="45">
        <v>45535</v>
      </c>
      <c r="C1330" t="s">
        <v>621</v>
      </c>
      <c r="D1330" t="s">
        <v>131</v>
      </c>
      <c r="E1330" t="s">
        <v>139</v>
      </c>
      <c r="F1330">
        <v>3</v>
      </c>
      <c r="G1330">
        <v>2270</v>
      </c>
      <c r="H1330">
        <v>12.6</v>
      </c>
      <c r="I1330">
        <v>5951.94</v>
      </c>
      <c r="J1330" t="s">
        <v>87</v>
      </c>
      <c r="K1330" t="s">
        <v>94</v>
      </c>
      <c r="L1330" t="s">
        <v>94</v>
      </c>
      <c r="M1330" t="s">
        <v>2806</v>
      </c>
      <c r="N1330" t="s">
        <v>2871</v>
      </c>
      <c r="O1330">
        <v>1203</v>
      </c>
      <c r="P1330">
        <v>2270</v>
      </c>
    </row>
    <row r="1331" spans="1:16" x14ac:dyDescent="0.3">
      <c r="A1331" t="s">
        <v>2299</v>
      </c>
      <c r="B1331" s="45">
        <v>45578</v>
      </c>
      <c r="C1331" t="s">
        <v>206</v>
      </c>
      <c r="D1331" t="s">
        <v>234</v>
      </c>
      <c r="E1331" t="s">
        <v>92</v>
      </c>
      <c r="F1331">
        <v>10</v>
      </c>
      <c r="G1331">
        <v>3780</v>
      </c>
      <c r="H1331">
        <v>23.7</v>
      </c>
      <c r="I1331">
        <v>28841.4</v>
      </c>
      <c r="J1331" t="s">
        <v>87</v>
      </c>
      <c r="K1331" t="s">
        <v>133</v>
      </c>
      <c r="L1331" t="s">
        <v>133</v>
      </c>
      <c r="M1331" t="s">
        <v>2806</v>
      </c>
      <c r="N1331" t="s">
        <v>2855</v>
      </c>
      <c r="O1331">
        <v>2436</v>
      </c>
      <c r="P1331">
        <v>3780</v>
      </c>
    </row>
    <row r="1332" spans="1:16" x14ac:dyDescent="0.3">
      <c r="A1332" t="s">
        <v>2305</v>
      </c>
      <c r="B1332" s="45">
        <v>45429</v>
      </c>
      <c r="C1332" t="s">
        <v>310</v>
      </c>
      <c r="D1332" t="s">
        <v>338</v>
      </c>
      <c r="E1332" t="s">
        <v>188</v>
      </c>
      <c r="F1332">
        <v>3</v>
      </c>
      <c r="G1332">
        <v>2210</v>
      </c>
      <c r="H1332">
        <v>11</v>
      </c>
      <c r="I1332">
        <v>5900.7</v>
      </c>
      <c r="J1332" t="s">
        <v>87</v>
      </c>
      <c r="K1332" t="s">
        <v>117</v>
      </c>
      <c r="L1332" t="s">
        <v>117</v>
      </c>
      <c r="M1332" t="s">
        <v>2806</v>
      </c>
      <c r="N1332" t="s">
        <v>2855</v>
      </c>
      <c r="O1332">
        <v>1010</v>
      </c>
      <c r="P1332">
        <v>2210</v>
      </c>
    </row>
    <row r="1333" spans="1:16" x14ac:dyDescent="0.3">
      <c r="A1333" t="s">
        <v>2317</v>
      </c>
      <c r="B1333" s="45">
        <v>45559</v>
      </c>
      <c r="C1333" t="s">
        <v>1193</v>
      </c>
      <c r="D1333" t="s">
        <v>127</v>
      </c>
      <c r="E1333" t="s">
        <v>215</v>
      </c>
      <c r="F1333">
        <v>8</v>
      </c>
      <c r="G1333">
        <v>970</v>
      </c>
      <c r="H1333">
        <v>13.1</v>
      </c>
      <c r="I1333">
        <v>6743.44</v>
      </c>
      <c r="J1333" t="s">
        <v>87</v>
      </c>
      <c r="K1333" t="s">
        <v>133</v>
      </c>
      <c r="L1333" t="s">
        <v>133</v>
      </c>
      <c r="M1333" t="s">
        <v>2806</v>
      </c>
      <c r="N1333" t="s">
        <v>2862</v>
      </c>
      <c r="O1333">
        <v>434</v>
      </c>
      <c r="P1333">
        <v>970</v>
      </c>
    </row>
    <row r="1334" spans="1:16" x14ac:dyDescent="0.3">
      <c r="A1334" t="s">
        <v>2327</v>
      </c>
      <c r="B1334" s="45">
        <v>45370</v>
      </c>
      <c r="C1334" t="s">
        <v>160</v>
      </c>
      <c r="D1334" t="s">
        <v>102</v>
      </c>
      <c r="E1334" t="s">
        <v>121</v>
      </c>
      <c r="F1334">
        <v>5</v>
      </c>
      <c r="G1334">
        <v>3660</v>
      </c>
      <c r="H1334">
        <v>28.7</v>
      </c>
      <c r="I1334">
        <v>13047.9</v>
      </c>
      <c r="J1334" t="s">
        <v>87</v>
      </c>
      <c r="K1334" t="s">
        <v>112</v>
      </c>
      <c r="L1334" t="s">
        <v>112</v>
      </c>
      <c r="M1334" t="s">
        <v>2806</v>
      </c>
      <c r="N1334" t="s">
        <v>2879</v>
      </c>
      <c r="O1334">
        <v>2214</v>
      </c>
      <c r="P1334">
        <v>3660</v>
      </c>
    </row>
    <row r="1335" spans="1:16" x14ac:dyDescent="0.3">
      <c r="A1335" t="s">
        <v>2344</v>
      </c>
      <c r="B1335" s="45">
        <v>45390</v>
      </c>
      <c r="C1335" t="s">
        <v>582</v>
      </c>
      <c r="D1335" t="s">
        <v>131</v>
      </c>
      <c r="E1335" t="s">
        <v>128</v>
      </c>
      <c r="F1335">
        <v>5</v>
      </c>
      <c r="G1335">
        <v>2270</v>
      </c>
      <c r="H1335">
        <v>12.4</v>
      </c>
      <c r="I1335">
        <v>9942.6</v>
      </c>
      <c r="J1335" t="s">
        <v>87</v>
      </c>
      <c r="K1335" t="s">
        <v>94</v>
      </c>
      <c r="L1335" t="s">
        <v>94</v>
      </c>
      <c r="M1335" t="s">
        <v>2806</v>
      </c>
      <c r="N1335" t="s">
        <v>2871</v>
      </c>
      <c r="O1335">
        <v>1203</v>
      </c>
      <c r="P1335">
        <v>2270</v>
      </c>
    </row>
    <row r="1336" spans="1:16" x14ac:dyDescent="0.3">
      <c r="A1336" t="s">
        <v>2349</v>
      </c>
      <c r="B1336" s="45">
        <v>45453</v>
      </c>
      <c r="C1336" t="s">
        <v>638</v>
      </c>
      <c r="D1336" t="s">
        <v>245</v>
      </c>
      <c r="E1336" t="s">
        <v>128</v>
      </c>
      <c r="F1336">
        <v>6</v>
      </c>
      <c r="G1336">
        <v>2270</v>
      </c>
      <c r="H1336">
        <v>23.1</v>
      </c>
      <c r="I1336">
        <v>10473.780000000001</v>
      </c>
      <c r="J1336" t="s">
        <v>87</v>
      </c>
      <c r="K1336" t="s">
        <v>99</v>
      </c>
      <c r="L1336" t="s">
        <v>99</v>
      </c>
      <c r="M1336" t="s">
        <v>2806</v>
      </c>
      <c r="N1336" t="s">
        <v>2862</v>
      </c>
      <c r="O1336">
        <v>1412</v>
      </c>
      <c r="P1336">
        <v>2270</v>
      </c>
    </row>
    <row r="1337" spans="1:16" x14ac:dyDescent="0.3">
      <c r="A1337" t="s">
        <v>2350</v>
      </c>
      <c r="B1337" s="45">
        <v>45605</v>
      </c>
      <c r="C1337" t="s">
        <v>142</v>
      </c>
      <c r="D1337" t="s">
        <v>264</v>
      </c>
      <c r="E1337" t="s">
        <v>132</v>
      </c>
      <c r="F1337">
        <v>6</v>
      </c>
      <c r="G1337">
        <v>4070</v>
      </c>
      <c r="H1337">
        <v>28.9</v>
      </c>
      <c r="I1337">
        <v>17362.62</v>
      </c>
      <c r="J1337" t="s">
        <v>87</v>
      </c>
      <c r="K1337" t="s">
        <v>88</v>
      </c>
      <c r="L1337" t="s">
        <v>88</v>
      </c>
      <c r="M1337" t="s">
        <v>2806</v>
      </c>
      <c r="N1337" t="s">
        <v>2855</v>
      </c>
      <c r="O1337">
        <v>2027</v>
      </c>
      <c r="P1337">
        <v>4070</v>
      </c>
    </row>
    <row r="1338" spans="1:16" x14ac:dyDescent="0.3">
      <c r="A1338" t="s">
        <v>2354</v>
      </c>
      <c r="B1338" s="45">
        <v>45365</v>
      </c>
      <c r="C1338" t="s">
        <v>322</v>
      </c>
      <c r="D1338" t="s">
        <v>234</v>
      </c>
      <c r="E1338" t="s">
        <v>116</v>
      </c>
      <c r="F1338">
        <v>1</v>
      </c>
      <c r="G1338">
        <v>3780</v>
      </c>
      <c r="H1338">
        <v>16.3</v>
      </c>
      <c r="I1338">
        <v>3163.86</v>
      </c>
      <c r="J1338" t="s">
        <v>140</v>
      </c>
      <c r="K1338" t="s">
        <v>99</v>
      </c>
      <c r="L1338" t="s">
        <v>99</v>
      </c>
      <c r="M1338" t="s">
        <v>2806</v>
      </c>
      <c r="N1338" t="s">
        <v>2879</v>
      </c>
      <c r="O1338">
        <v>2436</v>
      </c>
      <c r="P1338">
        <v>3780</v>
      </c>
    </row>
    <row r="1339" spans="1:16" x14ac:dyDescent="0.3">
      <c r="A1339" t="s">
        <v>2357</v>
      </c>
      <c r="B1339" s="45">
        <v>45330</v>
      </c>
      <c r="C1339" t="s">
        <v>1261</v>
      </c>
      <c r="D1339" t="s">
        <v>367</v>
      </c>
      <c r="E1339" t="s">
        <v>111</v>
      </c>
      <c r="F1339">
        <v>8</v>
      </c>
      <c r="G1339">
        <v>2380</v>
      </c>
      <c r="H1339">
        <v>22.3</v>
      </c>
      <c r="I1339">
        <v>14794.08</v>
      </c>
      <c r="J1339" t="s">
        <v>144</v>
      </c>
      <c r="K1339" t="s">
        <v>117</v>
      </c>
      <c r="L1339" t="s">
        <v>117</v>
      </c>
      <c r="M1339" t="s">
        <v>2806</v>
      </c>
      <c r="N1339" t="s">
        <v>2855</v>
      </c>
      <c r="O1339">
        <v>1182</v>
      </c>
      <c r="P1339">
        <v>2380</v>
      </c>
    </row>
    <row r="1340" spans="1:16" x14ac:dyDescent="0.3">
      <c r="A1340" t="s">
        <v>2364</v>
      </c>
      <c r="B1340" s="45">
        <v>45648</v>
      </c>
      <c r="C1340" t="s">
        <v>1350</v>
      </c>
      <c r="D1340" t="s">
        <v>351</v>
      </c>
      <c r="E1340" t="s">
        <v>297</v>
      </c>
      <c r="F1340">
        <v>2</v>
      </c>
      <c r="G1340">
        <v>4060</v>
      </c>
      <c r="H1340">
        <v>11.3</v>
      </c>
      <c r="I1340">
        <v>7202.44</v>
      </c>
      <c r="J1340" t="s">
        <v>87</v>
      </c>
      <c r="K1340" t="s">
        <v>112</v>
      </c>
      <c r="L1340" t="s">
        <v>112</v>
      </c>
      <c r="M1340" t="s">
        <v>2806</v>
      </c>
      <c r="N1340" t="s">
        <v>2855</v>
      </c>
      <c r="O1340">
        <v>2911</v>
      </c>
      <c r="P1340">
        <v>4060</v>
      </c>
    </row>
    <row r="1341" spans="1:16" x14ac:dyDescent="0.3">
      <c r="A1341" t="s">
        <v>2369</v>
      </c>
      <c r="B1341" s="45">
        <v>45644</v>
      </c>
      <c r="C1341" t="s">
        <v>1816</v>
      </c>
      <c r="D1341" t="s">
        <v>367</v>
      </c>
      <c r="E1341" t="s">
        <v>188</v>
      </c>
      <c r="F1341">
        <v>9</v>
      </c>
      <c r="G1341">
        <v>2380</v>
      </c>
      <c r="H1341">
        <v>8.1</v>
      </c>
      <c r="I1341">
        <v>19684.98</v>
      </c>
      <c r="J1341" t="s">
        <v>140</v>
      </c>
      <c r="K1341" t="s">
        <v>99</v>
      </c>
      <c r="L1341" t="s">
        <v>99</v>
      </c>
      <c r="M1341" t="s">
        <v>2806</v>
      </c>
      <c r="N1341" t="s">
        <v>2862</v>
      </c>
      <c r="O1341">
        <v>1182</v>
      </c>
      <c r="P1341">
        <v>2380</v>
      </c>
    </row>
    <row r="1342" spans="1:16" x14ac:dyDescent="0.3">
      <c r="A1342" t="s">
        <v>2376</v>
      </c>
      <c r="B1342" s="45">
        <v>45629</v>
      </c>
      <c r="C1342" t="s">
        <v>225</v>
      </c>
      <c r="D1342" t="s">
        <v>245</v>
      </c>
      <c r="E1342" t="s">
        <v>297</v>
      </c>
      <c r="F1342">
        <v>4</v>
      </c>
      <c r="G1342">
        <v>2270</v>
      </c>
      <c r="H1342">
        <v>15.8</v>
      </c>
      <c r="I1342">
        <v>7645.36</v>
      </c>
      <c r="J1342" t="s">
        <v>87</v>
      </c>
      <c r="K1342" t="s">
        <v>94</v>
      </c>
      <c r="L1342" t="s">
        <v>94</v>
      </c>
      <c r="M1342" t="s">
        <v>2806</v>
      </c>
      <c r="N1342" t="s">
        <v>2871</v>
      </c>
      <c r="O1342">
        <v>1412</v>
      </c>
      <c r="P1342">
        <v>2270</v>
      </c>
    </row>
    <row r="1343" spans="1:16" x14ac:dyDescent="0.3">
      <c r="A1343" t="s">
        <v>2380</v>
      </c>
      <c r="B1343" s="45">
        <v>45465</v>
      </c>
      <c r="C1343" t="s">
        <v>563</v>
      </c>
      <c r="D1343" t="s">
        <v>127</v>
      </c>
      <c r="E1343" t="s">
        <v>139</v>
      </c>
      <c r="F1343">
        <v>6</v>
      </c>
      <c r="G1343">
        <v>970</v>
      </c>
      <c r="H1343">
        <v>21.6</v>
      </c>
      <c r="I1343">
        <v>4562.88</v>
      </c>
      <c r="J1343" t="s">
        <v>87</v>
      </c>
      <c r="K1343" t="s">
        <v>88</v>
      </c>
      <c r="L1343" t="s">
        <v>88</v>
      </c>
      <c r="M1343" t="s">
        <v>2806</v>
      </c>
      <c r="N1343" t="s">
        <v>2879</v>
      </c>
      <c r="O1343">
        <v>434</v>
      </c>
      <c r="P1343">
        <v>970</v>
      </c>
    </row>
    <row r="1344" spans="1:16" x14ac:dyDescent="0.3">
      <c r="A1344" t="s">
        <v>2381</v>
      </c>
      <c r="B1344" s="45">
        <v>45622</v>
      </c>
      <c r="C1344" t="s">
        <v>2382</v>
      </c>
      <c r="D1344" t="s">
        <v>338</v>
      </c>
      <c r="E1344" t="s">
        <v>229</v>
      </c>
      <c r="F1344">
        <v>3</v>
      </c>
      <c r="G1344">
        <v>2210</v>
      </c>
      <c r="H1344">
        <v>8.5</v>
      </c>
      <c r="I1344">
        <v>6066.45</v>
      </c>
      <c r="J1344" t="s">
        <v>87</v>
      </c>
      <c r="K1344" t="s">
        <v>99</v>
      </c>
      <c r="L1344" t="s">
        <v>99</v>
      </c>
      <c r="M1344" t="s">
        <v>2806</v>
      </c>
      <c r="N1344" t="s">
        <v>2855</v>
      </c>
      <c r="O1344">
        <v>1010</v>
      </c>
      <c r="P1344">
        <v>2210</v>
      </c>
    </row>
    <row r="1345" spans="1:16" x14ac:dyDescent="0.3">
      <c r="A1345" t="s">
        <v>2385</v>
      </c>
      <c r="B1345" s="45">
        <v>45392</v>
      </c>
      <c r="C1345" t="s">
        <v>487</v>
      </c>
      <c r="D1345" t="s">
        <v>338</v>
      </c>
      <c r="E1345" t="s">
        <v>285</v>
      </c>
      <c r="F1345">
        <v>2</v>
      </c>
      <c r="G1345">
        <v>2210</v>
      </c>
      <c r="H1345">
        <v>5.6</v>
      </c>
      <c r="I1345">
        <v>4172.4799999999996</v>
      </c>
      <c r="J1345" t="s">
        <v>140</v>
      </c>
      <c r="K1345" t="s">
        <v>88</v>
      </c>
      <c r="L1345" t="s">
        <v>88</v>
      </c>
      <c r="M1345" t="s">
        <v>2806</v>
      </c>
      <c r="N1345" t="s">
        <v>2855</v>
      </c>
      <c r="O1345">
        <v>1010</v>
      </c>
      <c r="P1345">
        <v>2210</v>
      </c>
    </row>
    <row r="1346" spans="1:16" x14ac:dyDescent="0.3">
      <c r="A1346" t="s">
        <v>2390</v>
      </c>
      <c r="B1346" s="45">
        <v>45640</v>
      </c>
      <c r="C1346" t="s">
        <v>266</v>
      </c>
      <c r="D1346" t="s">
        <v>102</v>
      </c>
      <c r="E1346" t="s">
        <v>132</v>
      </c>
      <c r="F1346">
        <v>1</v>
      </c>
      <c r="G1346">
        <v>3660</v>
      </c>
      <c r="H1346">
        <v>1.5</v>
      </c>
      <c r="I1346">
        <v>3605.1</v>
      </c>
      <c r="J1346" t="s">
        <v>93</v>
      </c>
      <c r="K1346" t="s">
        <v>99</v>
      </c>
      <c r="L1346" t="s">
        <v>99</v>
      </c>
      <c r="M1346" t="s">
        <v>2806</v>
      </c>
      <c r="N1346" t="s">
        <v>2855</v>
      </c>
      <c r="O1346">
        <v>2214</v>
      </c>
      <c r="P1346">
        <v>3660</v>
      </c>
    </row>
    <row r="1347" spans="1:16" x14ac:dyDescent="0.3">
      <c r="A1347" t="s">
        <v>2393</v>
      </c>
      <c r="B1347" s="45">
        <v>45412</v>
      </c>
      <c r="C1347" t="s">
        <v>101</v>
      </c>
      <c r="D1347" t="s">
        <v>264</v>
      </c>
      <c r="E1347" t="s">
        <v>107</v>
      </c>
      <c r="F1347">
        <v>2</v>
      </c>
      <c r="G1347">
        <v>4070</v>
      </c>
      <c r="H1347">
        <v>10.8</v>
      </c>
      <c r="I1347">
        <v>7260.88</v>
      </c>
      <c r="J1347" t="s">
        <v>87</v>
      </c>
      <c r="K1347" t="s">
        <v>99</v>
      </c>
      <c r="L1347" t="s">
        <v>99</v>
      </c>
      <c r="M1347" t="s">
        <v>2806</v>
      </c>
      <c r="N1347" t="s">
        <v>2855</v>
      </c>
      <c r="O1347">
        <v>2027</v>
      </c>
      <c r="P1347">
        <v>4070</v>
      </c>
    </row>
    <row r="1348" spans="1:16" x14ac:dyDescent="0.3">
      <c r="A1348" t="s">
        <v>2395</v>
      </c>
      <c r="B1348" s="45">
        <v>45622</v>
      </c>
      <c r="C1348" t="s">
        <v>673</v>
      </c>
      <c r="D1348" t="s">
        <v>200</v>
      </c>
      <c r="E1348" t="s">
        <v>139</v>
      </c>
      <c r="F1348">
        <v>1</v>
      </c>
      <c r="G1348">
        <v>2760</v>
      </c>
      <c r="H1348">
        <v>2.5</v>
      </c>
      <c r="I1348">
        <v>2691</v>
      </c>
      <c r="J1348" t="s">
        <v>140</v>
      </c>
      <c r="K1348" t="s">
        <v>112</v>
      </c>
      <c r="L1348" t="s">
        <v>112</v>
      </c>
      <c r="M1348" t="s">
        <v>2806</v>
      </c>
      <c r="N1348" t="s">
        <v>2862</v>
      </c>
      <c r="O1348">
        <v>1435</v>
      </c>
      <c r="P1348">
        <v>2760</v>
      </c>
    </row>
    <row r="1349" spans="1:16" x14ac:dyDescent="0.3">
      <c r="A1349" t="s">
        <v>2397</v>
      </c>
      <c r="B1349" s="45">
        <v>45580</v>
      </c>
      <c r="C1349" t="s">
        <v>606</v>
      </c>
      <c r="D1349" t="s">
        <v>367</v>
      </c>
      <c r="E1349" t="s">
        <v>285</v>
      </c>
      <c r="F1349">
        <v>10</v>
      </c>
      <c r="G1349">
        <v>2380</v>
      </c>
      <c r="H1349">
        <v>28.3</v>
      </c>
      <c r="I1349">
        <v>17064.599999999999</v>
      </c>
      <c r="J1349" t="s">
        <v>87</v>
      </c>
      <c r="K1349" t="s">
        <v>112</v>
      </c>
      <c r="L1349" t="s">
        <v>112</v>
      </c>
      <c r="M1349" t="s">
        <v>2806</v>
      </c>
      <c r="N1349" t="s">
        <v>2862</v>
      </c>
      <c r="O1349">
        <v>1182</v>
      </c>
      <c r="P1349">
        <v>2380</v>
      </c>
    </row>
    <row r="1350" spans="1:16" x14ac:dyDescent="0.3">
      <c r="A1350" t="s">
        <v>2399</v>
      </c>
      <c r="B1350" s="45">
        <v>45417</v>
      </c>
      <c r="C1350" t="s">
        <v>156</v>
      </c>
      <c r="D1350" t="s">
        <v>200</v>
      </c>
      <c r="E1350" t="s">
        <v>139</v>
      </c>
      <c r="F1350">
        <v>6</v>
      </c>
      <c r="G1350">
        <v>2760</v>
      </c>
      <c r="H1350">
        <v>16.5</v>
      </c>
      <c r="I1350">
        <v>13827.6</v>
      </c>
      <c r="J1350" t="s">
        <v>87</v>
      </c>
      <c r="K1350" t="s">
        <v>133</v>
      </c>
      <c r="L1350" t="s">
        <v>133</v>
      </c>
      <c r="M1350" t="s">
        <v>2806</v>
      </c>
      <c r="N1350" t="s">
        <v>2879</v>
      </c>
      <c r="O1350">
        <v>1435</v>
      </c>
      <c r="P1350">
        <v>2760</v>
      </c>
    </row>
    <row r="1351" spans="1:16" x14ac:dyDescent="0.3">
      <c r="A1351" t="s">
        <v>2400</v>
      </c>
      <c r="B1351" s="45">
        <v>45523</v>
      </c>
      <c r="C1351" t="s">
        <v>518</v>
      </c>
      <c r="D1351" t="s">
        <v>351</v>
      </c>
      <c r="E1351" t="s">
        <v>343</v>
      </c>
      <c r="F1351">
        <v>5</v>
      </c>
      <c r="G1351">
        <v>4060</v>
      </c>
      <c r="H1351">
        <v>22.5</v>
      </c>
      <c r="I1351">
        <v>15732.5</v>
      </c>
      <c r="J1351" t="s">
        <v>87</v>
      </c>
      <c r="K1351" t="s">
        <v>88</v>
      </c>
      <c r="L1351" t="s">
        <v>88</v>
      </c>
      <c r="M1351" t="s">
        <v>2806</v>
      </c>
      <c r="N1351" t="s">
        <v>2879</v>
      </c>
      <c r="O1351">
        <v>2911</v>
      </c>
      <c r="P1351">
        <v>4060</v>
      </c>
    </row>
    <row r="1352" spans="1:16" x14ac:dyDescent="0.3">
      <c r="A1352" t="s">
        <v>2403</v>
      </c>
      <c r="B1352" s="45">
        <v>45383</v>
      </c>
      <c r="C1352" t="s">
        <v>278</v>
      </c>
      <c r="D1352" t="s">
        <v>338</v>
      </c>
      <c r="E1352" t="s">
        <v>128</v>
      </c>
      <c r="F1352">
        <v>6</v>
      </c>
      <c r="G1352">
        <v>2210</v>
      </c>
      <c r="H1352">
        <v>22.5</v>
      </c>
      <c r="I1352">
        <v>10276.5</v>
      </c>
      <c r="J1352" t="s">
        <v>140</v>
      </c>
      <c r="K1352" t="s">
        <v>133</v>
      </c>
      <c r="L1352" t="s">
        <v>133</v>
      </c>
      <c r="M1352" t="s">
        <v>2806</v>
      </c>
      <c r="N1352" t="s">
        <v>2855</v>
      </c>
      <c r="O1352">
        <v>1010</v>
      </c>
      <c r="P1352">
        <v>2210</v>
      </c>
    </row>
    <row r="1353" spans="1:16" x14ac:dyDescent="0.3">
      <c r="A1353" t="s">
        <v>2404</v>
      </c>
      <c r="B1353" s="45">
        <v>45420</v>
      </c>
      <c r="C1353" t="s">
        <v>546</v>
      </c>
      <c r="D1353" t="s">
        <v>338</v>
      </c>
      <c r="E1353" t="s">
        <v>273</v>
      </c>
      <c r="F1353">
        <v>4</v>
      </c>
      <c r="G1353">
        <v>2210</v>
      </c>
      <c r="H1353">
        <v>21.5</v>
      </c>
      <c r="I1353">
        <v>6939.4</v>
      </c>
      <c r="J1353" t="s">
        <v>93</v>
      </c>
      <c r="K1353" t="s">
        <v>99</v>
      </c>
      <c r="L1353" t="s">
        <v>99</v>
      </c>
      <c r="M1353" t="s">
        <v>2806</v>
      </c>
      <c r="N1353" t="s">
        <v>2862</v>
      </c>
      <c r="O1353">
        <v>1010</v>
      </c>
      <c r="P1353">
        <v>2210</v>
      </c>
    </row>
    <row r="1354" spans="1:16" x14ac:dyDescent="0.3">
      <c r="A1354" t="s">
        <v>2415</v>
      </c>
      <c r="B1354" s="45">
        <v>45600</v>
      </c>
      <c r="C1354" t="s">
        <v>910</v>
      </c>
      <c r="D1354" t="s">
        <v>234</v>
      </c>
      <c r="E1354" t="s">
        <v>98</v>
      </c>
      <c r="F1354">
        <v>1</v>
      </c>
      <c r="G1354">
        <v>3780</v>
      </c>
      <c r="H1354">
        <v>13.7</v>
      </c>
      <c r="I1354">
        <v>3262.14</v>
      </c>
      <c r="J1354" t="s">
        <v>87</v>
      </c>
      <c r="K1354" t="s">
        <v>99</v>
      </c>
      <c r="L1354" t="s">
        <v>99</v>
      </c>
      <c r="M1354" t="s">
        <v>2806</v>
      </c>
      <c r="N1354" t="s">
        <v>2862</v>
      </c>
      <c r="O1354">
        <v>2436</v>
      </c>
      <c r="P1354">
        <v>3780</v>
      </c>
    </row>
    <row r="1355" spans="1:16" x14ac:dyDescent="0.3">
      <c r="A1355" t="s">
        <v>2420</v>
      </c>
      <c r="B1355" s="45">
        <v>45444</v>
      </c>
      <c r="C1355" t="s">
        <v>359</v>
      </c>
      <c r="D1355" t="s">
        <v>367</v>
      </c>
      <c r="E1355" t="s">
        <v>238</v>
      </c>
      <c r="F1355">
        <v>10</v>
      </c>
      <c r="G1355">
        <v>2380</v>
      </c>
      <c r="H1355">
        <v>1</v>
      </c>
      <c r="I1355">
        <v>23562</v>
      </c>
      <c r="J1355" t="s">
        <v>87</v>
      </c>
      <c r="K1355" t="s">
        <v>99</v>
      </c>
      <c r="L1355" t="s">
        <v>99</v>
      </c>
      <c r="M1355" t="s">
        <v>2806</v>
      </c>
      <c r="N1355" t="s">
        <v>2855</v>
      </c>
      <c r="O1355">
        <v>1182</v>
      </c>
      <c r="P1355">
        <v>2380</v>
      </c>
    </row>
    <row r="1356" spans="1:16" x14ac:dyDescent="0.3">
      <c r="A1356" t="s">
        <v>2427</v>
      </c>
      <c r="B1356" s="45">
        <v>45349</v>
      </c>
      <c r="C1356" t="s">
        <v>555</v>
      </c>
      <c r="D1356" t="s">
        <v>127</v>
      </c>
      <c r="E1356" t="s">
        <v>215</v>
      </c>
      <c r="F1356">
        <v>6</v>
      </c>
      <c r="G1356">
        <v>970</v>
      </c>
      <c r="H1356">
        <v>22.5</v>
      </c>
      <c r="I1356">
        <v>4510.5</v>
      </c>
      <c r="J1356" t="s">
        <v>144</v>
      </c>
      <c r="K1356" t="s">
        <v>112</v>
      </c>
      <c r="L1356" t="s">
        <v>112</v>
      </c>
      <c r="M1356" t="s">
        <v>2806</v>
      </c>
      <c r="N1356" t="s">
        <v>2879</v>
      </c>
      <c r="O1356">
        <v>434</v>
      </c>
      <c r="P1356">
        <v>970</v>
      </c>
    </row>
    <row r="1357" spans="1:16" x14ac:dyDescent="0.3">
      <c r="A1357" t="s">
        <v>2431</v>
      </c>
      <c r="B1357" s="45">
        <v>45365</v>
      </c>
      <c r="C1357" t="s">
        <v>266</v>
      </c>
      <c r="D1357" t="s">
        <v>131</v>
      </c>
      <c r="E1357" t="s">
        <v>273</v>
      </c>
      <c r="F1357">
        <v>3</v>
      </c>
      <c r="G1357">
        <v>2270</v>
      </c>
      <c r="H1357">
        <v>8.4</v>
      </c>
      <c r="I1357">
        <v>6237.96</v>
      </c>
      <c r="J1357" t="s">
        <v>93</v>
      </c>
      <c r="K1357" t="s">
        <v>99</v>
      </c>
      <c r="L1357" t="s">
        <v>99</v>
      </c>
      <c r="M1357" t="s">
        <v>2806</v>
      </c>
      <c r="N1357" t="s">
        <v>2879</v>
      </c>
      <c r="O1357">
        <v>1203</v>
      </c>
      <c r="P1357">
        <v>2270</v>
      </c>
    </row>
    <row r="1358" spans="1:16" x14ac:dyDescent="0.3">
      <c r="A1358" t="s">
        <v>2436</v>
      </c>
      <c r="B1358" s="45">
        <v>45352</v>
      </c>
      <c r="C1358" t="s">
        <v>405</v>
      </c>
      <c r="D1358" t="s">
        <v>367</v>
      </c>
      <c r="E1358" t="s">
        <v>201</v>
      </c>
      <c r="F1358">
        <v>6</v>
      </c>
      <c r="G1358">
        <v>2380</v>
      </c>
      <c r="H1358">
        <v>13.6</v>
      </c>
      <c r="I1358">
        <v>12337.92</v>
      </c>
      <c r="J1358" t="s">
        <v>140</v>
      </c>
      <c r="K1358" t="s">
        <v>94</v>
      </c>
      <c r="L1358" t="s">
        <v>94</v>
      </c>
      <c r="M1358" t="s">
        <v>2806</v>
      </c>
      <c r="N1358" t="s">
        <v>2879</v>
      </c>
      <c r="O1358">
        <v>1182</v>
      </c>
      <c r="P1358">
        <v>2380</v>
      </c>
    </row>
    <row r="1359" spans="1:16" x14ac:dyDescent="0.3">
      <c r="A1359" t="s">
        <v>2448</v>
      </c>
      <c r="B1359" s="45">
        <v>45551</v>
      </c>
      <c r="C1359" t="s">
        <v>779</v>
      </c>
      <c r="D1359" t="s">
        <v>131</v>
      </c>
      <c r="E1359" t="s">
        <v>121</v>
      </c>
      <c r="F1359">
        <v>10</v>
      </c>
      <c r="G1359">
        <v>2270</v>
      </c>
      <c r="H1359">
        <v>5.5</v>
      </c>
      <c r="I1359">
        <v>21451.5</v>
      </c>
      <c r="J1359" t="s">
        <v>140</v>
      </c>
      <c r="K1359" t="s">
        <v>117</v>
      </c>
      <c r="L1359" t="s">
        <v>117</v>
      </c>
      <c r="M1359" t="s">
        <v>2806</v>
      </c>
      <c r="N1359" t="s">
        <v>2855</v>
      </c>
      <c r="O1359">
        <v>1203</v>
      </c>
      <c r="P1359">
        <v>2270</v>
      </c>
    </row>
    <row r="1360" spans="1:16" x14ac:dyDescent="0.3">
      <c r="A1360" t="s">
        <v>2459</v>
      </c>
      <c r="B1360" s="45">
        <v>45598</v>
      </c>
      <c r="C1360" t="s">
        <v>717</v>
      </c>
      <c r="D1360" t="s">
        <v>264</v>
      </c>
      <c r="E1360" t="s">
        <v>192</v>
      </c>
      <c r="F1360">
        <v>10</v>
      </c>
      <c r="G1360">
        <v>4070</v>
      </c>
      <c r="H1360">
        <v>11.6</v>
      </c>
      <c r="I1360">
        <v>35978.800000000003</v>
      </c>
      <c r="J1360" t="s">
        <v>87</v>
      </c>
      <c r="K1360" t="s">
        <v>94</v>
      </c>
      <c r="L1360" t="s">
        <v>94</v>
      </c>
      <c r="M1360" t="s">
        <v>2806</v>
      </c>
      <c r="N1360" t="s">
        <v>2862</v>
      </c>
      <c r="O1360">
        <v>2027</v>
      </c>
      <c r="P1360">
        <v>4070</v>
      </c>
    </row>
    <row r="1361" spans="1:16" x14ac:dyDescent="0.3">
      <c r="A1361" t="s">
        <v>2460</v>
      </c>
      <c r="B1361" s="45">
        <v>45336</v>
      </c>
      <c r="C1361" t="s">
        <v>797</v>
      </c>
      <c r="D1361" t="s">
        <v>102</v>
      </c>
      <c r="E1361" t="s">
        <v>121</v>
      </c>
      <c r="F1361">
        <v>10</v>
      </c>
      <c r="G1361">
        <v>3660</v>
      </c>
      <c r="H1361">
        <v>28.8</v>
      </c>
      <c r="I1361">
        <v>26059.200000000001</v>
      </c>
      <c r="J1361" t="s">
        <v>87</v>
      </c>
      <c r="K1361" t="s">
        <v>99</v>
      </c>
      <c r="L1361" t="s">
        <v>99</v>
      </c>
      <c r="M1361" t="s">
        <v>2806</v>
      </c>
      <c r="N1361" t="s">
        <v>2871</v>
      </c>
      <c r="O1361">
        <v>2214</v>
      </c>
      <c r="P1361">
        <v>3660</v>
      </c>
    </row>
    <row r="1362" spans="1:16" x14ac:dyDescent="0.3">
      <c r="A1362" t="s">
        <v>2488</v>
      </c>
      <c r="B1362" s="45">
        <v>45409</v>
      </c>
      <c r="C1362" t="s">
        <v>1051</v>
      </c>
      <c r="D1362" t="s">
        <v>234</v>
      </c>
      <c r="E1362" t="s">
        <v>139</v>
      </c>
      <c r="F1362">
        <v>1</v>
      </c>
      <c r="G1362">
        <v>3780</v>
      </c>
      <c r="H1362">
        <v>2.2000000000000002</v>
      </c>
      <c r="I1362">
        <v>3696.84</v>
      </c>
      <c r="J1362" t="s">
        <v>87</v>
      </c>
      <c r="K1362" t="s">
        <v>112</v>
      </c>
      <c r="L1362" t="s">
        <v>112</v>
      </c>
      <c r="M1362" t="s">
        <v>2806</v>
      </c>
      <c r="N1362" t="s">
        <v>2862</v>
      </c>
      <c r="O1362">
        <v>2436</v>
      </c>
      <c r="P1362">
        <v>3780</v>
      </c>
    </row>
    <row r="1363" spans="1:16" x14ac:dyDescent="0.3">
      <c r="A1363" t="s">
        <v>2498</v>
      </c>
      <c r="B1363" s="45">
        <v>45592</v>
      </c>
      <c r="C1363" t="s">
        <v>757</v>
      </c>
      <c r="D1363" t="s">
        <v>338</v>
      </c>
      <c r="E1363" t="s">
        <v>273</v>
      </c>
      <c r="F1363">
        <v>4</v>
      </c>
      <c r="G1363">
        <v>2210</v>
      </c>
      <c r="H1363">
        <v>18.2</v>
      </c>
      <c r="I1363">
        <v>7231.12</v>
      </c>
      <c r="J1363" t="s">
        <v>93</v>
      </c>
      <c r="K1363" t="s">
        <v>117</v>
      </c>
      <c r="L1363" t="s">
        <v>117</v>
      </c>
      <c r="M1363" t="s">
        <v>2806</v>
      </c>
      <c r="N1363" t="s">
        <v>2871</v>
      </c>
      <c r="O1363">
        <v>1010</v>
      </c>
      <c r="P1363">
        <v>2210</v>
      </c>
    </row>
    <row r="1364" spans="1:16" x14ac:dyDescent="0.3">
      <c r="A1364" t="s">
        <v>108</v>
      </c>
      <c r="B1364" s="45">
        <v>45406</v>
      </c>
      <c r="C1364" t="s">
        <v>109</v>
      </c>
      <c r="D1364" t="s">
        <v>110</v>
      </c>
      <c r="E1364" t="s">
        <v>111</v>
      </c>
      <c r="F1364">
        <v>4</v>
      </c>
      <c r="G1364">
        <v>370</v>
      </c>
      <c r="H1364">
        <v>29</v>
      </c>
      <c r="I1364">
        <v>1050.8</v>
      </c>
      <c r="J1364" t="s">
        <v>87</v>
      </c>
      <c r="K1364" t="s">
        <v>112</v>
      </c>
      <c r="L1364" t="s">
        <v>112</v>
      </c>
      <c r="M1364" t="s">
        <v>2817</v>
      </c>
      <c r="N1364" t="s">
        <v>2879</v>
      </c>
      <c r="O1364">
        <v>288</v>
      </c>
      <c r="P1364">
        <v>370</v>
      </c>
    </row>
    <row r="1365" spans="1:16" x14ac:dyDescent="0.3">
      <c r="A1365" t="s">
        <v>122</v>
      </c>
      <c r="B1365" s="45">
        <v>45549</v>
      </c>
      <c r="C1365" t="s">
        <v>123</v>
      </c>
      <c r="D1365" t="s">
        <v>124</v>
      </c>
      <c r="E1365" t="s">
        <v>107</v>
      </c>
      <c r="F1365">
        <v>3</v>
      </c>
      <c r="G1365">
        <v>5490</v>
      </c>
      <c r="H1365">
        <v>14.2</v>
      </c>
      <c r="I1365">
        <v>14131.26</v>
      </c>
      <c r="J1365" t="s">
        <v>87</v>
      </c>
      <c r="K1365" t="s">
        <v>117</v>
      </c>
      <c r="L1365" t="s">
        <v>117</v>
      </c>
      <c r="M1365" t="s">
        <v>2817</v>
      </c>
      <c r="N1365" t="s">
        <v>2855</v>
      </c>
      <c r="O1365">
        <v>2549</v>
      </c>
      <c r="P1365">
        <v>5490</v>
      </c>
    </row>
    <row r="1366" spans="1:16" x14ac:dyDescent="0.3">
      <c r="A1366" t="s">
        <v>141</v>
      </c>
      <c r="B1366" s="45">
        <v>45466</v>
      </c>
      <c r="C1366" t="s">
        <v>142</v>
      </c>
      <c r="D1366" t="s">
        <v>143</v>
      </c>
      <c r="E1366" t="s">
        <v>111</v>
      </c>
      <c r="F1366">
        <v>3</v>
      </c>
      <c r="G1366">
        <v>3250</v>
      </c>
      <c r="H1366">
        <v>14.1</v>
      </c>
      <c r="I1366">
        <v>8375.25</v>
      </c>
      <c r="J1366" t="s">
        <v>144</v>
      </c>
      <c r="K1366" t="s">
        <v>88</v>
      </c>
      <c r="L1366" t="s">
        <v>88</v>
      </c>
      <c r="M1366" t="s">
        <v>2817</v>
      </c>
      <c r="N1366" t="s">
        <v>2879</v>
      </c>
      <c r="O1366">
        <v>1556</v>
      </c>
      <c r="P1366">
        <v>3250</v>
      </c>
    </row>
    <row r="1367" spans="1:16" x14ac:dyDescent="0.3">
      <c r="A1367" t="s">
        <v>162</v>
      </c>
      <c r="B1367" s="45">
        <v>45394</v>
      </c>
      <c r="C1367" t="s">
        <v>163</v>
      </c>
      <c r="D1367" t="s">
        <v>164</v>
      </c>
      <c r="E1367" t="s">
        <v>154</v>
      </c>
      <c r="F1367">
        <v>8</v>
      </c>
      <c r="G1367">
        <v>1080</v>
      </c>
      <c r="H1367">
        <v>2.2000000000000002</v>
      </c>
      <c r="I1367">
        <v>8449.92</v>
      </c>
      <c r="J1367" t="s">
        <v>87</v>
      </c>
      <c r="K1367" t="s">
        <v>94</v>
      </c>
      <c r="L1367" t="s">
        <v>94</v>
      </c>
      <c r="M1367" t="s">
        <v>2817</v>
      </c>
      <c r="N1367" t="s">
        <v>2871</v>
      </c>
      <c r="O1367">
        <v>519</v>
      </c>
      <c r="P1367">
        <v>1080</v>
      </c>
    </row>
    <row r="1368" spans="1:16" x14ac:dyDescent="0.3">
      <c r="A1368" t="s">
        <v>168</v>
      </c>
      <c r="B1368" s="45">
        <v>45354</v>
      </c>
      <c r="C1368" t="s">
        <v>169</v>
      </c>
      <c r="D1368" t="s">
        <v>143</v>
      </c>
      <c r="E1368" t="s">
        <v>170</v>
      </c>
      <c r="F1368">
        <v>4</v>
      </c>
      <c r="G1368">
        <v>3250</v>
      </c>
      <c r="H1368">
        <v>24.6</v>
      </c>
      <c r="I1368">
        <v>9802</v>
      </c>
      <c r="J1368" t="s">
        <v>87</v>
      </c>
      <c r="K1368" t="s">
        <v>112</v>
      </c>
      <c r="L1368" t="s">
        <v>112</v>
      </c>
      <c r="M1368" t="s">
        <v>2817</v>
      </c>
      <c r="N1368" t="s">
        <v>2879</v>
      </c>
      <c r="O1368">
        <v>1556</v>
      </c>
      <c r="P1368">
        <v>3250</v>
      </c>
    </row>
    <row r="1369" spans="1:16" x14ac:dyDescent="0.3">
      <c r="A1369" t="s">
        <v>202</v>
      </c>
      <c r="B1369" s="45">
        <v>45343</v>
      </c>
      <c r="C1369" t="s">
        <v>156</v>
      </c>
      <c r="D1369" t="s">
        <v>203</v>
      </c>
      <c r="E1369" t="s">
        <v>204</v>
      </c>
      <c r="F1369">
        <v>10</v>
      </c>
      <c r="G1369">
        <v>660</v>
      </c>
      <c r="H1369">
        <v>18.3</v>
      </c>
      <c r="I1369">
        <v>5392.2</v>
      </c>
      <c r="J1369" t="s">
        <v>93</v>
      </c>
      <c r="K1369" t="s">
        <v>133</v>
      </c>
      <c r="L1369" t="s">
        <v>133</v>
      </c>
      <c r="M1369" t="s">
        <v>2817</v>
      </c>
      <c r="N1369" t="s">
        <v>2862</v>
      </c>
      <c r="O1369">
        <v>329</v>
      </c>
      <c r="P1369">
        <v>660</v>
      </c>
    </row>
    <row r="1370" spans="1:16" x14ac:dyDescent="0.3">
      <c r="A1370" t="s">
        <v>205</v>
      </c>
      <c r="B1370" s="45">
        <v>45576</v>
      </c>
      <c r="C1370" t="s">
        <v>206</v>
      </c>
      <c r="D1370" t="s">
        <v>143</v>
      </c>
      <c r="E1370" t="s">
        <v>121</v>
      </c>
      <c r="F1370">
        <v>1</v>
      </c>
      <c r="G1370">
        <v>3250</v>
      </c>
      <c r="H1370">
        <v>10.7</v>
      </c>
      <c r="I1370">
        <v>2902.25</v>
      </c>
      <c r="J1370" t="s">
        <v>87</v>
      </c>
      <c r="K1370" t="s">
        <v>133</v>
      </c>
      <c r="L1370" t="s">
        <v>133</v>
      </c>
      <c r="M1370" t="s">
        <v>2817</v>
      </c>
      <c r="N1370" t="s">
        <v>2871</v>
      </c>
      <c r="O1370">
        <v>1556</v>
      </c>
      <c r="P1370">
        <v>3250</v>
      </c>
    </row>
    <row r="1371" spans="1:16" x14ac:dyDescent="0.3">
      <c r="A1371" t="s">
        <v>209</v>
      </c>
      <c r="B1371" s="45">
        <v>45442</v>
      </c>
      <c r="C1371" t="s">
        <v>210</v>
      </c>
      <c r="D1371" t="s">
        <v>164</v>
      </c>
      <c r="E1371" t="s">
        <v>158</v>
      </c>
      <c r="F1371">
        <v>1</v>
      </c>
      <c r="G1371">
        <v>1080</v>
      </c>
      <c r="H1371">
        <v>5.0999999999999996</v>
      </c>
      <c r="I1371">
        <v>1024.92</v>
      </c>
      <c r="J1371" t="s">
        <v>87</v>
      </c>
      <c r="K1371" t="s">
        <v>99</v>
      </c>
      <c r="L1371" t="s">
        <v>99</v>
      </c>
      <c r="M1371" t="s">
        <v>2817</v>
      </c>
      <c r="N1371" t="s">
        <v>2871</v>
      </c>
      <c r="O1371">
        <v>519</v>
      </c>
      <c r="P1371">
        <v>1080</v>
      </c>
    </row>
    <row r="1372" spans="1:16" x14ac:dyDescent="0.3">
      <c r="A1372" t="s">
        <v>211</v>
      </c>
      <c r="B1372" s="45">
        <v>45646</v>
      </c>
      <c r="C1372" t="s">
        <v>212</v>
      </c>
      <c r="D1372" t="s">
        <v>124</v>
      </c>
      <c r="E1372" t="s">
        <v>204</v>
      </c>
      <c r="F1372">
        <v>2</v>
      </c>
      <c r="G1372">
        <v>5490</v>
      </c>
      <c r="H1372">
        <v>21.1</v>
      </c>
      <c r="I1372">
        <v>8663.2199999999993</v>
      </c>
      <c r="J1372" t="s">
        <v>140</v>
      </c>
      <c r="K1372" t="s">
        <v>112</v>
      </c>
      <c r="L1372" t="s">
        <v>112</v>
      </c>
      <c r="M1372" t="s">
        <v>2817</v>
      </c>
      <c r="N1372" t="s">
        <v>2862</v>
      </c>
      <c r="O1372">
        <v>2549</v>
      </c>
      <c r="P1372">
        <v>5490</v>
      </c>
    </row>
    <row r="1373" spans="1:16" x14ac:dyDescent="0.3">
      <c r="A1373" t="s">
        <v>220</v>
      </c>
      <c r="B1373" s="45">
        <v>45606</v>
      </c>
      <c r="C1373" t="s">
        <v>221</v>
      </c>
      <c r="D1373" t="s">
        <v>124</v>
      </c>
      <c r="E1373" t="s">
        <v>103</v>
      </c>
      <c r="F1373">
        <v>4</v>
      </c>
      <c r="G1373">
        <v>5490</v>
      </c>
      <c r="H1373">
        <v>12.8</v>
      </c>
      <c r="I1373">
        <v>19149.12</v>
      </c>
      <c r="J1373" t="s">
        <v>140</v>
      </c>
      <c r="K1373" t="s">
        <v>94</v>
      </c>
      <c r="L1373" t="s">
        <v>94</v>
      </c>
      <c r="M1373" t="s">
        <v>2817</v>
      </c>
      <c r="N1373" t="s">
        <v>2855</v>
      </c>
      <c r="O1373">
        <v>2549</v>
      </c>
      <c r="P1373">
        <v>5490</v>
      </c>
    </row>
    <row r="1374" spans="1:16" x14ac:dyDescent="0.3">
      <c r="A1374" t="s">
        <v>224</v>
      </c>
      <c r="B1374" s="45">
        <v>45392</v>
      </c>
      <c r="C1374" t="s">
        <v>225</v>
      </c>
      <c r="D1374" t="s">
        <v>226</v>
      </c>
      <c r="E1374" t="s">
        <v>121</v>
      </c>
      <c r="F1374">
        <v>2</v>
      </c>
      <c r="G1374">
        <v>3730</v>
      </c>
      <c r="H1374">
        <v>25.8</v>
      </c>
      <c r="I1374">
        <v>5535.32</v>
      </c>
      <c r="J1374" t="s">
        <v>87</v>
      </c>
      <c r="K1374" t="s">
        <v>94</v>
      </c>
      <c r="L1374" t="s">
        <v>94</v>
      </c>
      <c r="M1374" t="s">
        <v>2817</v>
      </c>
      <c r="N1374" t="s">
        <v>2871</v>
      </c>
      <c r="O1374">
        <v>2135</v>
      </c>
      <c r="P1374">
        <v>3730</v>
      </c>
    </row>
    <row r="1375" spans="1:16" x14ac:dyDescent="0.3">
      <c r="A1375" t="s">
        <v>253</v>
      </c>
      <c r="B1375" s="45">
        <v>45428</v>
      </c>
      <c r="C1375" t="s">
        <v>254</v>
      </c>
      <c r="D1375" t="s">
        <v>143</v>
      </c>
      <c r="E1375" t="s">
        <v>192</v>
      </c>
      <c r="F1375">
        <v>10</v>
      </c>
      <c r="G1375">
        <v>3250</v>
      </c>
      <c r="H1375">
        <v>25.5</v>
      </c>
      <c r="I1375">
        <v>24212.5</v>
      </c>
      <c r="J1375" t="s">
        <v>87</v>
      </c>
      <c r="K1375" t="s">
        <v>94</v>
      </c>
      <c r="L1375" t="s">
        <v>94</v>
      </c>
      <c r="M1375" t="s">
        <v>2817</v>
      </c>
      <c r="N1375" t="s">
        <v>2871</v>
      </c>
      <c r="O1375">
        <v>1556</v>
      </c>
      <c r="P1375">
        <v>3250</v>
      </c>
    </row>
    <row r="1376" spans="1:16" x14ac:dyDescent="0.3">
      <c r="A1376" t="s">
        <v>260</v>
      </c>
      <c r="B1376" s="45">
        <v>45616</v>
      </c>
      <c r="C1376" t="s">
        <v>261</v>
      </c>
      <c r="D1376" t="s">
        <v>164</v>
      </c>
      <c r="E1376" t="s">
        <v>238</v>
      </c>
      <c r="F1376">
        <v>1</v>
      </c>
      <c r="G1376">
        <v>1080</v>
      </c>
      <c r="H1376">
        <v>23</v>
      </c>
      <c r="I1376">
        <v>831.6</v>
      </c>
      <c r="J1376" t="s">
        <v>140</v>
      </c>
      <c r="K1376" t="s">
        <v>99</v>
      </c>
      <c r="L1376" t="s">
        <v>99</v>
      </c>
      <c r="M1376" t="s">
        <v>2817</v>
      </c>
      <c r="N1376" t="s">
        <v>2871</v>
      </c>
      <c r="O1376">
        <v>519</v>
      </c>
      <c r="P1376">
        <v>1080</v>
      </c>
    </row>
    <row r="1377" spans="1:16" x14ac:dyDescent="0.3">
      <c r="A1377" t="s">
        <v>268</v>
      </c>
      <c r="B1377" s="45">
        <v>45425</v>
      </c>
      <c r="C1377" t="s">
        <v>269</v>
      </c>
      <c r="D1377" t="s">
        <v>270</v>
      </c>
      <c r="E1377" t="s">
        <v>229</v>
      </c>
      <c r="F1377">
        <v>4</v>
      </c>
      <c r="G1377">
        <v>4610</v>
      </c>
      <c r="H1377">
        <v>26.9</v>
      </c>
      <c r="I1377">
        <v>13479.64</v>
      </c>
      <c r="J1377" t="s">
        <v>93</v>
      </c>
      <c r="K1377" t="s">
        <v>112</v>
      </c>
      <c r="L1377" t="s">
        <v>112</v>
      </c>
      <c r="M1377" t="s">
        <v>2817</v>
      </c>
      <c r="N1377" t="s">
        <v>2879</v>
      </c>
      <c r="O1377">
        <v>1850</v>
      </c>
      <c r="P1377">
        <v>4610</v>
      </c>
    </row>
    <row r="1378" spans="1:16" x14ac:dyDescent="0.3">
      <c r="A1378" t="s">
        <v>271</v>
      </c>
      <c r="B1378" s="45">
        <v>45589</v>
      </c>
      <c r="C1378" t="s">
        <v>272</v>
      </c>
      <c r="D1378" t="s">
        <v>164</v>
      </c>
      <c r="E1378" t="s">
        <v>273</v>
      </c>
      <c r="F1378">
        <v>8</v>
      </c>
      <c r="G1378">
        <v>1080</v>
      </c>
      <c r="H1378">
        <v>28.4</v>
      </c>
      <c r="I1378">
        <v>6186.24</v>
      </c>
      <c r="J1378" t="s">
        <v>87</v>
      </c>
      <c r="K1378" t="s">
        <v>94</v>
      </c>
      <c r="L1378" t="s">
        <v>94</v>
      </c>
      <c r="M1378" t="s">
        <v>2817</v>
      </c>
      <c r="N1378" t="s">
        <v>2862</v>
      </c>
      <c r="O1378">
        <v>519</v>
      </c>
      <c r="P1378">
        <v>1080</v>
      </c>
    </row>
    <row r="1379" spans="1:16" x14ac:dyDescent="0.3">
      <c r="A1379" t="s">
        <v>293</v>
      </c>
      <c r="B1379" s="45">
        <v>45398</v>
      </c>
      <c r="C1379" t="s">
        <v>294</v>
      </c>
      <c r="D1379" t="s">
        <v>295</v>
      </c>
      <c r="E1379" t="s">
        <v>170</v>
      </c>
      <c r="F1379">
        <v>1</v>
      </c>
      <c r="G1379">
        <v>2030</v>
      </c>
      <c r="H1379">
        <v>3.3</v>
      </c>
      <c r="I1379">
        <v>1963.01</v>
      </c>
      <c r="J1379" t="s">
        <v>87</v>
      </c>
      <c r="K1379" t="s">
        <v>133</v>
      </c>
      <c r="L1379" t="s">
        <v>133</v>
      </c>
      <c r="M1379" t="s">
        <v>2817</v>
      </c>
      <c r="N1379" t="s">
        <v>2879</v>
      </c>
      <c r="O1379">
        <v>1143</v>
      </c>
      <c r="P1379">
        <v>2030</v>
      </c>
    </row>
    <row r="1380" spans="1:16" x14ac:dyDescent="0.3">
      <c r="A1380" t="s">
        <v>302</v>
      </c>
      <c r="B1380" s="45">
        <v>45585</v>
      </c>
      <c r="C1380" t="s">
        <v>258</v>
      </c>
      <c r="D1380" t="s">
        <v>110</v>
      </c>
      <c r="E1380" t="s">
        <v>303</v>
      </c>
      <c r="F1380">
        <v>1</v>
      </c>
      <c r="G1380">
        <v>370</v>
      </c>
      <c r="H1380">
        <v>28.9</v>
      </c>
      <c r="I1380">
        <v>263.07</v>
      </c>
      <c r="J1380" t="s">
        <v>87</v>
      </c>
      <c r="K1380" t="s">
        <v>99</v>
      </c>
      <c r="L1380" t="s">
        <v>99</v>
      </c>
      <c r="M1380" t="s">
        <v>2817</v>
      </c>
      <c r="N1380" t="s">
        <v>2871</v>
      </c>
      <c r="O1380">
        <v>288</v>
      </c>
      <c r="P1380">
        <v>370</v>
      </c>
    </row>
    <row r="1381" spans="1:16" x14ac:dyDescent="0.3">
      <c r="A1381" t="s">
        <v>347</v>
      </c>
      <c r="B1381" s="45">
        <v>45328</v>
      </c>
      <c r="C1381" t="s">
        <v>263</v>
      </c>
      <c r="D1381" t="s">
        <v>226</v>
      </c>
      <c r="E1381" t="s">
        <v>111</v>
      </c>
      <c r="F1381">
        <v>1</v>
      </c>
      <c r="G1381">
        <v>3730</v>
      </c>
      <c r="H1381">
        <v>22.7</v>
      </c>
      <c r="I1381">
        <v>2883.29</v>
      </c>
      <c r="J1381" t="s">
        <v>87</v>
      </c>
      <c r="K1381" t="s">
        <v>133</v>
      </c>
      <c r="L1381" t="s">
        <v>133</v>
      </c>
      <c r="M1381" t="s">
        <v>2817</v>
      </c>
      <c r="N1381" t="s">
        <v>2879</v>
      </c>
      <c r="O1381">
        <v>2135</v>
      </c>
      <c r="P1381">
        <v>3730</v>
      </c>
    </row>
    <row r="1382" spans="1:16" x14ac:dyDescent="0.3">
      <c r="A1382" t="s">
        <v>356</v>
      </c>
      <c r="B1382" s="45">
        <v>45509</v>
      </c>
      <c r="C1382" t="s">
        <v>357</v>
      </c>
      <c r="D1382" t="s">
        <v>143</v>
      </c>
      <c r="E1382" t="s">
        <v>201</v>
      </c>
      <c r="F1382">
        <v>5</v>
      </c>
      <c r="G1382">
        <v>3250</v>
      </c>
      <c r="H1382">
        <v>18.399999999999999</v>
      </c>
      <c r="I1382">
        <v>13260</v>
      </c>
      <c r="J1382" t="s">
        <v>87</v>
      </c>
      <c r="K1382" t="s">
        <v>99</v>
      </c>
      <c r="L1382" t="s">
        <v>99</v>
      </c>
      <c r="M1382" t="s">
        <v>2817</v>
      </c>
      <c r="N1382" t="s">
        <v>2879</v>
      </c>
      <c r="O1382">
        <v>1556</v>
      </c>
      <c r="P1382">
        <v>3250</v>
      </c>
    </row>
    <row r="1383" spans="1:16" x14ac:dyDescent="0.3">
      <c r="A1383" t="s">
        <v>374</v>
      </c>
      <c r="B1383" s="45">
        <v>45439</v>
      </c>
      <c r="C1383" t="s">
        <v>190</v>
      </c>
      <c r="D1383" t="s">
        <v>203</v>
      </c>
      <c r="E1383" t="s">
        <v>229</v>
      </c>
      <c r="F1383">
        <v>6</v>
      </c>
      <c r="G1383">
        <v>660</v>
      </c>
      <c r="H1383">
        <v>20.2</v>
      </c>
      <c r="I1383">
        <v>3160.08</v>
      </c>
      <c r="J1383" t="s">
        <v>93</v>
      </c>
      <c r="K1383" t="s">
        <v>133</v>
      </c>
      <c r="L1383" t="s">
        <v>133</v>
      </c>
      <c r="M1383" t="s">
        <v>2817</v>
      </c>
      <c r="N1383" t="s">
        <v>2879</v>
      </c>
      <c r="O1383">
        <v>329</v>
      </c>
      <c r="P1383">
        <v>660</v>
      </c>
    </row>
    <row r="1384" spans="1:16" x14ac:dyDescent="0.3">
      <c r="A1384" t="s">
        <v>375</v>
      </c>
      <c r="B1384" s="45">
        <v>45486</v>
      </c>
      <c r="C1384" t="s">
        <v>376</v>
      </c>
      <c r="D1384" t="s">
        <v>164</v>
      </c>
      <c r="E1384" t="s">
        <v>116</v>
      </c>
      <c r="F1384">
        <v>3</v>
      </c>
      <c r="G1384">
        <v>1080</v>
      </c>
      <c r="H1384">
        <v>29.7</v>
      </c>
      <c r="I1384">
        <v>2277.7199999999998</v>
      </c>
      <c r="J1384" t="s">
        <v>87</v>
      </c>
      <c r="K1384" t="s">
        <v>117</v>
      </c>
      <c r="L1384" t="s">
        <v>117</v>
      </c>
      <c r="M1384" t="s">
        <v>2817</v>
      </c>
      <c r="N1384" t="s">
        <v>2879</v>
      </c>
      <c r="O1384">
        <v>519</v>
      </c>
      <c r="P1384">
        <v>1080</v>
      </c>
    </row>
    <row r="1385" spans="1:16" x14ac:dyDescent="0.3">
      <c r="A1385" t="s">
        <v>383</v>
      </c>
      <c r="B1385" s="45">
        <v>45370</v>
      </c>
      <c r="C1385" t="s">
        <v>150</v>
      </c>
      <c r="D1385" t="s">
        <v>295</v>
      </c>
      <c r="E1385" t="s">
        <v>229</v>
      </c>
      <c r="F1385">
        <v>9</v>
      </c>
      <c r="G1385">
        <v>2030</v>
      </c>
      <c r="H1385">
        <v>26.1</v>
      </c>
      <c r="I1385">
        <v>13501.53</v>
      </c>
      <c r="J1385" t="s">
        <v>87</v>
      </c>
      <c r="K1385" t="s">
        <v>88</v>
      </c>
      <c r="L1385" t="s">
        <v>88</v>
      </c>
      <c r="M1385" t="s">
        <v>2817</v>
      </c>
      <c r="N1385" t="s">
        <v>2879</v>
      </c>
      <c r="O1385">
        <v>1143</v>
      </c>
      <c r="P1385">
        <v>2030</v>
      </c>
    </row>
    <row r="1386" spans="1:16" x14ac:dyDescent="0.3">
      <c r="A1386" t="s">
        <v>387</v>
      </c>
      <c r="B1386" s="45">
        <v>45531</v>
      </c>
      <c r="C1386" t="s">
        <v>388</v>
      </c>
      <c r="D1386" t="s">
        <v>226</v>
      </c>
      <c r="E1386" t="s">
        <v>229</v>
      </c>
      <c r="F1386">
        <v>3</v>
      </c>
      <c r="G1386">
        <v>3730</v>
      </c>
      <c r="H1386">
        <v>7.9</v>
      </c>
      <c r="I1386">
        <v>10305.99</v>
      </c>
      <c r="J1386" t="s">
        <v>87</v>
      </c>
      <c r="K1386" t="s">
        <v>133</v>
      </c>
      <c r="L1386" t="s">
        <v>133</v>
      </c>
      <c r="M1386" t="s">
        <v>2817</v>
      </c>
      <c r="N1386" t="s">
        <v>2879</v>
      </c>
      <c r="O1386">
        <v>2135</v>
      </c>
      <c r="P1386">
        <v>3730</v>
      </c>
    </row>
    <row r="1387" spans="1:16" x14ac:dyDescent="0.3">
      <c r="A1387" t="s">
        <v>410</v>
      </c>
      <c r="B1387" s="45">
        <v>45541</v>
      </c>
      <c r="C1387" t="s">
        <v>411</v>
      </c>
      <c r="D1387" t="s">
        <v>295</v>
      </c>
      <c r="E1387" t="s">
        <v>215</v>
      </c>
      <c r="F1387">
        <v>10</v>
      </c>
      <c r="G1387">
        <v>2030</v>
      </c>
      <c r="H1387">
        <v>1.2</v>
      </c>
      <c r="I1387">
        <v>20056.400000000001</v>
      </c>
      <c r="J1387" t="s">
        <v>87</v>
      </c>
      <c r="K1387" t="s">
        <v>112</v>
      </c>
      <c r="L1387" t="s">
        <v>112</v>
      </c>
      <c r="M1387" t="s">
        <v>2817</v>
      </c>
      <c r="N1387" t="s">
        <v>2855</v>
      </c>
      <c r="O1387">
        <v>1143</v>
      </c>
      <c r="P1387">
        <v>2030</v>
      </c>
    </row>
    <row r="1388" spans="1:16" x14ac:dyDescent="0.3">
      <c r="A1388" t="s">
        <v>439</v>
      </c>
      <c r="B1388" s="45">
        <v>45555</v>
      </c>
      <c r="C1388" t="s">
        <v>440</v>
      </c>
      <c r="D1388" t="s">
        <v>110</v>
      </c>
      <c r="E1388" t="s">
        <v>86</v>
      </c>
      <c r="F1388">
        <v>5</v>
      </c>
      <c r="G1388">
        <v>370</v>
      </c>
      <c r="H1388">
        <v>11.5</v>
      </c>
      <c r="I1388">
        <v>1637.25</v>
      </c>
      <c r="J1388" t="s">
        <v>87</v>
      </c>
      <c r="K1388" t="s">
        <v>88</v>
      </c>
      <c r="L1388" t="s">
        <v>88</v>
      </c>
      <c r="M1388" t="s">
        <v>2817</v>
      </c>
      <c r="N1388" t="s">
        <v>2855</v>
      </c>
      <c r="O1388">
        <v>288</v>
      </c>
      <c r="P1388">
        <v>370</v>
      </c>
    </row>
    <row r="1389" spans="1:16" x14ac:dyDescent="0.3">
      <c r="A1389" t="s">
        <v>441</v>
      </c>
      <c r="B1389" s="45">
        <v>45341</v>
      </c>
      <c r="C1389" t="s">
        <v>442</v>
      </c>
      <c r="D1389" t="s">
        <v>443</v>
      </c>
      <c r="E1389" t="s">
        <v>297</v>
      </c>
      <c r="F1389">
        <v>9</v>
      </c>
      <c r="G1389">
        <v>5080</v>
      </c>
      <c r="H1389">
        <v>27.5</v>
      </c>
      <c r="I1389">
        <v>33147</v>
      </c>
      <c r="J1389" t="s">
        <v>87</v>
      </c>
      <c r="K1389" t="s">
        <v>88</v>
      </c>
      <c r="L1389" t="s">
        <v>88</v>
      </c>
      <c r="M1389" t="s">
        <v>2817</v>
      </c>
      <c r="N1389" t="s">
        <v>2855</v>
      </c>
      <c r="O1389">
        <v>2459</v>
      </c>
      <c r="P1389">
        <v>5080</v>
      </c>
    </row>
    <row r="1390" spans="1:16" x14ac:dyDescent="0.3">
      <c r="A1390" t="s">
        <v>449</v>
      </c>
      <c r="B1390" s="45">
        <v>45521</v>
      </c>
      <c r="C1390" t="s">
        <v>225</v>
      </c>
      <c r="D1390" t="s">
        <v>124</v>
      </c>
      <c r="E1390" t="s">
        <v>325</v>
      </c>
      <c r="F1390">
        <v>2</v>
      </c>
      <c r="G1390">
        <v>5490</v>
      </c>
      <c r="H1390">
        <v>5.5</v>
      </c>
      <c r="I1390">
        <v>10376.1</v>
      </c>
      <c r="J1390" t="s">
        <v>87</v>
      </c>
      <c r="K1390" t="s">
        <v>94</v>
      </c>
      <c r="L1390" t="s">
        <v>94</v>
      </c>
      <c r="M1390" t="s">
        <v>2817</v>
      </c>
      <c r="N1390" t="s">
        <v>2862</v>
      </c>
      <c r="O1390">
        <v>2549</v>
      </c>
      <c r="P1390">
        <v>5490</v>
      </c>
    </row>
    <row r="1391" spans="1:16" x14ac:dyDescent="0.3">
      <c r="A1391" t="s">
        <v>455</v>
      </c>
      <c r="B1391" s="45">
        <v>45644</v>
      </c>
      <c r="C1391" t="s">
        <v>320</v>
      </c>
      <c r="D1391" t="s">
        <v>143</v>
      </c>
      <c r="E1391" t="s">
        <v>252</v>
      </c>
      <c r="F1391">
        <v>2</v>
      </c>
      <c r="G1391">
        <v>3250</v>
      </c>
      <c r="H1391">
        <v>26.2</v>
      </c>
      <c r="I1391">
        <v>4797</v>
      </c>
      <c r="J1391" t="s">
        <v>87</v>
      </c>
      <c r="K1391" t="s">
        <v>133</v>
      </c>
      <c r="L1391" t="s">
        <v>133</v>
      </c>
      <c r="M1391" t="s">
        <v>2817</v>
      </c>
      <c r="N1391" t="s">
        <v>2862</v>
      </c>
      <c r="O1391">
        <v>1556</v>
      </c>
      <c r="P1391">
        <v>3250</v>
      </c>
    </row>
    <row r="1392" spans="1:16" x14ac:dyDescent="0.3">
      <c r="A1392" t="s">
        <v>464</v>
      </c>
      <c r="B1392" s="45">
        <v>45409</v>
      </c>
      <c r="C1392" t="s">
        <v>465</v>
      </c>
      <c r="D1392" t="s">
        <v>226</v>
      </c>
      <c r="E1392" t="s">
        <v>188</v>
      </c>
      <c r="F1392">
        <v>1</v>
      </c>
      <c r="G1392">
        <v>3730</v>
      </c>
      <c r="H1392">
        <v>10.8</v>
      </c>
      <c r="I1392">
        <v>3327.16</v>
      </c>
      <c r="J1392" t="s">
        <v>144</v>
      </c>
      <c r="K1392" t="s">
        <v>112</v>
      </c>
      <c r="L1392" t="s">
        <v>112</v>
      </c>
      <c r="M1392" t="s">
        <v>2817</v>
      </c>
      <c r="N1392" t="s">
        <v>2862</v>
      </c>
      <c r="O1392">
        <v>2135</v>
      </c>
      <c r="P1392">
        <v>3730</v>
      </c>
    </row>
    <row r="1393" spans="1:16" x14ac:dyDescent="0.3">
      <c r="A1393" t="s">
        <v>471</v>
      </c>
      <c r="B1393" s="45">
        <v>45349</v>
      </c>
      <c r="C1393" t="s">
        <v>472</v>
      </c>
      <c r="D1393" t="s">
        <v>295</v>
      </c>
      <c r="E1393" t="s">
        <v>204</v>
      </c>
      <c r="F1393">
        <v>7</v>
      </c>
      <c r="G1393">
        <v>2030</v>
      </c>
      <c r="H1393">
        <v>23.7</v>
      </c>
      <c r="I1393">
        <v>10842.23</v>
      </c>
      <c r="J1393" t="s">
        <v>93</v>
      </c>
      <c r="K1393" t="s">
        <v>94</v>
      </c>
      <c r="L1393" t="s">
        <v>94</v>
      </c>
      <c r="M1393" t="s">
        <v>2817</v>
      </c>
      <c r="N1393" t="s">
        <v>2862</v>
      </c>
      <c r="O1393">
        <v>1143</v>
      </c>
      <c r="P1393">
        <v>2030</v>
      </c>
    </row>
    <row r="1394" spans="1:16" x14ac:dyDescent="0.3">
      <c r="A1394" t="s">
        <v>488</v>
      </c>
      <c r="B1394" s="45">
        <v>45633</v>
      </c>
      <c r="C1394" t="s">
        <v>312</v>
      </c>
      <c r="D1394" t="s">
        <v>143</v>
      </c>
      <c r="E1394" t="s">
        <v>303</v>
      </c>
      <c r="F1394">
        <v>10</v>
      </c>
      <c r="G1394">
        <v>3250</v>
      </c>
      <c r="H1394">
        <v>21</v>
      </c>
      <c r="I1394">
        <v>25675</v>
      </c>
      <c r="J1394" t="s">
        <v>140</v>
      </c>
      <c r="K1394" t="s">
        <v>133</v>
      </c>
      <c r="L1394" t="s">
        <v>133</v>
      </c>
      <c r="M1394" t="s">
        <v>2817</v>
      </c>
      <c r="N1394" t="s">
        <v>2871</v>
      </c>
      <c r="O1394">
        <v>1556</v>
      </c>
      <c r="P1394">
        <v>3250</v>
      </c>
    </row>
    <row r="1395" spans="1:16" x14ac:dyDescent="0.3">
      <c r="A1395" t="s">
        <v>489</v>
      </c>
      <c r="B1395" s="45">
        <v>45649</v>
      </c>
      <c r="C1395" t="s">
        <v>490</v>
      </c>
      <c r="D1395" t="s">
        <v>443</v>
      </c>
      <c r="E1395" t="s">
        <v>128</v>
      </c>
      <c r="F1395">
        <v>6</v>
      </c>
      <c r="G1395">
        <v>5080</v>
      </c>
      <c r="H1395">
        <v>16.8</v>
      </c>
      <c r="I1395">
        <v>25359.360000000001</v>
      </c>
      <c r="J1395" t="s">
        <v>93</v>
      </c>
      <c r="K1395" t="s">
        <v>99</v>
      </c>
      <c r="L1395" t="s">
        <v>99</v>
      </c>
      <c r="M1395" t="s">
        <v>2817</v>
      </c>
      <c r="N1395" t="s">
        <v>2879</v>
      </c>
      <c r="O1395">
        <v>2459</v>
      </c>
      <c r="P1395">
        <v>5080</v>
      </c>
    </row>
    <row r="1396" spans="1:16" x14ac:dyDescent="0.3">
      <c r="A1396" t="s">
        <v>496</v>
      </c>
      <c r="B1396" s="45">
        <v>45443</v>
      </c>
      <c r="C1396" t="s">
        <v>130</v>
      </c>
      <c r="D1396" t="s">
        <v>443</v>
      </c>
      <c r="E1396" t="s">
        <v>229</v>
      </c>
      <c r="F1396">
        <v>7</v>
      </c>
      <c r="G1396">
        <v>5080</v>
      </c>
      <c r="H1396">
        <v>25.4</v>
      </c>
      <c r="I1396">
        <v>26527.759999999998</v>
      </c>
      <c r="J1396" t="s">
        <v>93</v>
      </c>
      <c r="K1396" t="s">
        <v>133</v>
      </c>
      <c r="L1396" t="s">
        <v>133</v>
      </c>
      <c r="M1396" t="s">
        <v>2817</v>
      </c>
      <c r="N1396" t="s">
        <v>2879</v>
      </c>
      <c r="O1396">
        <v>2459</v>
      </c>
      <c r="P1396">
        <v>5080</v>
      </c>
    </row>
    <row r="1397" spans="1:16" x14ac:dyDescent="0.3">
      <c r="A1397" t="s">
        <v>500</v>
      </c>
      <c r="B1397" s="45">
        <v>45532</v>
      </c>
      <c r="C1397" t="s">
        <v>501</v>
      </c>
      <c r="D1397" t="s">
        <v>502</v>
      </c>
      <c r="E1397" t="s">
        <v>285</v>
      </c>
      <c r="F1397">
        <v>2</v>
      </c>
      <c r="G1397">
        <v>1090</v>
      </c>
      <c r="H1397">
        <v>18.7</v>
      </c>
      <c r="I1397">
        <v>1772.34</v>
      </c>
      <c r="J1397" t="s">
        <v>144</v>
      </c>
      <c r="K1397" t="s">
        <v>133</v>
      </c>
      <c r="L1397" t="s">
        <v>133</v>
      </c>
      <c r="M1397" t="s">
        <v>2817</v>
      </c>
      <c r="N1397" t="s">
        <v>2871</v>
      </c>
      <c r="O1397">
        <v>464</v>
      </c>
      <c r="P1397">
        <v>1090</v>
      </c>
    </row>
    <row r="1398" spans="1:16" x14ac:dyDescent="0.3">
      <c r="A1398" t="s">
        <v>508</v>
      </c>
      <c r="B1398" s="45">
        <v>45460</v>
      </c>
      <c r="C1398" t="s">
        <v>429</v>
      </c>
      <c r="D1398" t="s">
        <v>270</v>
      </c>
      <c r="E1398" t="s">
        <v>154</v>
      </c>
      <c r="F1398">
        <v>9</v>
      </c>
      <c r="G1398">
        <v>4610</v>
      </c>
      <c r="H1398">
        <v>28.3</v>
      </c>
      <c r="I1398">
        <v>29748.33</v>
      </c>
      <c r="J1398" t="s">
        <v>93</v>
      </c>
      <c r="K1398" t="s">
        <v>117</v>
      </c>
      <c r="L1398" t="s">
        <v>117</v>
      </c>
      <c r="M1398" t="s">
        <v>2817</v>
      </c>
      <c r="N1398" t="s">
        <v>2871</v>
      </c>
      <c r="O1398">
        <v>1850</v>
      </c>
      <c r="P1398">
        <v>4610</v>
      </c>
    </row>
    <row r="1399" spans="1:16" x14ac:dyDescent="0.3">
      <c r="A1399" t="s">
        <v>526</v>
      </c>
      <c r="B1399" s="45">
        <v>45344</v>
      </c>
      <c r="C1399" t="s">
        <v>490</v>
      </c>
      <c r="D1399" t="s">
        <v>226</v>
      </c>
      <c r="E1399" t="s">
        <v>346</v>
      </c>
      <c r="F1399">
        <v>7</v>
      </c>
      <c r="G1399">
        <v>3730</v>
      </c>
      <c r="H1399">
        <v>2.5</v>
      </c>
      <c r="I1399">
        <v>25457.25</v>
      </c>
      <c r="J1399" t="s">
        <v>140</v>
      </c>
      <c r="K1399" t="s">
        <v>99</v>
      </c>
      <c r="L1399" t="s">
        <v>99</v>
      </c>
      <c r="M1399" t="s">
        <v>2817</v>
      </c>
      <c r="N1399" t="s">
        <v>2862</v>
      </c>
      <c r="O1399">
        <v>2135</v>
      </c>
      <c r="P1399">
        <v>3730</v>
      </c>
    </row>
    <row r="1400" spans="1:16" x14ac:dyDescent="0.3">
      <c r="A1400" t="s">
        <v>527</v>
      </c>
      <c r="B1400" s="45">
        <v>45492</v>
      </c>
      <c r="C1400" t="s">
        <v>528</v>
      </c>
      <c r="D1400" t="s">
        <v>110</v>
      </c>
      <c r="E1400" t="s">
        <v>170</v>
      </c>
      <c r="F1400">
        <v>6</v>
      </c>
      <c r="G1400">
        <v>370</v>
      </c>
      <c r="H1400">
        <v>9.9</v>
      </c>
      <c r="I1400">
        <v>2000.22</v>
      </c>
      <c r="J1400" t="s">
        <v>87</v>
      </c>
      <c r="K1400" t="s">
        <v>112</v>
      </c>
      <c r="L1400" t="s">
        <v>112</v>
      </c>
      <c r="M1400" t="s">
        <v>2817</v>
      </c>
      <c r="N1400" t="s">
        <v>2879</v>
      </c>
      <c r="O1400">
        <v>288</v>
      </c>
      <c r="P1400">
        <v>370</v>
      </c>
    </row>
    <row r="1401" spans="1:16" x14ac:dyDescent="0.3">
      <c r="A1401" t="s">
        <v>538</v>
      </c>
      <c r="B1401" s="45">
        <v>45637</v>
      </c>
      <c r="C1401" t="s">
        <v>539</v>
      </c>
      <c r="D1401" t="s">
        <v>226</v>
      </c>
      <c r="E1401" t="s">
        <v>325</v>
      </c>
      <c r="F1401">
        <v>3</v>
      </c>
      <c r="G1401">
        <v>3730</v>
      </c>
      <c r="H1401">
        <v>0.7</v>
      </c>
      <c r="I1401">
        <v>11111.67</v>
      </c>
      <c r="J1401" t="s">
        <v>93</v>
      </c>
      <c r="K1401" t="s">
        <v>133</v>
      </c>
      <c r="L1401" t="s">
        <v>133</v>
      </c>
      <c r="M1401" t="s">
        <v>2817</v>
      </c>
      <c r="N1401" t="s">
        <v>2862</v>
      </c>
      <c r="O1401">
        <v>2135</v>
      </c>
      <c r="P1401">
        <v>3730</v>
      </c>
    </row>
    <row r="1402" spans="1:16" x14ac:dyDescent="0.3">
      <c r="A1402" t="s">
        <v>566</v>
      </c>
      <c r="B1402" s="45">
        <v>45504</v>
      </c>
      <c r="C1402" t="s">
        <v>567</v>
      </c>
      <c r="D1402" t="s">
        <v>143</v>
      </c>
      <c r="E1402" t="s">
        <v>154</v>
      </c>
      <c r="F1402">
        <v>9</v>
      </c>
      <c r="G1402">
        <v>3250</v>
      </c>
      <c r="H1402">
        <v>10.8</v>
      </c>
      <c r="I1402">
        <v>26091</v>
      </c>
      <c r="J1402" t="s">
        <v>140</v>
      </c>
      <c r="K1402" t="s">
        <v>117</v>
      </c>
      <c r="L1402" t="s">
        <v>117</v>
      </c>
      <c r="M1402" t="s">
        <v>2817</v>
      </c>
      <c r="N1402" t="s">
        <v>2871</v>
      </c>
      <c r="O1402">
        <v>1556</v>
      </c>
      <c r="P1402">
        <v>3250</v>
      </c>
    </row>
    <row r="1403" spans="1:16" x14ac:dyDescent="0.3">
      <c r="A1403" t="s">
        <v>578</v>
      </c>
      <c r="B1403" s="45">
        <v>45508</v>
      </c>
      <c r="C1403" t="s">
        <v>137</v>
      </c>
      <c r="D1403" t="s">
        <v>110</v>
      </c>
      <c r="E1403" t="s">
        <v>98</v>
      </c>
      <c r="F1403">
        <v>2</v>
      </c>
      <c r="G1403">
        <v>370</v>
      </c>
      <c r="H1403">
        <v>3.9</v>
      </c>
      <c r="I1403">
        <v>711.14</v>
      </c>
      <c r="J1403" t="s">
        <v>87</v>
      </c>
      <c r="K1403" t="s">
        <v>99</v>
      </c>
      <c r="L1403" t="s">
        <v>99</v>
      </c>
      <c r="M1403" t="s">
        <v>2817</v>
      </c>
      <c r="N1403" t="s">
        <v>2862</v>
      </c>
      <c r="O1403">
        <v>288</v>
      </c>
      <c r="P1403">
        <v>370</v>
      </c>
    </row>
    <row r="1404" spans="1:16" x14ac:dyDescent="0.3">
      <c r="A1404" t="s">
        <v>594</v>
      </c>
      <c r="B1404" s="45">
        <v>45650</v>
      </c>
      <c r="C1404" t="s">
        <v>595</v>
      </c>
      <c r="D1404" t="s">
        <v>164</v>
      </c>
      <c r="E1404" t="s">
        <v>86</v>
      </c>
      <c r="F1404">
        <v>4</v>
      </c>
      <c r="G1404">
        <v>1080</v>
      </c>
      <c r="H1404">
        <v>20.7</v>
      </c>
      <c r="I1404">
        <v>3425.76</v>
      </c>
      <c r="J1404" t="s">
        <v>93</v>
      </c>
      <c r="K1404" t="s">
        <v>99</v>
      </c>
      <c r="L1404" t="s">
        <v>99</v>
      </c>
      <c r="M1404" t="s">
        <v>2817</v>
      </c>
      <c r="N1404" t="s">
        <v>2855</v>
      </c>
      <c r="O1404">
        <v>519</v>
      </c>
      <c r="P1404">
        <v>1080</v>
      </c>
    </row>
    <row r="1405" spans="1:16" x14ac:dyDescent="0.3">
      <c r="A1405" t="s">
        <v>618</v>
      </c>
      <c r="B1405" s="45">
        <v>45575</v>
      </c>
      <c r="C1405" t="s">
        <v>510</v>
      </c>
      <c r="D1405" t="s">
        <v>164</v>
      </c>
      <c r="E1405" t="s">
        <v>98</v>
      </c>
      <c r="F1405">
        <v>6</v>
      </c>
      <c r="G1405">
        <v>1080</v>
      </c>
      <c r="H1405">
        <v>19.8</v>
      </c>
      <c r="I1405">
        <v>5196.96</v>
      </c>
      <c r="J1405" t="s">
        <v>87</v>
      </c>
      <c r="K1405" t="s">
        <v>117</v>
      </c>
      <c r="L1405" t="s">
        <v>117</v>
      </c>
      <c r="M1405" t="s">
        <v>2817</v>
      </c>
      <c r="N1405" t="s">
        <v>2862</v>
      </c>
      <c r="O1405">
        <v>519</v>
      </c>
      <c r="P1405">
        <v>1080</v>
      </c>
    </row>
    <row r="1406" spans="1:16" x14ac:dyDescent="0.3">
      <c r="A1406" t="s">
        <v>627</v>
      </c>
      <c r="B1406" s="45">
        <v>45465</v>
      </c>
      <c r="C1406" t="s">
        <v>628</v>
      </c>
      <c r="D1406" t="s">
        <v>124</v>
      </c>
      <c r="E1406" t="s">
        <v>154</v>
      </c>
      <c r="F1406">
        <v>6</v>
      </c>
      <c r="G1406">
        <v>5490</v>
      </c>
      <c r="H1406">
        <v>8.4</v>
      </c>
      <c r="I1406">
        <v>30173.040000000001</v>
      </c>
      <c r="J1406" t="s">
        <v>87</v>
      </c>
      <c r="K1406" t="s">
        <v>133</v>
      </c>
      <c r="L1406" t="s">
        <v>133</v>
      </c>
      <c r="M1406" t="s">
        <v>2817</v>
      </c>
      <c r="N1406" t="s">
        <v>2871</v>
      </c>
      <c r="O1406">
        <v>2549</v>
      </c>
      <c r="P1406">
        <v>5490</v>
      </c>
    </row>
    <row r="1407" spans="1:16" x14ac:dyDescent="0.3">
      <c r="A1407" t="s">
        <v>629</v>
      </c>
      <c r="B1407" s="45">
        <v>45407</v>
      </c>
      <c r="C1407" t="s">
        <v>485</v>
      </c>
      <c r="D1407" t="s">
        <v>110</v>
      </c>
      <c r="E1407" t="s">
        <v>303</v>
      </c>
      <c r="F1407">
        <v>6</v>
      </c>
      <c r="G1407">
        <v>370</v>
      </c>
      <c r="H1407">
        <v>15.1</v>
      </c>
      <c r="I1407">
        <v>1884.78</v>
      </c>
      <c r="J1407" t="s">
        <v>87</v>
      </c>
      <c r="K1407" t="s">
        <v>88</v>
      </c>
      <c r="L1407" t="s">
        <v>88</v>
      </c>
      <c r="M1407" t="s">
        <v>2817</v>
      </c>
      <c r="N1407" t="s">
        <v>2871</v>
      </c>
      <c r="O1407">
        <v>288</v>
      </c>
      <c r="P1407">
        <v>370</v>
      </c>
    </row>
    <row r="1408" spans="1:16" x14ac:dyDescent="0.3">
      <c r="A1408" t="s">
        <v>631</v>
      </c>
      <c r="B1408" s="45">
        <v>45332</v>
      </c>
      <c r="C1408" t="s">
        <v>342</v>
      </c>
      <c r="D1408" t="s">
        <v>143</v>
      </c>
      <c r="E1408" t="s">
        <v>229</v>
      </c>
      <c r="F1408">
        <v>9</v>
      </c>
      <c r="G1408">
        <v>3250</v>
      </c>
      <c r="H1408">
        <v>16.5</v>
      </c>
      <c r="I1408">
        <v>24423.75</v>
      </c>
      <c r="J1408" t="s">
        <v>87</v>
      </c>
      <c r="K1408" t="s">
        <v>94</v>
      </c>
      <c r="L1408" t="s">
        <v>94</v>
      </c>
      <c r="M1408" t="s">
        <v>2817</v>
      </c>
      <c r="N1408" t="s">
        <v>2879</v>
      </c>
      <c r="O1408">
        <v>1556</v>
      </c>
      <c r="P1408">
        <v>3250</v>
      </c>
    </row>
    <row r="1409" spans="1:16" x14ac:dyDescent="0.3">
      <c r="A1409" t="s">
        <v>637</v>
      </c>
      <c r="B1409" s="45">
        <v>45430</v>
      </c>
      <c r="C1409" t="s">
        <v>638</v>
      </c>
      <c r="D1409" t="s">
        <v>203</v>
      </c>
      <c r="E1409" t="s">
        <v>170</v>
      </c>
      <c r="F1409">
        <v>3</v>
      </c>
      <c r="G1409">
        <v>660</v>
      </c>
      <c r="H1409">
        <v>9.1999999999999993</v>
      </c>
      <c r="I1409">
        <v>1797.84</v>
      </c>
      <c r="J1409" t="s">
        <v>87</v>
      </c>
      <c r="K1409" t="s">
        <v>99</v>
      </c>
      <c r="L1409" t="s">
        <v>99</v>
      </c>
      <c r="M1409" t="s">
        <v>2817</v>
      </c>
      <c r="N1409" t="s">
        <v>2879</v>
      </c>
      <c r="O1409">
        <v>329</v>
      </c>
      <c r="P1409">
        <v>660</v>
      </c>
    </row>
    <row r="1410" spans="1:16" x14ac:dyDescent="0.3">
      <c r="A1410" t="s">
        <v>640</v>
      </c>
      <c r="B1410" s="45">
        <v>45360</v>
      </c>
      <c r="C1410" t="s">
        <v>357</v>
      </c>
      <c r="D1410" t="s">
        <v>443</v>
      </c>
      <c r="E1410" t="s">
        <v>346</v>
      </c>
      <c r="F1410">
        <v>2</v>
      </c>
      <c r="G1410">
        <v>5080</v>
      </c>
      <c r="H1410">
        <v>7.7</v>
      </c>
      <c r="I1410">
        <v>9377.68</v>
      </c>
      <c r="J1410" t="s">
        <v>144</v>
      </c>
      <c r="K1410" t="s">
        <v>99</v>
      </c>
      <c r="L1410" t="s">
        <v>99</v>
      </c>
      <c r="M1410" t="s">
        <v>2817</v>
      </c>
      <c r="N1410" t="s">
        <v>2862</v>
      </c>
      <c r="O1410">
        <v>2459</v>
      </c>
      <c r="P1410">
        <v>5080</v>
      </c>
    </row>
    <row r="1411" spans="1:16" x14ac:dyDescent="0.3">
      <c r="A1411" t="s">
        <v>648</v>
      </c>
      <c r="B1411" s="45">
        <v>45338</v>
      </c>
      <c r="C1411" t="s">
        <v>166</v>
      </c>
      <c r="D1411" t="s">
        <v>124</v>
      </c>
      <c r="E1411" t="s">
        <v>154</v>
      </c>
      <c r="F1411">
        <v>5</v>
      </c>
      <c r="G1411">
        <v>5490</v>
      </c>
      <c r="H1411">
        <v>19.8</v>
      </c>
      <c r="I1411">
        <v>22014.9</v>
      </c>
      <c r="J1411" t="s">
        <v>87</v>
      </c>
      <c r="K1411" t="s">
        <v>133</v>
      </c>
      <c r="L1411" t="s">
        <v>133</v>
      </c>
      <c r="M1411" t="s">
        <v>2817</v>
      </c>
      <c r="N1411" t="s">
        <v>2871</v>
      </c>
      <c r="O1411">
        <v>2549</v>
      </c>
      <c r="P1411">
        <v>5490</v>
      </c>
    </row>
    <row r="1412" spans="1:16" x14ac:dyDescent="0.3">
      <c r="A1412" t="s">
        <v>656</v>
      </c>
      <c r="B1412" s="45">
        <v>45459</v>
      </c>
      <c r="C1412" t="s">
        <v>314</v>
      </c>
      <c r="D1412" t="s">
        <v>110</v>
      </c>
      <c r="E1412" t="s">
        <v>92</v>
      </c>
      <c r="F1412">
        <v>6</v>
      </c>
      <c r="G1412">
        <v>370</v>
      </c>
      <c r="H1412">
        <v>12.4</v>
      </c>
      <c r="I1412">
        <v>1944.72</v>
      </c>
      <c r="J1412" t="s">
        <v>87</v>
      </c>
      <c r="K1412" t="s">
        <v>88</v>
      </c>
      <c r="L1412" t="s">
        <v>88</v>
      </c>
      <c r="M1412" t="s">
        <v>2817</v>
      </c>
      <c r="N1412" t="s">
        <v>2855</v>
      </c>
      <c r="O1412">
        <v>288</v>
      </c>
      <c r="P1412">
        <v>370</v>
      </c>
    </row>
    <row r="1413" spans="1:16" x14ac:dyDescent="0.3">
      <c r="A1413" t="s">
        <v>671</v>
      </c>
      <c r="B1413" s="45">
        <v>45635</v>
      </c>
      <c r="C1413" t="s">
        <v>565</v>
      </c>
      <c r="D1413" t="s">
        <v>164</v>
      </c>
      <c r="E1413" t="s">
        <v>139</v>
      </c>
      <c r="F1413">
        <v>1</v>
      </c>
      <c r="G1413">
        <v>1080</v>
      </c>
      <c r="H1413">
        <v>13.9</v>
      </c>
      <c r="I1413">
        <v>929.88</v>
      </c>
      <c r="J1413" t="s">
        <v>87</v>
      </c>
      <c r="K1413" t="s">
        <v>112</v>
      </c>
      <c r="L1413" t="s">
        <v>112</v>
      </c>
      <c r="M1413" t="s">
        <v>2817</v>
      </c>
      <c r="N1413" t="s">
        <v>2855</v>
      </c>
      <c r="O1413">
        <v>519</v>
      </c>
      <c r="P1413">
        <v>1080</v>
      </c>
    </row>
    <row r="1414" spans="1:16" x14ac:dyDescent="0.3">
      <c r="A1414" t="s">
        <v>672</v>
      </c>
      <c r="B1414" s="45">
        <v>45395</v>
      </c>
      <c r="C1414" t="s">
        <v>673</v>
      </c>
      <c r="D1414" t="s">
        <v>295</v>
      </c>
      <c r="E1414" t="s">
        <v>346</v>
      </c>
      <c r="F1414">
        <v>7</v>
      </c>
      <c r="G1414">
        <v>2030</v>
      </c>
      <c r="H1414">
        <v>29.2</v>
      </c>
      <c r="I1414">
        <v>10060.68</v>
      </c>
      <c r="J1414" t="s">
        <v>87</v>
      </c>
      <c r="K1414" t="s">
        <v>112</v>
      </c>
      <c r="L1414" t="s">
        <v>112</v>
      </c>
      <c r="M1414" t="s">
        <v>2817</v>
      </c>
      <c r="N1414" t="s">
        <v>2862</v>
      </c>
      <c r="O1414">
        <v>1143</v>
      </c>
      <c r="P1414">
        <v>2030</v>
      </c>
    </row>
    <row r="1415" spans="1:16" x14ac:dyDescent="0.3">
      <c r="A1415" t="s">
        <v>678</v>
      </c>
      <c r="B1415" s="45">
        <v>45633</v>
      </c>
      <c r="C1415" t="s">
        <v>638</v>
      </c>
      <c r="D1415" t="s">
        <v>226</v>
      </c>
      <c r="E1415" t="s">
        <v>204</v>
      </c>
      <c r="F1415">
        <v>9</v>
      </c>
      <c r="G1415">
        <v>3730</v>
      </c>
      <c r="H1415">
        <v>10</v>
      </c>
      <c r="I1415">
        <v>30213</v>
      </c>
      <c r="J1415" t="s">
        <v>87</v>
      </c>
      <c r="K1415" t="s">
        <v>99</v>
      </c>
      <c r="L1415" t="s">
        <v>99</v>
      </c>
      <c r="M1415" t="s">
        <v>2817</v>
      </c>
      <c r="N1415" t="s">
        <v>2862</v>
      </c>
      <c r="O1415">
        <v>2135</v>
      </c>
      <c r="P1415">
        <v>3730</v>
      </c>
    </row>
    <row r="1416" spans="1:16" x14ac:dyDescent="0.3">
      <c r="A1416" t="s">
        <v>679</v>
      </c>
      <c r="B1416" s="45">
        <v>45309</v>
      </c>
      <c r="C1416" t="s">
        <v>680</v>
      </c>
      <c r="D1416" t="s">
        <v>443</v>
      </c>
      <c r="E1416" t="s">
        <v>139</v>
      </c>
      <c r="F1416">
        <v>5</v>
      </c>
      <c r="G1416">
        <v>5080</v>
      </c>
      <c r="H1416">
        <v>15.3</v>
      </c>
      <c r="I1416">
        <v>21513.8</v>
      </c>
      <c r="J1416" t="s">
        <v>87</v>
      </c>
      <c r="K1416" t="s">
        <v>94</v>
      </c>
      <c r="L1416" t="s">
        <v>94</v>
      </c>
      <c r="M1416" t="s">
        <v>2817</v>
      </c>
      <c r="N1416" t="s">
        <v>2855</v>
      </c>
      <c r="O1416">
        <v>2459</v>
      </c>
      <c r="P1416">
        <v>5080</v>
      </c>
    </row>
    <row r="1417" spans="1:16" x14ac:dyDescent="0.3">
      <c r="A1417" t="s">
        <v>696</v>
      </c>
      <c r="B1417" s="45">
        <v>45450</v>
      </c>
      <c r="C1417" t="s">
        <v>697</v>
      </c>
      <c r="D1417" t="s">
        <v>270</v>
      </c>
      <c r="E1417" t="s">
        <v>192</v>
      </c>
      <c r="F1417">
        <v>4</v>
      </c>
      <c r="G1417">
        <v>4610</v>
      </c>
      <c r="H1417">
        <v>18.2</v>
      </c>
      <c r="I1417">
        <v>15083.92</v>
      </c>
      <c r="J1417" t="s">
        <v>87</v>
      </c>
      <c r="K1417" t="s">
        <v>133</v>
      </c>
      <c r="L1417" t="s">
        <v>133</v>
      </c>
      <c r="M1417" t="s">
        <v>2817</v>
      </c>
      <c r="N1417" t="s">
        <v>2871</v>
      </c>
      <c r="O1417">
        <v>1850</v>
      </c>
      <c r="P1417">
        <v>4610</v>
      </c>
    </row>
    <row r="1418" spans="1:16" x14ac:dyDescent="0.3">
      <c r="A1418" t="s">
        <v>731</v>
      </c>
      <c r="B1418" s="45">
        <v>45506</v>
      </c>
      <c r="C1418" t="s">
        <v>595</v>
      </c>
      <c r="D1418" t="s">
        <v>164</v>
      </c>
      <c r="E1418" t="s">
        <v>188</v>
      </c>
      <c r="F1418">
        <v>1</v>
      </c>
      <c r="G1418">
        <v>1080</v>
      </c>
      <c r="H1418">
        <v>1.8</v>
      </c>
      <c r="I1418">
        <v>1060.56</v>
      </c>
      <c r="J1418" t="s">
        <v>87</v>
      </c>
      <c r="K1418" t="s">
        <v>99</v>
      </c>
      <c r="L1418" t="s">
        <v>99</v>
      </c>
      <c r="M1418" t="s">
        <v>2817</v>
      </c>
      <c r="N1418" t="s">
        <v>2862</v>
      </c>
      <c r="O1418">
        <v>519</v>
      </c>
      <c r="P1418">
        <v>1080</v>
      </c>
    </row>
    <row r="1419" spans="1:16" x14ac:dyDescent="0.3">
      <c r="A1419" t="s">
        <v>740</v>
      </c>
      <c r="B1419" s="45">
        <v>45520</v>
      </c>
      <c r="C1419" t="s">
        <v>741</v>
      </c>
      <c r="D1419" t="s">
        <v>110</v>
      </c>
      <c r="E1419" t="s">
        <v>128</v>
      </c>
      <c r="F1419">
        <v>2</v>
      </c>
      <c r="G1419">
        <v>370</v>
      </c>
      <c r="H1419">
        <v>7.2</v>
      </c>
      <c r="I1419">
        <v>686.72</v>
      </c>
      <c r="J1419" t="s">
        <v>87</v>
      </c>
      <c r="K1419" t="s">
        <v>133</v>
      </c>
      <c r="L1419" t="s">
        <v>133</v>
      </c>
      <c r="M1419" t="s">
        <v>2817</v>
      </c>
      <c r="N1419" t="s">
        <v>2879</v>
      </c>
      <c r="O1419">
        <v>288</v>
      </c>
      <c r="P1419">
        <v>370</v>
      </c>
    </row>
    <row r="1420" spans="1:16" x14ac:dyDescent="0.3">
      <c r="A1420" t="s">
        <v>761</v>
      </c>
      <c r="B1420" s="45">
        <v>45476</v>
      </c>
      <c r="C1420" t="s">
        <v>762</v>
      </c>
      <c r="D1420" t="s">
        <v>502</v>
      </c>
      <c r="E1420" t="s">
        <v>98</v>
      </c>
      <c r="F1420">
        <v>6</v>
      </c>
      <c r="G1420">
        <v>1090</v>
      </c>
      <c r="H1420">
        <v>2.9</v>
      </c>
      <c r="I1420">
        <v>6350.34</v>
      </c>
      <c r="J1420" t="s">
        <v>140</v>
      </c>
      <c r="K1420" t="s">
        <v>133</v>
      </c>
      <c r="L1420" t="s">
        <v>133</v>
      </c>
      <c r="M1420" t="s">
        <v>2817</v>
      </c>
      <c r="N1420" t="s">
        <v>2862</v>
      </c>
      <c r="O1420">
        <v>464</v>
      </c>
      <c r="P1420">
        <v>1090</v>
      </c>
    </row>
    <row r="1421" spans="1:16" x14ac:dyDescent="0.3">
      <c r="A1421" t="s">
        <v>772</v>
      </c>
      <c r="B1421" s="45">
        <v>45653</v>
      </c>
      <c r="C1421" t="s">
        <v>359</v>
      </c>
      <c r="D1421" t="s">
        <v>443</v>
      </c>
      <c r="E1421" t="s">
        <v>111</v>
      </c>
      <c r="F1421">
        <v>2</v>
      </c>
      <c r="G1421">
        <v>5080</v>
      </c>
      <c r="H1421">
        <v>2.5</v>
      </c>
      <c r="I1421">
        <v>9906</v>
      </c>
      <c r="J1421" t="s">
        <v>140</v>
      </c>
      <c r="K1421" t="s">
        <v>99</v>
      </c>
      <c r="L1421" t="s">
        <v>99</v>
      </c>
      <c r="M1421" t="s">
        <v>2817</v>
      </c>
      <c r="N1421" t="s">
        <v>2879</v>
      </c>
      <c r="O1421">
        <v>2459</v>
      </c>
      <c r="P1421">
        <v>5080</v>
      </c>
    </row>
    <row r="1422" spans="1:16" x14ac:dyDescent="0.3">
      <c r="A1422" t="s">
        <v>778</v>
      </c>
      <c r="B1422" s="45">
        <v>45364</v>
      </c>
      <c r="C1422" t="s">
        <v>779</v>
      </c>
      <c r="D1422" t="s">
        <v>295</v>
      </c>
      <c r="E1422" t="s">
        <v>128</v>
      </c>
      <c r="F1422">
        <v>10</v>
      </c>
      <c r="G1422">
        <v>2030</v>
      </c>
      <c r="H1422">
        <v>8.5</v>
      </c>
      <c r="I1422">
        <v>18574.5</v>
      </c>
      <c r="J1422" t="s">
        <v>87</v>
      </c>
      <c r="K1422" t="s">
        <v>117</v>
      </c>
      <c r="L1422" t="s">
        <v>117</v>
      </c>
      <c r="M1422" t="s">
        <v>2817</v>
      </c>
      <c r="N1422" t="s">
        <v>2879</v>
      </c>
      <c r="O1422">
        <v>1143</v>
      </c>
      <c r="P1422">
        <v>2030</v>
      </c>
    </row>
    <row r="1423" spans="1:16" x14ac:dyDescent="0.3">
      <c r="A1423" t="s">
        <v>780</v>
      </c>
      <c r="B1423" s="45">
        <v>45560</v>
      </c>
      <c r="C1423" t="s">
        <v>781</v>
      </c>
      <c r="D1423" t="s">
        <v>443</v>
      </c>
      <c r="E1423" t="s">
        <v>148</v>
      </c>
      <c r="F1423">
        <v>8</v>
      </c>
      <c r="G1423">
        <v>5080</v>
      </c>
      <c r="H1423">
        <v>9.6</v>
      </c>
      <c r="I1423">
        <v>36738.559999999998</v>
      </c>
      <c r="J1423" t="s">
        <v>140</v>
      </c>
      <c r="K1423" t="s">
        <v>99</v>
      </c>
      <c r="L1423" t="s">
        <v>99</v>
      </c>
      <c r="M1423" t="s">
        <v>2817</v>
      </c>
      <c r="N1423" t="s">
        <v>2855</v>
      </c>
      <c r="O1423">
        <v>2459</v>
      </c>
      <c r="P1423">
        <v>5080</v>
      </c>
    </row>
    <row r="1424" spans="1:16" x14ac:dyDescent="0.3">
      <c r="A1424" t="s">
        <v>806</v>
      </c>
      <c r="B1424" s="45">
        <v>45307</v>
      </c>
      <c r="C1424" t="s">
        <v>807</v>
      </c>
      <c r="D1424" t="s">
        <v>443</v>
      </c>
      <c r="E1424" t="s">
        <v>128</v>
      </c>
      <c r="F1424">
        <v>6</v>
      </c>
      <c r="G1424">
        <v>5080</v>
      </c>
      <c r="H1424">
        <v>25.4</v>
      </c>
      <c r="I1424">
        <v>22738.080000000002</v>
      </c>
      <c r="J1424" t="s">
        <v>87</v>
      </c>
      <c r="K1424" t="s">
        <v>88</v>
      </c>
      <c r="L1424" t="s">
        <v>88</v>
      </c>
      <c r="M1424" t="s">
        <v>2817</v>
      </c>
      <c r="N1424" t="s">
        <v>2879</v>
      </c>
      <c r="O1424">
        <v>2459</v>
      </c>
      <c r="P1424">
        <v>5080</v>
      </c>
    </row>
    <row r="1425" spans="1:16" x14ac:dyDescent="0.3">
      <c r="A1425" t="s">
        <v>819</v>
      </c>
      <c r="B1425" s="45">
        <v>45581</v>
      </c>
      <c r="C1425" t="s">
        <v>617</v>
      </c>
      <c r="D1425" t="s">
        <v>203</v>
      </c>
      <c r="E1425" t="s">
        <v>297</v>
      </c>
      <c r="F1425">
        <v>2</v>
      </c>
      <c r="G1425">
        <v>660</v>
      </c>
      <c r="H1425">
        <v>2.2999999999999998</v>
      </c>
      <c r="I1425">
        <v>1289.6400000000001</v>
      </c>
      <c r="J1425" t="s">
        <v>87</v>
      </c>
      <c r="K1425" t="s">
        <v>112</v>
      </c>
      <c r="L1425" t="s">
        <v>112</v>
      </c>
      <c r="M1425" t="s">
        <v>2817</v>
      </c>
      <c r="N1425" t="s">
        <v>2855</v>
      </c>
      <c r="O1425">
        <v>329</v>
      </c>
      <c r="P1425">
        <v>660</v>
      </c>
    </row>
    <row r="1426" spans="1:16" x14ac:dyDescent="0.3">
      <c r="A1426" t="s">
        <v>822</v>
      </c>
      <c r="B1426" s="45">
        <v>45515</v>
      </c>
      <c r="C1426" t="s">
        <v>823</v>
      </c>
      <c r="D1426" t="s">
        <v>270</v>
      </c>
      <c r="E1426" t="s">
        <v>98</v>
      </c>
      <c r="F1426">
        <v>4</v>
      </c>
      <c r="G1426">
        <v>4610</v>
      </c>
      <c r="H1426">
        <v>18.7</v>
      </c>
      <c r="I1426">
        <v>14991.72</v>
      </c>
      <c r="J1426" t="s">
        <v>87</v>
      </c>
      <c r="K1426" t="s">
        <v>94</v>
      </c>
      <c r="L1426" t="s">
        <v>94</v>
      </c>
      <c r="M1426" t="s">
        <v>2817</v>
      </c>
      <c r="N1426" t="s">
        <v>2862</v>
      </c>
      <c r="O1426">
        <v>1850</v>
      </c>
      <c r="P1426">
        <v>4610</v>
      </c>
    </row>
    <row r="1427" spans="1:16" x14ac:dyDescent="0.3">
      <c r="A1427" t="s">
        <v>827</v>
      </c>
      <c r="B1427" s="45">
        <v>45407</v>
      </c>
      <c r="C1427" t="s">
        <v>828</v>
      </c>
      <c r="D1427" t="s">
        <v>502</v>
      </c>
      <c r="E1427" t="s">
        <v>170</v>
      </c>
      <c r="F1427">
        <v>9</v>
      </c>
      <c r="G1427">
        <v>1090</v>
      </c>
      <c r="H1427">
        <v>28.5</v>
      </c>
      <c r="I1427">
        <v>7014.15</v>
      </c>
      <c r="J1427" t="s">
        <v>87</v>
      </c>
      <c r="K1427" t="s">
        <v>133</v>
      </c>
      <c r="L1427" t="s">
        <v>133</v>
      </c>
      <c r="M1427" t="s">
        <v>2817</v>
      </c>
      <c r="N1427" t="s">
        <v>2879</v>
      </c>
      <c r="O1427">
        <v>464</v>
      </c>
      <c r="P1427">
        <v>1090</v>
      </c>
    </row>
    <row r="1428" spans="1:16" x14ac:dyDescent="0.3">
      <c r="A1428" t="s">
        <v>829</v>
      </c>
      <c r="B1428" s="45">
        <v>45581</v>
      </c>
      <c r="C1428" t="s">
        <v>585</v>
      </c>
      <c r="D1428" t="s">
        <v>502</v>
      </c>
      <c r="E1428" t="s">
        <v>128</v>
      </c>
      <c r="F1428">
        <v>6</v>
      </c>
      <c r="G1428">
        <v>1090</v>
      </c>
      <c r="H1428">
        <v>28.7</v>
      </c>
      <c r="I1428">
        <v>4663.0200000000004</v>
      </c>
      <c r="J1428" t="s">
        <v>87</v>
      </c>
      <c r="K1428" t="s">
        <v>94</v>
      </c>
      <c r="L1428" t="s">
        <v>94</v>
      </c>
      <c r="M1428" t="s">
        <v>2817</v>
      </c>
      <c r="N1428" t="s">
        <v>2879</v>
      </c>
      <c r="O1428">
        <v>464</v>
      </c>
      <c r="P1428">
        <v>1090</v>
      </c>
    </row>
    <row r="1429" spans="1:16" x14ac:dyDescent="0.3">
      <c r="A1429" t="s">
        <v>833</v>
      </c>
      <c r="B1429" s="45">
        <v>45418</v>
      </c>
      <c r="C1429" t="s">
        <v>254</v>
      </c>
      <c r="D1429" t="s">
        <v>124</v>
      </c>
      <c r="E1429" t="s">
        <v>139</v>
      </c>
      <c r="F1429">
        <v>6</v>
      </c>
      <c r="G1429">
        <v>5490</v>
      </c>
      <c r="H1429">
        <v>8.5</v>
      </c>
      <c r="I1429">
        <v>30140.1</v>
      </c>
      <c r="J1429" t="s">
        <v>144</v>
      </c>
      <c r="K1429" t="s">
        <v>94</v>
      </c>
      <c r="L1429" t="s">
        <v>94</v>
      </c>
      <c r="M1429" t="s">
        <v>2817</v>
      </c>
      <c r="N1429" t="s">
        <v>2855</v>
      </c>
      <c r="O1429">
        <v>2549</v>
      </c>
      <c r="P1429">
        <v>5490</v>
      </c>
    </row>
    <row r="1430" spans="1:16" x14ac:dyDescent="0.3">
      <c r="A1430" t="s">
        <v>846</v>
      </c>
      <c r="B1430" s="45">
        <v>45420</v>
      </c>
      <c r="C1430" t="s">
        <v>606</v>
      </c>
      <c r="D1430" t="s">
        <v>110</v>
      </c>
      <c r="E1430" t="s">
        <v>92</v>
      </c>
      <c r="F1430">
        <v>9</v>
      </c>
      <c r="G1430">
        <v>370</v>
      </c>
      <c r="H1430">
        <v>17</v>
      </c>
      <c r="I1430">
        <v>2763.9</v>
      </c>
      <c r="J1430" t="s">
        <v>87</v>
      </c>
      <c r="K1430" t="s">
        <v>112</v>
      </c>
      <c r="L1430" t="s">
        <v>112</v>
      </c>
      <c r="M1430" t="s">
        <v>2817</v>
      </c>
      <c r="N1430" t="s">
        <v>2855</v>
      </c>
      <c r="O1430">
        <v>288</v>
      </c>
      <c r="P1430">
        <v>370</v>
      </c>
    </row>
    <row r="1431" spans="1:16" x14ac:dyDescent="0.3">
      <c r="A1431" t="s">
        <v>852</v>
      </c>
      <c r="B1431" s="45">
        <v>45522</v>
      </c>
      <c r="C1431" t="s">
        <v>429</v>
      </c>
      <c r="D1431" t="s">
        <v>443</v>
      </c>
      <c r="E1431" t="s">
        <v>98</v>
      </c>
      <c r="F1431">
        <v>5</v>
      </c>
      <c r="G1431">
        <v>5080</v>
      </c>
      <c r="H1431">
        <v>10.3</v>
      </c>
      <c r="I1431">
        <v>22783.8</v>
      </c>
      <c r="J1431" t="s">
        <v>87</v>
      </c>
      <c r="K1431" t="s">
        <v>117</v>
      </c>
      <c r="L1431" t="s">
        <v>117</v>
      </c>
      <c r="M1431" t="s">
        <v>2817</v>
      </c>
      <c r="N1431" t="s">
        <v>2862</v>
      </c>
      <c r="O1431">
        <v>2459</v>
      </c>
      <c r="P1431">
        <v>5080</v>
      </c>
    </row>
    <row r="1432" spans="1:16" x14ac:dyDescent="0.3">
      <c r="A1432" t="s">
        <v>859</v>
      </c>
      <c r="B1432" s="45">
        <v>45629</v>
      </c>
      <c r="C1432" t="s">
        <v>487</v>
      </c>
      <c r="D1432" t="s">
        <v>143</v>
      </c>
      <c r="E1432" t="s">
        <v>92</v>
      </c>
      <c r="F1432">
        <v>8</v>
      </c>
      <c r="G1432">
        <v>3250</v>
      </c>
      <c r="H1432">
        <v>5.4</v>
      </c>
      <c r="I1432">
        <v>24596</v>
      </c>
      <c r="J1432" t="s">
        <v>87</v>
      </c>
      <c r="K1432" t="s">
        <v>88</v>
      </c>
      <c r="L1432" t="s">
        <v>88</v>
      </c>
      <c r="M1432" t="s">
        <v>2817</v>
      </c>
      <c r="N1432" t="s">
        <v>2855</v>
      </c>
      <c r="O1432">
        <v>1556</v>
      </c>
      <c r="P1432">
        <v>3250</v>
      </c>
    </row>
    <row r="1433" spans="1:16" x14ac:dyDescent="0.3">
      <c r="A1433" t="s">
        <v>869</v>
      </c>
      <c r="B1433" s="45">
        <v>45586</v>
      </c>
      <c r="C1433" t="s">
        <v>870</v>
      </c>
      <c r="D1433" t="s">
        <v>203</v>
      </c>
      <c r="E1433" t="s">
        <v>154</v>
      </c>
      <c r="F1433">
        <v>2</v>
      </c>
      <c r="G1433">
        <v>660</v>
      </c>
      <c r="H1433">
        <v>5</v>
      </c>
      <c r="I1433">
        <v>1254</v>
      </c>
      <c r="J1433" t="s">
        <v>87</v>
      </c>
      <c r="K1433" t="s">
        <v>117</v>
      </c>
      <c r="L1433" t="s">
        <v>117</v>
      </c>
      <c r="M1433" t="s">
        <v>2817</v>
      </c>
      <c r="N1433" t="s">
        <v>2871</v>
      </c>
      <c r="O1433">
        <v>329</v>
      </c>
      <c r="P1433">
        <v>660</v>
      </c>
    </row>
    <row r="1434" spans="1:16" x14ac:dyDescent="0.3">
      <c r="A1434" t="s">
        <v>421</v>
      </c>
      <c r="B1434" s="45">
        <v>45474</v>
      </c>
      <c r="C1434" t="s">
        <v>883</v>
      </c>
      <c r="D1434" t="s">
        <v>270</v>
      </c>
      <c r="E1434" t="s">
        <v>297</v>
      </c>
      <c r="F1434">
        <v>4</v>
      </c>
      <c r="G1434">
        <v>4610</v>
      </c>
      <c r="H1434">
        <v>13.2</v>
      </c>
      <c r="I1434">
        <v>16005.92</v>
      </c>
      <c r="J1434" t="s">
        <v>87</v>
      </c>
      <c r="K1434" t="s">
        <v>133</v>
      </c>
      <c r="L1434" t="s">
        <v>133</v>
      </c>
      <c r="M1434" t="s">
        <v>2817</v>
      </c>
      <c r="N1434" t="s">
        <v>2855</v>
      </c>
      <c r="O1434">
        <v>1850</v>
      </c>
      <c r="P1434">
        <v>4610</v>
      </c>
    </row>
    <row r="1435" spans="1:16" x14ac:dyDescent="0.3">
      <c r="A1435" t="s">
        <v>884</v>
      </c>
      <c r="B1435" s="45">
        <v>45361</v>
      </c>
      <c r="C1435" t="s">
        <v>263</v>
      </c>
      <c r="D1435" t="s">
        <v>270</v>
      </c>
      <c r="E1435" t="s">
        <v>158</v>
      </c>
      <c r="F1435">
        <v>9</v>
      </c>
      <c r="G1435">
        <v>4610</v>
      </c>
      <c r="H1435">
        <v>25.8</v>
      </c>
      <c r="I1435">
        <v>30785.58</v>
      </c>
      <c r="J1435" t="s">
        <v>87</v>
      </c>
      <c r="K1435" t="s">
        <v>133</v>
      </c>
      <c r="L1435" t="s">
        <v>133</v>
      </c>
      <c r="M1435" t="s">
        <v>2817</v>
      </c>
      <c r="N1435" t="s">
        <v>2871</v>
      </c>
      <c r="O1435">
        <v>1850</v>
      </c>
      <c r="P1435">
        <v>4610</v>
      </c>
    </row>
    <row r="1436" spans="1:16" x14ac:dyDescent="0.3">
      <c r="A1436" t="s">
        <v>901</v>
      </c>
      <c r="B1436" s="45">
        <v>45454</v>
      </c>
      <c r="C1436" t="s">
        <v>902</v>
      </c>
      <c r="D1436" t="s">
        <v>143</v>
      </c>
      <c r="E1436" t="s">
        <v>158</v>
      </c>
      <c r="F1436">
        <v>2</v>
      </c>
      <c r="G1436">
        <v>3250</v>
      </c>
      <c r="H1436">
        <v>24.7</v>
      </c>
      <c r="I1436">
        <v>4894.5</v>
      </c>
      <c r="J1436" t="s">
        <v>87</v>
      </c>
      <c r="K1436" t="s">
        <v>112</v>
      </c>
      <c r="L1436" t="s">
        <v>112</v>
      </c>
      <c r="M1436" t="s">
        <v>2817</v>
      </c>
      <c r="N1436" t="s">
        <v>2871</v>
      </c>
      <c r="O1436">
        <v>1556</v>
      </c>
      <c r="P1436">
        <v>3250</v>
      </c>
    </row>
    <row r="1437" spans="1:16" x14ac:dyDescent="0.3">
      <c r="A1437" t="s">
        <v>909</v>
      </c>
      <c r="B1437" s="45">
        <v>45554</v>
      </c>
      <c r="C1437" t="s">
        <v>910</v>
      </c>
      <c r="D1437" t="s">
        <v>143</v>
      </c>
      <c r="E1437" t="s">
        <v>285</v>
      </c>
      <c r="F1437">
        <v>2</v>
      </c>
      <c r="G1437">
        <v>3250</v>
      </c>
      <c r="H1437">
        <v>25.7</v>
      </c>
      <c r="I1437">
        <v>4829.5</v>
      </c>
      <c r="J1437" t="s">
        <v>144</v>
      </c>
      <c r="K1437" t="s">
        <v>99</v>
      </c>
      <c r="L1437" t="s">
        <v>99</v>
      </c>
      <c r="M1437" t="s">
        <v>2817</v>
      </c>
      <c r="N1437" t="s">
        <v>2871</v>
      </c>
      <c r="O1437">
        <v>1556</v>
      </c>
      <c r="P1437">
        <v>3250</v>
      </c>
    </row>
    <row r="1438" spans="1:16" x14ac:dyDescent="0.3">
      <c r="A1438" t="s">
        <v>913</v>
      </c>
      <c r="B1438" s="45">
        <v>45496</v>
      </c>
      <c r="C1438" t="s">
        <v>434</v>
      </c>
      <c r="D1438" t="s">
        <v>502</v>
      </c>
      <c r="E1438" t="s">
        <v>132</v>
      </c>
      <c r="F1438">
        <v>1</v>
      </c>
      <c r="G1438">
        <v>1090</v>
      </c>
      <c r="H1438">
        <v>18.399999999999999</v>
      </c>
      <c r="I1438">
        <v>889.44</v>
      </c>
      <c r="J1438" t="s">
        <v>87</v>
      </c>
      <c r="K1438" t="s">
        <v>99</v>
      </c>
      <c r="L1438" t="s">
        <v>99</v>
      </c>
      <c r="M1438" t="s">
        <v>2817</v>
      </c>
      <c r="N1438" t="s">
        <v>2862</v>
      </c>
      <c r="O1438">
        <v>464</v>
      </c>
      <c r="P1438">
        <v>1090</v>
      </c>
    </row>
    <row r="1439" spans="1:16" x14ac:dyDescent="0.3">
      <c r="A1439" t="s">
        <v>916</v>
      </c>
      <c r="B1439" s="45">
        <v>45323</v>
      </c>
      <c r="C1439" t="s">
        <v>119</v>
      </c>
      <c r="D1439" t="s">
        <v>164</v>
      </c>
      <c r="E1439" t="s">
        <v>170</v>
      </c>
      <c r="F1439">
        <v>3</v>
      </c>
      <c r="G1439">
        <v>1080</v>
      </c>
      <c r="H1439">
        <v>3.4</v>
      </c>
      <c r="I1439">
        <v>3129.84</v>
      </c>
      <c r="J1439" t="s">
        <v>87</v>
      </c>
      <c r="K1439" t="s">
        <v>117</v>
      </c>
      <c r="L1439" t="s">
        <v>117</v>
      </c>
      <c r="M1439" t="s">
        <v>2817</v>
      </c>
      <c r="N1439" t="s">
        <v>2879</v>
      </c>
      <c r="O1439">
        <v>519</v>
      </c>
      <c r="P1439">
        <v>1080</v>
      </c>
    </row>
    <row r="1440" spans="1:16" x14ac:dyDescent="0.3">
      <c r="A1440" t="s">
        <v>960</v>
      </c>
      <c r="B1440" s="45">
        <v>45566</v>
      </c>
      <c r="C1440" t="s">
        <v>289</v>
      </c>
      <c r="D1440" t="s">
        <v>443</v>
      </c>
      <c r="E1440" t="s">
        <v>103</v>
      </c>
      <c r="F1440">
        <v>4</v>
      </c>
      <c r="G1440">
        <v>5080</v>
      </c>
      <c r="H1440">
        <v>28.6</v>
      </c>
      <c r="I1440">
        <v>14508.48</v>
      </c>
      <c r="J1440" t="s">
        <v>87</v>
      </c>
      <c r="K1440" t="s">
        <v>94</v>
      </c>
      <c r="L1440" t="s">
        <v>94</v>
      </c>
      <c r="M1440" t="s">
        <v>2817</v>
      </c>
      <c r="N1440" t="s">
        <v>2855</v>
      </c>
      <c r="O1440">
        <v>2459</v>
      </c>
      <c r="P1440">
        <v>5080</v>
      </c>
    </row>
    <row r="1441" spans="1:16" x14ac:dyDescent="0.3">
      <c r="A1441" t="s">
        <v>961</v>
      </c>
      <c r="B1441" s="45">
        <v>45392</v>
      </c>
      <c r="C1441" t="s">
        <v>479</v>
      </c>
      <c r="D1441" t="s">
        <v>110</v>
      </c>
      <c r="E1441" t="s">
        <v>297</v>
      </c>
      <c r="F1441">
        <v>4</v>
      </c>
      <c r="G1441">
        <v>370</v>
      </c>
      <c r="H1441">
        <v>12.6</v>
      </c>
      <c r="I1441">
        <v>1293.52</v>
      </c>
      <c r="J1441" t="s">
        <v>93</v>
      </c>
      <c r="K1441" t="s">
        <v>88</v>
      </c>
      <c r="L1441" t="s">
        <v>88</v>
      </c>
      <c r="M1441" t="s">
        <v>2817</v>
      </c>
      <c r="N1441" t="s">
        <v>2855</v>
      </c>
      <c r="O1441">
        <v>288</v>
      </c>
      <c r="P1441">
        <v>370</v>
      </c>
    </row>
    <row r="1442" spans="1:16" x14ac:dyDescent="0.3">
      <c r="A1442" t="s">
        <v>973</v>
      </c>
      <c r="B1442" s="45">
        <v>45542</v>
      </c>
      <c r="C1442" t="s">
        <v>420</v>
      </c>
      <c r="D1442" t="s">
        <v>502</v>
      </c>
      <c r="E1442" t="s">
        <v>204</v>
      </c>
      <c r="F1442">
        <v>8</v>
      </c>
      <c r="G1442">
        <v>1090</v>
      </c>
      <c r="H1442">
        <v>13.2</v>
      </c>
      <c r="I1442">
        <v>7568.96</v>
      </c>
      <c r="J1442" t="s">
        <v>144</v>
      </c>
      <c r="K1442" t="s">
        <v>99</v>
      </c>
      <c r="L1442" t="s">
        <v>99</v>
      </c>
      <c r="M1442" t="s">
        <v>2817</v>
      </c>
      <c r="N1442" t="s">
        <v>2862</v>
      </c>
      <c r="O1442">
        <v>464</v>
      </c>
      <c r="P1442">
        <v>1090</v>
      </c>
    </row>
    <row r="1443" spans="1:16" x14ac:dyDescent="0.3">
      <c r="A1443" t="s">
        <v>993</v>
      </c>
      <c r="B1443" s="45">
        <v>45546</v>
      </c>
      <c r="C1443" t="s">
        <v>610</v>
      </c>
      <c r="D1443" t="s">
        <v>443</v>
      </c>
      <c r="E1443" t="s">
        <v>204</v>
      </c>
      <c r="F1443">
        <v>7</v>
      </c>
      <c r="G1443">
        <v>5080</v>
      </c>
      <c r="H1443">
        <v>16.600000000000001</v>
      </c>
      <c r="I1443">
        <v>29657.040000000001</v>
      </c>
      <c r="J1443" t="s">
        <v>93</v>
      </c>
      <c r="K1443" t="s">
        <v>117</v>
      </c>
      <c r="L1443" t="s">
        <v>117</v>
      </c>
      <c r="M1443" t="s">
        <v>2817</v>
      </c>
      <c r="N1443" t="s">
        <v>2862</v>
      </c>
      <c r="O1443">
        <v>2459</v>
      </c>
      <c r="P1443">
        <v>5080</v>
      </c>
    </row>
    <row r="1444" spans="1:16" x14ac:dyDescent="0.3">
      <c r="A1444" t="s">
        <v>994</v>
      </c>
      <c r="B1444" s="45">
        <v>45436</v>
      </c>
      <c r="C1444" t="s">
        <v>156</v>
      </c>
      <c r="D1444" t="s">
        <v>443</v>
      </c>
      <c r="E1444" t="s">
        <v>188</v>
      </c>
      <c r="F1444">
        <v>10</v>
      </c>
      <c r="G1444">
        <v>5080</v>
      </c>
      <c r="H1444">
        <v>24.6</v>
      </c>
      <c r="I1444">
        <v>38303.199999999997</v>
      </c>
      <c r="J1444" t="s">
        <v>87</v>
      </c>
      <c r="K1444" t="s">
        <v>133</v>
      </c>
      <c r="L1444" t="s">
        <v>133</v>
      </c>
      <c r="M1444" t="s">
        <v>2817</v>
      </c>
      <c r="N1444" t="s">
        <v>2862</v>
      </c>
      <c r="O1444">
        <v>2459</v>
      </c>
      <c r="P1444">
        <v>5080</v>
      </c>
    </row>
    <row r="1445" spans="1:16" x14ac:dyDescent="0.3">
      <c r="A1445" t="s">
        <v>1005</v>
      </c>
      <c r="B1445" s="45">
        <v>45571</v>
      </c>
      <c r="C1445" t="s">
        <v>1006</v>
      </c>
      <c r="D1445" t="s">
        <v>110</v>
      </c>
      <c r="E1445" t="s">
        <v>273</v>
      </c>
      <c r="F1445">
        <v>1</v>
      </c>
      <c r="G1445">
        <v>370</v>
      </c>
      <c r="H1445">
        <v>10.3</v>
      </c>
      <c r="I1445">
        <v>331.89</v>
      </c>
      <c r="J1445" t="s">
        <v>144</v>
      </c>
      <c r="K1445" t="s">
        <v>117</v>
      </c>
      <c r="L1445" t="s">
        <v>117</v>
      </c>
      <c r="M1445" t="s">
        <v>2817</v>
      </c>
      <c r="N1445" t="s">
        <v>2862</v>
      </c>
      <c r="O1445">
        <v>288</v>
      </c>
      <c r="P1445">
        <v>370</v>
      </c>
    </row>
    <row r="1446" spans="1:16" x14ac:dyDescent="0.3">
      <c r="A1446" t="s">
        <v>1026</v>
      </c>
      <c r="B1446" s="45">
        <v>45358</v>
      </c>
      <c r="C1446" t="s">
        <v>1027</v>
      </c>
      <c r="D1446" t="s">
        <v>226</v>
      </c>
      <c r="E1446" t="s">
        <v>158</v>
      </c>
      <c r="F1446">
        <v>5</v>
      </c>
      <c r="G1446">
        <v>3730</v>
      </c>
      <c r="H1446">
        <v>16.5</v>
      </c>
      <c r="I1446">
        <v>15572.75</v>
      </c>
      <c r="J1446" t="s">
        <v>87</v>
      </c>
      <c r="K1446" t="s">
        <v>112</v>
      </c>
      <c r="L1446" t="s">
        <v>112</v>
      </c>
      <c r="M1446" t="s">
        <v>2817</v>
      </c>
      <c r="N1446" t="s">
        <v>2871</v>
      </c>
      <c r="O1446">
        <v>2135</v>
      </c>
      <c r="P1446">
        <v>3730</v>
      </c>
    </row>
    <row r="1447" spans="1:16" x14ac:dyDescent="0.3">
      <c r="A1447" t="s">
        <v>1033</v>
      </c>
      <c r="B1447" s="45">
        <v>45477</v>
      </c>
      <c r="C1447" t="s">
        <v>490</v>
      </c>
      <c r="D1447" t="s">
        <v>226</v>
      </c>
      <c r="E1447" t="s">
        <v>325</v>
      </c>
      <c r="F1447">
        <v>6</v>
      </c>
      <c r="G1447">
        <v>3730</v>
      </c>
      <c r="H1447">
        <v>21.9</v>
      </c>
      <c r="I1447">
        <v>17478.78</v>
      </c>
      <c r="J1447" t="s">
        <v>87</v>
      </c>
      <c r="K1447" t="s">
        <v>99</v>
      </c>
      <c r="L1447" t="s">
        <v>99</v>
      </c>
      <c r="M1447" t="s">
        <v>2817</v>
      </c>
      <c r="N1447" t="s">
        <v>2862</v>
      </c>
      <c r="O1447">
        <v>2135</v>
      </c>
      <c r="P1447">
        <v>3730</v>
      </c>
    </row>
    <row r="1448" spans="1:16" x14ac:dyDescent="0.3">
      <c r="A1448" t="s">
        <v>1039</v>
      </c>
      <c r="B1448" s="45">
        <v>45609</v>
      </c>
      <c r="C1448" t="s">
        <v>310</v>
      </c>
      <c r="D1448" t="s">
        <v>226</v>
      </c>
      <c r="E1448" t="s">
        <v>297</v>
      </c>
      <c r="F1448">
        <v>4</v>
      </c>
      <c r="G1448">
        <v>3730</v>
      </c>
      <c r="H1448">
        <v>3.4</v>
      </c>
      <c r="I1448">
        <v>14412.72</v>
      </c>
      <c r="J1448" t="s">
        <v>140</v>
      </c>
      <c r="K1448" t="s">
        <v>117</v>
      </c>
      <c r="L1448" t="s">
        <v>117</v>
      </c>
      <c r="M1448" t="s">
        <v>2817</v>
      </c>
      <c r="N1448" t="s">
        <v>2855</v>
      </c>
      <c r="O1448">
        <v>2135</v>
      </c>
      <c r="P1448">
        <v>3730</v>
      </c>
    </row>
    <row r="1449" spans="1:16" x14ac:dyDescent="0.3">
      <c r="A1449" t="s">
        <v>1043</v>
      </c>
      <c r="B1449" s="45">
        <v>45412</v>
      </c>
      <c r="C1449" t="s">
        <v>963</v>
      </c>
      <c r="D1449" t="s">
        <v>124</v>
      </c>
      <c r="E1449" t="s">
        <v>229</v>
      </c>
      <c r="F1449">
        <v>4</v>
      </c>
      <c r="G1449">
        <v>5490</v>
      </c>
      <c r="H1449">
        <v>26.9</v>
      </c>
      <c r="I1449">
        <v>16052.76</v>
      </c>
      <c r="J1449" t="s">
        <v>87</v>
      </c>
      <c r="K1449" t="s">
        <v>94</v>
      </c>
      <c r="L1449" t="s">
        <v>94</v>
      </c>
      <c r="M1449" t="s">
        <v>2817</v>
      </c>
      <c r="N1449" t="s">
        <v>2879</v>
      </c>
      <c r="O1449">
        <v>2549</v>
      </c>
      <c r="P1449">
        <v>5490</v>
      </c>
    </row>
    <row r="1450" spans="1:16" x14ac:dyDescent="0.3">
      <c r="A1450" t="s">
        <v>1046</v>
      </c>
      <c r="B1450" s="45">
        <v>45503</v>
      </c>
      <c r="C1450" t="s">
        <v>1047</v>
      </c>
      <c r="D1450" t="s">
        <v>502</v>
      </c>
      <c r="E1450" t="s">
        <v>107</v>
      </c>
      <c r="F1450">
        <v>3</v>
      </c>
      <c r="G1450">
        <v>1090</v>
      </c>
      <c r="H1450">
        <v>28.1</v>
      </c>
      <c r="I1450">
        <v>2351.13</v>
      </c>
      <c r="J1450" t="s">
        <v>87</v>
      </c>
      <c r="K1450" t="s">
        <v>133</v>
      </c>
      <c r="L1450" t="s">
        <v>133</v>
      </c>
      <c r="M1450" t="s">
        <v>2817</v>
      </c>
      <c r="N1450" t="s">
        <v>2855</v>
      </c>
      <c r="O1450">
        <v>464</v>
      </c>
      <c r="P1450">
        <v>1090</v>
      </c>
    </row>
    <row r="1451" spans="1:16" x14ac:dyDescent="0.3">
      <c r="A1451" t="s">
        <v>1050</v>
      </c>
      <c r="B1451" s="45">
        <v>45533</v>
      </c>
      <c r="C1451" t="s">
        <v>1051</v>
      </c>
      <c r="D1451" t="s">
        <v>110</v>
      </c>
      <c r="E1451" t="s">
        <v>201</v>
      </c>
      <c r="F1451">
        <v>6</v>
      </c>
      <c r="G1451">
        <v>370</v>
      </c>
      <c r="H1451">
        <v>22.5</v>
      </c>
      <c r="I1451">
        <v>1720.5</v>
      </c>
      <c r="J1451" t="s">
        <v>87</v>
      </c>
      <c r="K1451" t="s">
        <v>112</v>
      </c>
      <c r="L1451" t="s">
        <v>112</v>
      </c>
      <c r="M1451" t="s">
        <v>2817</v>
      </c>
      <c r="N1451" t="s">
        <v>2879</v>
      </c>
      <c r="O1451">
        <v>288</v>
      </c>
      <c r="P1451">
        <v>370</v>
      </c>
    </row>
    <row r="1452" spans="1:16" x14ac:dyDescent="0.3">
      <c r="A1452" t="s">
        <v>1052</v>
      </c>
      <c r="B1452" s="45">
        <v>45649</v>
      </c>
      <c r="C1452" t="s">
        <v>250</v>
      </c>
      <c r="D1452" t="s">
        <v>443</v>
      </c>
      <c r="E1452" t="s">
        <v>103</v>
      </c>
      <c r="F1452">
        <v>5</v>
      </c>
      <c r="G1452">
        <v>5080</v>
      </c>
      <c r="H1452">
        <v>23.8</v>
      </c>
      <c r="I1452">
        <v>19354.8</v>
      </c>
      <c r="J1452" t="s">
        <v>87</v>
      </c>
      <c r="K1452" t="s">
        <v>117</v>
      </c>
      <c r="L1452" t="s">
        <v>117</v>
      </c>
      <c r="M1452" t="s">
        <v>2817</v>
      </c>
      <c r="N1452" t="s">
        <v>2855</v>
      </c>
      <c r="O1452">
        <v>2459</v>
      </c>
      <c r="P1452">
        <v>5080</v>
      </c>
    </row>
    <row r="1453" spans="1:16" x14ac:dyDescent="0.3">
      <c r="A1453" t="s">
        <v>1067</v>
      </c>
      <c r="B1453" s="45">
        <v>45468</v>
      </c>
      <c r="C1453" t="s">
        <v>613</v>
      </c>
      <c r="D1453" t="s">
        <v>110</v>
      </c>
      <c r="E1453" t="s">
        <v>343</v>
      </c>
      <c r="F1453">
        <v>5</v>
      </c>
      <c r="G1453">
        <v>370</v>
      </c>
      <c r="H1453">
        <v>21.7</v>
      </c>
      <c r="I1453">
        <v>1448.55</v>
      </c>
      <c r="J1453" t="s">
        <v>87</v>
      </c>
      <c r="K1453" t="s">
        <v>112</v>
      </c>
      <c r="L1453" t="s">
        <v>112</v>
      </c>
      <c r="M1453" t="s">
        <v>2817</v>
      </c>
      <c r="N1453" t="s">
        <v>2879</v>
      </c>
      <c r="O1453">
        <v>288</v>
      </c>
      <c r="P1453">
        <v>370</v>
      </c>
    </row>
    <row r="1454" spans="1:16" x14ac:dyDescent="0.3">
      <c r="A1454" t="s">
        <v>1075</v>
      </c>
      <c r="B1454" s="45">
        <v>45307</v>
      </c>
      <c r="C1454" t="s">
        <v>109</v>
      </c>
      <c r="D1454" t="s">
        <v>295</v>
      </c>
      <c r="E1454" t="s">
        <v>238</v>
      </c>
      <c r="F1454">
        <v>9</v>
      </c>
      <c r="G1454">
        <v>2030</v>
      </c>
      <c r="H1454">
        <v>23.4</v>
      </c>
      <c r="I1454">
        <v>13994.82</v>
      </c>
      <c r="J1454" t="s">
        <v>87</v>
      </c>
      <c r="K1454" t="s">
        <v>112</v>
      </c>
      <c r="L1454" t="s">
        <v>112</v>
      </c>
      <c r="M1454" t="s">
        <v>2817</v>
      </c>
      <c r="N1454" t="s">
        <v>2871</v>
      </c>
      <c r="O1454">
        <v>1143</v>
      </c>
      <c r="P1454">
        <v>2030</v>
      </c>
    </row>
    <row r="1455" spans="1:16" x14ac:dyDescent="0.3">
      <c r="A1455" t="s">
        <v>1097</v>
      </c>
      <c r="B1455" s="45">
        <v>45598</v>
      </c>
      <c r="C1455" t="s">
        <v>807</v>
      </c>
      <c r="D1455" t="s">
        <v>203</v>
      </c>
      <c r="E1455" t="s">
        <v>107</v>
      </c>
      <c r="F1455">
        <v>1</v>
      </c>
      <c r="G1455">
        <v>660</v>
      </c>
      <c r="H1455">
        <v>2.5</v>
      </c>
      <c r="I1455">
        <v>643.5</v>
      </c>
      <c r="J1455" t="s">
        <v>87</v>
      </c>
      <c r="K1455" t="s">
        <v>88</v>
      </c>
      <c r="L1455" t="s">
        <v>88</v>
      </c>
      <c r="M1455" t="s">
        <v>2817</v>
      </c>
      <c r="N1455" t="s">
        <v>2855</v>
      </c>
      <c r="O1455">
        <v>329</v>
      </c>
      <c r="P1455">
        <v>660</v>
      </c>
    </row>
    <row r="1456" spans="1:16" x14ac:dyDescent="0.3">
      <c r="A1456" t="s">
        <v>1099</v>
      </c>
      <c r="B1456" s="45">
        <v>45542</v>
      </c>
      <c r="C1456" t="s">
        <v>254</v>
      </c>
      <c r="D1456" t="s">
        <v>110</v>
      </c>
      <c r="E1456" t="s">
        <v>346</v>
      </c>
      <c r="F1456">
        <v>10</v>
      </c>
      <c r="G1456">
        <v>370</v>
      </c>
      <c r="H1456">
        <v>1.3</v>
      </c>
      <c r="I1456">
        <v>3651.9</v>
      </c>
      <c r="J1456" t="s">
        <v>144</v>
      </c>
      <c r="K1456" t="s">
        <v>94</v>
      </c>
      <c r="L1456" t="s">
        <v>94</v>
      </c>
      <c r="M1456" t="s">
        <v>2817</v>
      </c>
      <c r="N1456" t="s">
        <v>2862</v>
      </c>
      <c r="O1456">
        <v>288</v>
      </c>
      <c r="P1456">
        <v>370</v>
      </c>
    </row>
    <row r="1457" spans="1:16" x14ac:dyDescent="0.3">
      <c r="A1457" t="s">
        <v>1109</v>
      </c>
      <c r="B1457" s="45">
        <v>45505</v>
      </c>
      <c r="C1457" t="s">
        <v>910</v>
      </c>
      <c r="D1457" t="s">
        <v>203</v>
      </c>
      <c r="E1457" t="s">
        <v>121</v>
      </c>
      <c r="F1457">
        <v>10</v>
      </c>
      <c r="G1457">
        <v>660</v>
      </c>
      <c r="H1457">
        <v>18.8</v>
      </c>
      <c r="I1457">
        <v>5359.2</v>
      </c>
      <c r="J1457" t="s">
        <v>87</v>
      </c>
      <c r="K1457" t="s">
        <v>99</v>
      </c>
      <c r="L1457" t="s">
        <v>99</v>
      </c>
      <c r="M1457" t="s">
        <v>2817</v>
      </c>
      <c r="N1457" t="s">
        <v>2871</v>
      </c>
      <c r="O1457">
        <v>329</v>
      </c>
      <c r="P1457">
        <v>660</v>
      </c>
    </row>
    <row r="1458" spans="1:16" x14ac:dyDescent="0.3">
      <c r="A1458" t="s">
        <v>1110</v>
      </c>
      <c r="B1458" s="45">
        <v>45413</v>
      </c>
      <c r="C1458" t="s">
        <v>608</v>
      </c>
      <c r="D1458" t="s">
        <v>226</v>
      </c>
      <c r="E1458" t="s">
        <v>116</v>
      </c>
      <c r="F1458">
        <v>10</v>
      </c>
      <c r="G1458">
        <v>3730</v>
      </c>
      <c r="H1458">
        <v>15.1</v>
      </c>
      <c r="I1458">
        <v>31667.7</v>
      </c>
      <c r="J1458" t="s">
        <v>87</v>
      </c>
      <c r="K1458" t="s">
        <v>88</v>
      </c>
      <c r="L1458" t="s">
        <v>88</v>
      </c>
      <c r="M1458" t="s">
        <v>2817</v>
      </c>
      <c r="N1458" t="s">
        <v>2879</v>
      </c>
      <c r="O1458">
        <v>2135</v>
      </c>
      <c r="P1458">
        <v>3730</v>
      </c>
    </row>
    <row r="1459" spans="1:16" x14ac:dyDescent="0.3">
      <c r="A1459" t="s">
        <v>1120</v>
      </c>
      <c r="B1459" s="45">
        <v>45443</v>
      </c>
      <c r="C1459" t="s">
        <v>1121</v>
      </c>
      <c r="D1459" t="s">
        <v>164</v>
      </c>
      <c r="E1459" t="s">
        <v>303</v>
      </c>
      <c r="F1459">
        <v>10</v>
      </c>
      <c r="G1459">
        <v>1080</v>
      </c>
      <c r="H1459">
        <v>14.5</v>
      </c>
      <c r="I1459">
        <v>9234</v>
      </c>
      <c r="J1459" t="s">
        <v>87</v>
      </c>
      <c r="K1459" t="s">
        <v>112</v>
      </c>
      <c r="L1459" t="s">
        <v>112</v>
      </c>
      <c r="M1459" t="s">
        <v>2817</v>
      </c>
      <c r="N1459" t="s">
        <v>2871</v>
      </c>
      <c r="O1459">
        <v>519</v>
      </c>
      <c r="P1459">
        <v>1080</v>
      </c>
    </row>
    <row r="1460" spans="1:16" x14ac:dyDescent="0.3">
      <c r="A1460" t="s">
        <v>1129</v>
      </c>
      <c r="B1460" s="45">
        <v>45326</v>
      </c>
      <c r="C1460" t="s">
        <v>705</v>
      </c>
      <c r="D1460" t="s">
        <v>226</v>
      </c>
      <c r="E1460" t="s">
        <v>325</v>
      </c>
      <c r="F1460">
        <v>8</v>
      </c>
      <c r="G1460">
        <v>3730</v>
      </c>
      <c r="H1460">
        <v>21.1</v>
      </c>
      <c r="I1460">
        <v>23543.759999999998</v>
      </c>
      <c r="J1460" t="s">
        <v>87</v>
      </c>
      <c r="K1460" t="s">
        <v>99</v>
      </c>
      <c r="L1460" t="s">
        <v>99</v>
      </c>
      <c r="M1460" t="s">
        <v>2817</v>
      </c>
      <c r="N1460" t="s">
        <v>2862</v>
      </c>
      <c r="O1460">
        <v>2135</v>
      </c>
      <c r="P1460">
        <v>3730</v>
      </c>
    </row>
    <row r="1461" spans="1:16" x14ac:dyDescent="0.3">
      <c r="A1461" t="s">
        <v>1139</v>
      </c>
      <c r="B1461" s="45">
        <v>45419</v>
      </c>
      <c r="C1461" t="s">
        <v>968</v>
      </c>
      <c r="D1461" t="s">
        <v>110</v>
      </c>
      <c r="E1461" t="s">
        <v>98</v>
      </c>
      <c r="F1461">
        <v>2</v>
      </c>
      <c r="G1461">
        <v>370</v>
      </c>
      <c r="H1461">
        <v>8.9</v>
      </c>
      <c r="I1461">
        <v>674.14</v>
      </c>
      <c r="J1461" t="s">
        <v>87</v>
      </c>
      <c r="K1461" t="s">
        <v>99</v>
      </c>
      <c r="L1461" t="s">
        <v>99</v>
      </c>
      <c r="M1461" t="s">
        <v>2817</v>
      </c>
      <c r="N1461" t="s">
        <v>2862</v>
      </c>
      <c r="O1461">
        <v>288</v>
      </c>
      <c r="P1461">
        <v>370</v>
      </c>
    </row>
    <row r="1462" spans="1:16" x14ac:dyDescent="0.3">
      <c r="A1462" t="s">
        <v>1147</v>
      </c>
      <c r="B1462" s="45">
        <v>45349</v>
      </c>
      <c r="C1462" t="s">
        <v>729</v>
      </c>
      <c r="D1462" t="s">
        <v>124</v>
      </c>
      <c r="E1462" t="s">
        <v>103</v>
      </c>
      <c r="F1462">
        <v>3</v>
      </c>
      <c r="G1462">
        <v>5490</v>
      </c>
      <c r="H1462">
        <v>13.5</v>
      </c>
      <c r="I1462">
        <v>14246.55</v>
      </c>
      <c r="J1462" t="s">
        <v>87</v>
      </c>
      <c r="K1462" t="s">
        <v>112</v>
      </c>
      <c r="L1462" t="s">
        <v>112</v>
      </c>
      <c r="M1462" t="s">
        <v>2817</v>
      </c>
      <c r="N1462" t="s">
        <v>2855</v>
      </c>
      <c r="O1462">
        <v>2549</v>
      </c>
      <c r="P1462">
        <v>5490</v>
      </c>
    </row>
    <row r="1463" spans="1:16" x14ac:dyDescent="0.3">
      <c r="A1463" t="s">
        <v>1148</v>
      </c>
      <c r="B1463" s="45">
        <v>45413</v>
      </c>
      <c r="C1463" t="s">
        <v>142</v>
      </c>
      <c r="D1463" t="s">
        <v>443</v>
      </c>
      <c r="E1463" t="s">
        <v>238</v>
      </c>
      <c r="F1463">
        <v>3</v>
      </c>
      <c r="G1463">
        <v>5080</v>
      </c>
      <c r="H1463">
        <v>9.3000000000000007</v>
      </c>
      <c r="I1463">
        <v>13822.68</v>
      </c>
      <c r="J1463" t="s">
        <v>87</v>
      </c>
      <c r="K1463" t="s">
        <v>88</v>
      </c>
      <c r="L1463" t="s">
        <v>88</v>
      </c>
      <c r="M1463" t="s">
        <v>2817</v>
      </c>
      <c r="N1463" t="s">
        <v>2871</v>
      </c>
      <c r="O1463">
        <v>2459</v>
      </c>
      <c r="P1463">
        <v>5080</v>
      </c>
    </row>
    <row r="1464" spans="1:16" x14ac:dyDescent="0.3">
      <c r="A1464" t="s">
        <v>1150</v>
      </c>
      <c r="B1464" s="45">
        <v>45463</v>
      </c>
      <c r="C1464" t="s">
        <v>413</v>
      </c>
      <c r="D1464" t="s">
        <v>295</v>
      </c>
      <c r="E1464" t="s">
        <v>273</v>
      </c>
      <c r="F1464">
        <v>10</v>
      </c>
      <c r="G1464">
        <v>2030</v>
      </c>
      <c r="H1464">
        <v>13.6</v>
      </c>
      <c r="I1464">
        <v>17539.2</v>
      </c>
      <c r="J1464" t="s">
        <v>93</v>
      </c>
      <c r="K1464" t="s">
        <v>88</v>
      </c>
      <c r="L1464" t="s">
        <v>88</v>
      </c>
      <c r="M1464" t="s">
        <v>2817</v>
      </c>
      <c r="N1464" t="s">
        <v>2862</v>
      </c>
      <c r="O1464">
        <v>1143</v>
      </c>
      <c r="P1464">
        <v>2030</v>
      </c>
    </row>
    <row r="1465" spans="1:16" x14ac:dyDescent="0.3">
      <c r="A1465" t="s">
        <v>1162</v>
      </c>
      <c r="B1465" s="45">
        <v>45346</v>
      </c>
      <c r="C1465" t="s">
        <v>405</v>
      </c>
      <c r="D1465" t="s">
        <v>164</v>
      </c>
      <c r="E1465" t="s">
        <v>170</v>
      </c>
      <c r="F1465">
        <v>4</v>
      </c>
      <c r="G1465">
        <v>1080</v>
      </c>
      <c r="H1465">
        <v>17.5</v>
      </c>
      <c r="I1465">
        <v>3564</v>
      </c>
      <c r="J1465" t="s">
        <v>87</v>
      </c>
      <c r="K1465" t="s">
        <v>94</v>
      </c>
      <c r="L1465" t="s">
        <v>94</v>
      </c>
      <c r="M1465" t="s">
        <v>2817</v>
      </c>
      <c r="N1465" t="s">
        <v>2879</v>
      </c>
      <c r="O1465">
        <v>519</v>
      </c>
      <c r="P1465">
        <v>1080</v>
      </c>
    </row>
    <row r="1466" spans="1:16" x14ac:dyDescent="0.3">
      <c r="A1466" t="s">
        <v>1174</v>
      </c>
      <c r="B1466" s="45">
        <v>45322</v>
      </c>
      <c r="C1466" t="s">
        <v>413</v>
      </c>
      <c r="D1466" t="s">
        <v>295</v>
      </c>
      <c r="E1466" t="s">
        <v>204</v>
      </c>
      <c r="F1466">
        <v>5</v>
      </c>
      <c r="G1466">
        <v>2030</v>
      </c>
      <c r="H1466">
        <v>25.2</v>
      </c>
      <c r="I1466">
        <v>7592.2</v>
      </c>
      <c r="J1466" t="s">
        <v>87</v>
      </c>
      <c r="K1466" t="s">
        <v>88</v>
      </c>
      <c r="L1466" t="s">
        <v>88</v>
      </c>
      <c r="M1466" t="s">
        <v>2817</v>
      </c>
      <c r="N1466" t="s">
        <v>2862</v>
      </c>
      <c r="O1466">
        <v>1143</v>
      </c>
      <c r="P1466">
        <v>2030</v>
      </c>
    </row>
    <row r="1467" spans="1:16" x14ac:dyDescent="0.3">
      <c r="A1467" t="s">
        <v>1179</v>
      </c>
      <c r="B1467" s="45">
        <v>45431</v>
      </c>
      <c r="C1467" t="s">
        <v>1180</v>
      </c>
      <c r="D1467" t="s">
        <v>226</v>
      </c>
      <c r="E1467" t="s">
        <v>229</v>
      </c>
      <c r="F1467">
        <v>2</v>
      </c>
      <c r="G1467">
        <v>3730</v>
      </c>
      <c r="H1467">
        <v>29.9</v>
      </c>
      <c r="I1467">
        <v>5229.46</v>
      </c>
      <c r="J1467" t="s">
        <v>87</v>
      </c>
      <c r="K1467" t="s">
        <v>94</v>
      </c>
      <c r="L1467" t="s">
        <v>94</v>
      </c>
      <c r="M1467" t="s">
        <v>2817</v>
      </c>
      <c r="N1467" t="s">
        <v>2879</v>
      </c>
      <c r="O1467">
        <v>2135</v>
      </c>
      <c r="P1467">
        <v>3730</v>
      </c>
    </row>
    <row r="1468" spans="1:16" x14ac:dyDescent="0.3">
      <c r="A1468" t="s">
        <v>1194</v>
      </c>
      <c r="B1468" s="45">
        <v>45434</v>
      </c>
      <c r="C1468" t="s">
        <v>835</v>
      </c>
      <c r="D1468" t="s">
        <v>502</v>
      </c>
      <c r="E1468" t="s">
        <v>116</v>
      </c>
      <c r="F1468">
        <v>7</v>
      </c>
      <c r="G1468">
        <v>1090</v>
      </c>
      <c r="H1468">
        <v>10.3</v>
      </c>
      <c r="I1468">
        <v>6844.11</v>
      </c>
      <c r="J1468" t="s">
        <v>87</v>
      </c>
      <c r="K1468" t="s">
        <v>117</v>
      </c>
      <c r="L1468" t="s">
        <v>117</v>
      </c>
      <c r="M1468" t="s">
        <v>2817</v>
      </c>
      <c r="N1468" t="s">
        <v>2879</v>
      </c>
      <c r="O1468">
        <v>464</v>
      </c>
      <c r="P1468">
        <v>1090</v>
      </c>
    </row>
    <row r="1469" spans="1:16" x14ac:dyDescent="0.3">
      <c r="A1469" t="s">
        <v>1202</v>
      </c>
      <c r="B1469" s="45">
        <v>45593</v>
      </c>
      <c r="C1469" t="s">
        <v>512</v>
      </c>
      <c r="D1469" t="s">
        <v>270</v>
      </c>
      <c r="E1469" t="s">
        <v>116</v>
      </c>
      <c r="F1469">
        <v>5</v>
      </c>
      <c r="G1469">
        <v>4610</v>
      </c>
      <c r="H1469">
        <v>3.6</v>
      </c>
      <c r="I1469">
        <v>22220.2</v>
      </c>
      <c r="J1469" t="s">
        <v>87</v>
      </c>
      <c r="K1469" t="s">
        <v>133</v>
      </c>
      <c r="L1469" t="s">
        <v>133</v>
      </c>
      <c r="M1469" t="s">
        <v>2817</v>
      </c>
      <c r="N1469" t="s">
        <v>2879</v>
      </c>
      <c r="O1469">
        <v>1850</v>
      </c>
      <c r="P1469">
        <v>4610</v>
      </c>
    </row>
    <row r="1470" spans="1:16" x14ac:dyDescent="0.3">
      <c r="A1470" t="s">
        <v>1208</v>
      </c>
      <c r="B1470" s="45">
        <v>45648</v>
      </c>
      <c r="C1470" t="s">
        <v>84</v>
      </c>
      <c r="D1470" t="s">
        <v>270</v>
      </c>
      <c r="E1470" t="s">
        <v>121</v>
      </c>
      <c r="F1470">
        <v>4</v>
      </c>
      <c r="G1470">
        <v>4610</v>
      </c>
      <c r="H1470">
        <v>24</v>
      </c>
      <c r="I1470">
        <v>14014.4</v>
      </c>
      <c r="J1470" t="s">
        <v>87</v>
      </c>
      <c r="K1470" t="s">
        <v>88</v>
      </c>
      <c r="L1470" t="s">
        <v>88</v>
      </c>
      <c r="M1470" t="s">
        <v>2817</v>
      </c>
      <c r="N1470" t="s">
        <v>2871</v>
      </c>
      <c r="O1470">
        <v>1850</v>
      </c>
      <c r="P1470">
        <v>4610</v>
      </c>
    </row>
    <row r="1471" spans="1:16" x14ac:dyDescent="0.3">
      <c r="A1471" t="s">
        <v>1215</v>
      </c>
      <c r="B1471" s="45">
        <v>45568</v>
      </c>
      <c r="C1471" t="s">
        <v>301</v>
      </c>
      <c r="D1471" t="s">
        <v>203</v>
      </c>
      <c r="E1471" t="s">
        <v>103</v>
      </c>
      <c r="F1471">
        <v>9</v>
      </c>
      <c r="G1471">
        <v>660</v>
      </c>
      <c r="H1471">
        <v>19.8</v>
      </c>
      <c r="I1471">
        <v>4763.88</v>
      </c>
      <c r="J1471" t="s">
        <v>87</v>
      </c>
      <c r="K1471" t="s">
        <v>94</v>
      </c>
      <c r="L1471" t="s">
        <v>94</v>
      </c>
      <c r="M1471" t="s">
        <v>2817</v>
      </c>
      <c r="N1471" t="s">
        <v>2855</v>
      </c>
      <c r="O1471">
        <v>329</v>
      </c>
      <c r="P1471">
        <v>660</v>
      </c>
    </row>
    <row r="1472" spans="1:16" x14ac:dyDescent="0.3">
      <c r="A1472" t="s">
        <v>1219</v>
      </c>
      <c r="B1472" s="45">
        <v>45449</v>
      </c>
      <c r="C1472" t="s">
        <v>233</v>
      </c>
      <c r="D1472" t="s">
        <v>143</v>
      </c>
      <c r="E1472" t="s">
        <v>170</v>
      </c>
      <c r="F1472">
        <v>4</v>
      </c>
      <c r="G1472">
        <v>3250</v>
      </c>
      <c r="H1472">
        <v>21.1</v>
      </c>
      <c r="I1472">
        <v>10257</v>
      </c>
      <c r="J1472" t="s">
        <v>87</v>
      </c>
      <c r="K1472" t="s">
        <v>88</v>
      </c>
      <c r="L1472" t="s">
        <v>88</v>
      </c>
      <c r="M1472" t="s">
        <v>2817</v>
      </c>
      <c r="N1472" t="s">
        <v>2879</v>
      </c>
      <c r="O1472">
        <v>1556</v>
      </c>
      <c r="P1472">
        <v>3250</v>
      </c>
    </row>
    <row r="1473" spans="1:16" x14ac:dyDescent="0.3">
      <c r="A1473" t="s">
        <v>1220</v>
      </c>
      <c r="B1473" s="45">
        <v>45600</v>
      </c>
      <c r="C1473" t="s">
        <v>599</v>
      </c>
      <c r="D1473" t="s">
        <v>110</v>
      </c>
      <c r="E1473" t="s">
        <v>92</v>
      </c>
      <c r="F1473">
        <v>3</v>
      </c>
      <c r="G1473">
        <v>370</v>
      </c>
      <c r="H1473">
        <v>7.7</v>
      </c>
      <c r="I1473">
        <v>1024.53</v>
      </c>
      <c r="J1473" t="s">
        <v>87</v>
      </c>
      <c r="K1473" t="s">
        <v>117</v>
      </c>
      <c r="L1473" t="s">
        <v>117</v>
      </c>
      <c r="M1473" t="s">
        <v>2817</v>
      </c>
      <c r="N1473" t="s">
        <v>2855</v>
      </c>
      <c r="O1473">
        <v>288</v>
      </c>
      <c r="P1473">
        <v>370</v>
      </c>
    </row>
    <row r="1474" spans="1:16" x14ac:dyDescent="0.3">
      <c r="A1474" t="s">
        <v>1224</v>
      </c>
      <c r="B1474" s="45">
        <v>45553</v>
      </c>
      <c r="C1474" t="s">
        <v>948</v>
      </c>
      <c r="D1474" t="s">
        <v>124</v>
      </c>
      <c r="E1474" t="s">
        <v>170</v>
      </c>
      <c r="F1474">
        <v>3</v>
      </c>
      <c r="G1474">
        <v>5490</v>
      </c>
      <c r="H1474">
        <v>2.5</v>
      </c>
      <c r="I1474">
        <v>16058.25</v>
      </c>
      <c r="J1474" t="s">
        <v>87</v>
      </c>
      <c r="K1474" t="s">
        <v>88</v>
      </c>
      <c r="L1474" t="s">
        <v>88</v>
      </c>
      <c r="M1474" t="s">
        <v>2817</v>
      </c>
      <c r="N1474" t="s">
        <v>2879</v>
      </c>
      <c r="O1474">
        <v>2549</v>
      </c>
      <c r="P1474">
        <v>5490</v>
      </c>
    </row>
    <row r="1475" spans="1:16" x14ac:dyDescent="0.3">
      <c r="A1475" t="s">
        <v>1226</v>
      </c>
      <c r="B1475" s="45">
        <v>45388</v>
      </c>
      <c r="C1475" t="s">
        <v>405</v>
      </c>
      <c r="D1475" t="s">
        <v>270</v>
      </c>
      <c r="E1475" t="s">
        <v>303</v>
      </c>
      <c r="F1475">
        <v>2</v>
      </c>
      <c r="G1475">
        <v>4610</v>
      </c>
      <c r="H1475">
        <v>5</v>
      </c>
      <c r="I1475">
        <v>8759</v>
      </c>
      <c r="J1475" t="s">
        <v>93</v>
      </c>
      <c r="K1475" t="s">
        <v>94</v>
      </c>
      <c r="L1475" t="s">
        <v>94</v>
      </c>
      <c r="M1475" t="s">
        <v>2817</v>
      </c>
      <c r="N1475" t="s">
        <v>2871</v>
      </c>
      <c r="O1475">
        <v>1850</v>
      </c>
      <c r="P1475">
        <v>4610</v>
      </c>
    </row>
    <row r="1476" spans="1:16" x14ac:dyDescent="0.3">
      <c r="A1476" t="s">
        <v>1232</v>
      </c>
      <c r="B1476" s="45">
        <v>45634</v>
      </c>
      <c r="C1476" t="s">
        <v>172</v>
      </c>
      <c r="D1476" t="s">
        <v>295</v>
      </c>
      <c r="E1476" t="s">
        <v>98</v>
      </c>
      <c r="F1476">
        <v>2</v>
      </c>
      <c r="G1476">
        <v>2030</v>
      </c>
      <c r="H1476">
        <v>12.2</v>
      </c>
      <c r="I1476">
        <v>3564.68</v>
      </c>
      <c r="J1476" t="s">
        <v>87</v>
      </c>
      <c r="K1476" t="s">
        <v>88</v>
      </c>
      <c r="L1476" t="s">
        <v>88</v>
      </c>
      <c r="M1476" t="s">
        <v>2817</v>
      </c>
      <c r="N1476" t="s">
        <v>2862</v>
      </c>
      <c r="O1476">
        <v>1143</v>
      </c>
      <c r="P1476">
        <v>2030</v>
      </c>
    </row>
    <row r="1477" spans="1:16" x14ac:dyDescent="0.3">
      <c r="A1477" t="s">
        <v>1245</v>
      </c>
      <c r="B1477" s="45">
        <v>45558</v>
      </c>
      <c r="C1477" t="s">
        <v>197</v>
      </c>
      <c r="D1477" t="s">
        <v>164</v>
      </c>
      <c r="E1477" t="s">
        <v>325</v>
      </c>
      <c r="F1477">
        <v>6</v>
      </c>
      <c r="G1477">
        <v>1080</v>
      </c>
      <c r="H1477">
        <v>25</v>
      </c>
      <c r="I1477">
        <v>4860</v>
      </c>
      <c r="J1477" t="s">
        <v>87</v>
      </c>
      <c r="K1477" t="s">
        <v>88</v>
      </c>
      <c r="L1477" t="s">
        <v>88</v>
      </c>
      <c r="M1477" t="s">
        <v>2817</v>
      </c>
      <c r="N1477" t="s">
        <v>2862</v>
      </c>
      <c r="O1477">
        <v>519</v>
      </c>
      <c r="P1477">
        <v>1080</v>
      </c>
    </row>
    <row r="1478" spans="1:16" x14ac:dyDescent="0.3">
      <c r="A1478" t="s">
        <v>1248</v>
      </c>
      <c r="B1478" s="45">
        <v>45655</v>
      </c>
      <c r="C1478" t="s">
        <v>613</v>
      </c>
      <c r="D1478" t="s">
        <v>295</v>
      </c>
      <c r="E1478" t="s">
        <v>343</v>
      </c>
      <c r="F1478">
        <v>3</v>
      </c>
      <c r="G1478">
        <v>2030</v>
      </c>
      <c r="H1478">
        <v>18.5</v>
      </c>
      <c r="I1478">
        <v>4963.3500000000004</v>
      </c>
      <c r="J1478" t="s">
        <v>87</v>
      </c>
      <c r="K1478" t="s">
        <v>112</v>
      </c>
      <c r="L1478" t="s">
        <v>112</v>
      </c>
      <c r="M1478" t="s">
        <v>2817</v>
      </c>
      <c r="N1478" t="s">
        <v>2879</v>
      </c>
      <c r="O1478">
        <v>1143</v>
      </c>
      <c r="P1478">
        <v>2030</v>
      </c>
    </row>
    <row r="1479" spans="1:16" x14ac:dyDescent="0.3">
      <c r="A1479" t="s">
        <v>1249</v>
      </c>
      <c r="B1479" s="45">
        <v>45540</v>
      </c>
      <c r="C1479" t="s">
        <v>1250</v>
      </c>
      <c r="D1479" t="s">
        <v>164</v>
      </c>
      <c r="E1479" t="s">
        <v>343</v>
      </c>
      <c r="F1479">
        <v>7</v>
      </c>
      <c r="G1479">
        <v>1080</v>
      </c>
      <c r="H1479">
        <v>6.8</v>
      </c>
      <c r="I1479">
        <v>7045.92</v>
      </c>
      <c r="J1479" t="s">
        <v>93</v>
      </c>
      <c r="K1479" t="s">
        <v>88</v>
      </c>
      <c r="L1479" t="s">
        <v>88</v>
      </c>
      <c r="M1479" t="s">
        <v>2817</v>
      </c>
      <c r="N1479" t="s">
        <v>2879</v>
      </c>
      <c r="O1479">
        <v>519</v>
      </c>
      <c r="P1479">
        <v>1080</v>
      </c>
    </row>
    <row r="1480" spans="1:16" x14ac:dyDescent="0.3">
      <c r="A1480" t="s">
        <v>1251</v>
      </c>
      <c r="B1480" s="45">
        <v>45609</v>
      </c>
      <c r="C1480" t="s">
        <v>362</v>
      </c>
      <c r="D1480" t="s">
        <v>502</v>
      </c>
      <c r="E1480" t="s">
        <v>204</v>
      </c>
      <c r="F1480">
        <v>1</v>
      </c>
      <c r="G1480">
        <v>1090</v>
      </c>
      <c r="H1480">
        <v>20.6</v>
      </c>
      <c r="I1480">
        <v>865.46</v>
      </c>
      <c r="J1480" t="s">
        <v>87</v>
      </c>
      <c r="K1480" t="s">
        <v>94</v>
      </c>
      <c r="L1480" t="s">
        <v>94</v>
      </c>
      <c r="M1480" t="s">
        <v>2817</v>
      </c>
      <c r="N1480" t="s">
        <v>2862</v>
      </c>
      <c r="O1480">
        <v>464</v>
      </c>
      <c r="P1480">
        <v>1090</v>
      </c>
    </row>
    <row r="1481" spans="1:16" x14ac:dyDescent="0.3">
      <c r="A1481" t="s">
        <v>1252</v>
      </c>
      <c r="B1481" s="45">
        <v>45528</v>
      </c>
      <c r="C1481" t="s">
        <v>328</v>
      </c>
      <c r="D1481" t="s">
        <v>110</v>
      </c>
      <c r="E1481" t="s">
        <v>273</v>
      </c>
      <c r="F1481">
        <v>8</v>
      </c>
      <c r="G1481">
        <v>370</v>
      </c>
      <c r="H1481">
        <v>1.7</v>
      </c>
      <c r="I1481">
        <v>2909.68</v>
      </c>
      <c r="J1481" t="s">
        <v>87</v>
      </c>
      <c r="K1481" t="s">
        <v>94</v>
      </c>
      <c r="L1481" t="s">
        <v>94</v>
      </c>
      <c r="M1481" t="s">
        <v>2817</v>
      </c>
      <c r="N1481" t="s">
        <v>2862</v>
      </c>
      <c r="O1481">
        <v>288</v>
      </c>
      <c r="P1481">
        <v>370</v>
      </c>
    </row>
    <row r="1482" spans="1:16" x14ac:dyDescent="0.3">
      <c r="A1482" t="s">
        <v>1256</v>
      </c>
      <c r="B1482" s="45">
        <v>45401</v>
      </c>
      <c r="C1482" t="s">
        <v>217</v>
      </c>
      <c r="D1482" t="s">
        <v>443</v>
      </c>
      <c r="E1482" t="s">
        <v>204</v>
      </c>
      <c r="F1482">
        <v>1</v>
      </c>
      <c r="G1482">
        <v>5080</v>
      </c>
      <c r="H1482">
        <v>5.9</v>
      </c>
      <c r="I1482">
        <v>4780.28</v>
      </c>
      <c r="J1482" t="s">
        <v>87</v>
      </c>
      <c r="K1482" t="s">
        <v>94</v>
      </c>
      <c r="L1482" t="s">
        <v>94</v>
      </c>
      <c r="M1482" t="s">
        <v>2817</v>
      </c>
      <c r="N1482" t="s">
        <v>2862</v>
      </c>
      <c r="O1482">
        <v>2459</v>
      </c>
      <c r="P1482">
        <v>5080</v>
      </c>
    </row>
    <row r="1483" spans="1:16" x14ac:dyDescent="0.3">
      <c r="A1483" t="s">
        <v>1263</v>
      </c>
      <c r="B1483" s="45">
        <v>45402</v>
      </c>
      <c r="C1483" t="s">
        <v>725</v>
      </c>
      <c r="D1483" t="s">
        <v>124</v>
      </c>
      <c r="E1483" t="s">
        <v>148</v>
      </c>
      <c r="F1483">
        <v>1</v>
      </c>
      <c r="G1483">
        <v>5490</v>
      </c>
      <c r="H1483">
        <v>5.8</v>
      </c>
      <c r="I1483">
        <v>5171.58</v>
      </c>
      <c r="J1483" t="s">
        <v>87</v>
      </c>
      <c r="K1483" t="s">
        <v>99</v>
      </c>
      <c r="L1483" t="s">
        <v>99</v>
      </c>
      <c r="M1483" t="s">
        <v>2817</v>
      </c>
      <c r="N1483" t="s">
        <v>2855</v>
      </c>
      <c r="O1483">
        <v>2549</v>
      </c>
      <c r="P1483">
        <v>5490</v>
      </c>
    </row>
    <row r="1484" spans="1:16" x14ac:dyDescent="0.3">
      <c r="A1484" t="s">
        <v>1264</v>
      </c>
      <c r="B1484" s="45">
        <v>45405</v>
      </c>
      <c r="C1484" t="s">
        <v>150</v>
      </c>
      <c r="D1484" t="s">
        <v>164</v>
      </c>
      <c r="E1484" t="s">
        <v>116</v>
      </c>
      <c r="F1484">
        <v>3</v>
      </c>
      <c r="G1484">
        <v>1080</v>
      </c>
      <c r="H1484">
        <v>20.9</v>
      </c>
      <c r="I1484">
        <v>2562.84</v>
      </c>
      <c r="J1484" t="s">
        <v>87</v>
      </c>
      <c r="K1484" t="s">
        <v>88</v>
      </c>
      <c r="L1484" t="s">
        <v>88</v>
      </c>
      <c r="M1484" t="s">
        <v>2817</v>
      </c>
      <c r="N1484" t="s">
        <v>2879</v>
      </c>
      <c r="O1484">
        <v>519</v>
      </c>
      <c r="P1484">
        <v>1080</v>
      </c>
    </row>
    <row r="1485" spans="1:16" x14ac:dyDescent="0.3">
      <c r="A1485" t="s">
        <v>1267</v>
      </c>
      <c r="B1485" s="45">
        <v>45558</v>
      </c>
      <c r="C1485" t="s">
        <v>208</v>
      </c>
      <c r="D1485" t="s">
        <v>295</v>
      </c>
      <c r="E1485" t="s">
        <v>170</v>
      </c>
      <c r="F1485">
        <v>2</v>
      </c>
      <c r="G1485">
        <v>2030</v>
      </c>
      <c r="H1485">
        <v>2</v>
      </c>
      <c r="I1485">
        <v>3978.8</v>
      </c>
      <c r="J1485" t="s">
        <v>93</v>
      </c>
      <c r="K1485" t="s">
        <v>133</v>
      </c>
      <c r="L1485" t="s">
        <v>133</v>
      </c>
      <c r="M1485" t="s">
        <v>2817</v>
      </c>
      <c r="N1485" t="s">
        <v>2879</v>
      </c>
      <c r="O1485">
        <v>1143</v>
      </c>
      <c r="P1485">
        <v>2030</v>
      </c>
    </row>
    <row r="1486" spans="1:16" x14ac:dyDescent="0.3">
      <c r="A1486" t="s">
        <v>1269</v>
      </c>
      <c r="B1486" s="45">
        <v>45601</v>
      </c>
      <c r="C1486" t="s">
        <v>126</v>
      </c>
      <c r="D1486" t="s">
        <v>143</v>
      </c>
      <c r="E1486" t="s">
        <v>188</v>
      </c>
      <c r="F1486">
        <v>9</v>
      </c>
      <c r="G1486">
        <v>3250</v>
      </c>
      <c r="H1486">
        <v>20.5</v>
      </c>
      <c r="I1486">
        <v>23253.75</v>
      </c>
      <c r="J1486" t="s">
        <v>87</v>
      </c>
      <c r="K1486" t="s">
        <v>88</v>
      </c>
      <c r="L1486" t="s">
        <v>88</v>
      </c>
      <c r="M1486" t="s">
        <v>2817</v>
      </c>
      <c r="N1486" t="s">
        <v>2862</v>
      </c>
      <c r="O1486">
        <v>1556</v>
      </c>
      <c r="P1486">
        <v>3250</v>
      </c>
    </row>
    <row r="1487" spans="1:16" x14ac:dyDescent="0.3">
      <c r="A1487" t="s">
        <v>1271</v>
      </c>
      <c r="B1487" s="45">
        <v>45504</v>
      </c>
      <c r="C1487" t="s">
        <v>405</v>
      </c>
      <c r="D1487" t="s">
        <v>124</v>
      </c>
      <c r="E1487" t="s">
        <v>107</v>
      </c>
      <c r="F1487">
        <v>5</v>
      </c>
      <c r="G1487">
        <v>5490</v>
      </c>
      <c r="H1487">
        <v>7.9</v>
      </c>
      <c r="I1487">
        <v>25281.45</v>
      </c>
      <c r="J1487" t="s">
        <v>87</v>
      </c>
      <c r="K1487" t="s">
        <v>94</v>
      </c>
      <c r="L1487" t="s">
        <v>94</v>
      </c>
      <c r="M1487" t="s">
        <v>2817</v>
      </c>
      <c r="N1487" t="s">
        <v>2855</v>
      </c>
      <c r="O1487">
        <v>2549</v>
      </c>
      <c r="P1487">
        <v>5490</v>
      </c>
    </row>
    <row r="1488" spans="1:16" x14ac:dyDescent="0.3">
      <c r="A1488" t="s">
        <v>1272</v>
      </c>
      <c r="B1488" s="45">
        <v>45306</v>
      </c>
      <c r="C1488" t="s">
        <v>626</v>
      </c>
      <c r="D1488" t="s">
        <v>110</v>
      </c>
      <c r="E1488" t="s">
        <v>229</v>
      </c>
      <c r="F1488">
        <v>3</v>
      </c>
      <c r="G1488">
        <v>370</v>
      </c>
      <c r="H1488">
        <v>13.4</v>
      </c>
      <c r="I1488">
        <v>961.26</v>
      </c>
      <c r="J1488" t="s">
        <v>87</v>
      </c>
      <c r="K1488" t="s">
        <v>99</v>
      </c>
      <c r="L1488" t="s">
        <v>99</v>
      </c>
      <c r="M1488" t="s">
        <v>2817</v>
      </c>
      <c r="N1488" t="s">
        <v>2879</v>
      </c>
      <c r="O1488">
        <v>288</v>
      </c>
      <c r="P1488">
        <v>370</v>
      </c>
    </row>
    <row r="1489" spans="1:16" x14ac:dyDescent="0.3">
      <c r="A1489" t="s">
        <v>1282</v>
      </c>
      <c r="B1489" s="45">
        <v>45347</v>
      </c>
      <c r="C1489" t="s">
        <v>1234</v>
      </c>
      <c r="D1489" t="s">
        <v>110</v>
      </c>
      <c r="E1489" t="s">
        <v>192</v>
      </c>
      <c r="F1489">
        <v>9</v>
      </c>
      <c r="G1489">
        <v>370</v>
      </c>
      <c r="H1489">
        <v>19.8</v>
      </c>
      <c r="I1489">
        <v>2670.66</v>
      </c>
      <c r="J1489" t="s">
        <v>87</v>
      </c>
      <c r="K1489" t="s">
        <v>112</v>
      </c>
      <c r="L1489" t="s">
        <v>112</v>
      </c>
      <c r="M1489" t="s">
        <v>2817</v>
      </c>
      <c r="N1489" t="s">
        <v>2871</v>
      </c>
      <c r="O1489">
        <v>288</v>
      </c>
      <c r="P1489">
        <v>370</v>
      </c>
    </row>
    <row r="1490" spans="1:16" x14ac:dyDescent="0.3">
      <c r="A1490" t="s">
        <v>1290</v>
      </c>
      <c r="B1490" s="45">
        <v>45474</v>
      </c>
      <c r="C1490" t="s">
        <v>457</v>
      </c>
      <c r="D1490" t="s">
        <v>443</v>
      </c>
      <c r="E1490" t="s">
        <v>252</v>
      </c>
      <c r="F1490">
        <v>3</v>
      </c>
      <c r="G1490">
        <v>5080</v>
      </c>
      <c r="H1490">
        <v>27.2</v>
      </c>
      <c r="I1490">
        <v>11094.72</v>
      </c>
      <c r="J1490" t="s">
        <v>87</v>
      </c>
      <c r="K1490" t="s">
        <v>88</v>
      </c>
      <c r="L1490" t="s">
        <v>88</v>
      </c>
      <c r="M1490" t="s">
        <v>2817</v>
      </c>
      <c r="N1490" t="s">
        <v>2862</v>
      </c>
      <c r="O1490">
        <v>2459</v>
      </c>
      <c r="P1490">
        <v>5080</v>
      </c>
    </row>
    <row r="1491" spans="1:16" x14ac:dyDescent="0.3">
      <c r="A1491" t="s">
        <v>1291</v>
      </c>
      <c r="B1491" s="45">
        <v>45391</v>
      </c>
      <c r="C1491" t="s">
        <v>1172</v>
      </c>
      <c r="D1491" t="s">
        <v>502</v>
      </c>
      <c r="E1491" t="s">
        <v>238</v>
      </c>
      <c r="F1491">
        <v>5</v>
      </c>
      <c r="G1491">
        <v>1090</v>
      </c>
      <c r="H1491">
        <v>3.3</v>
      </c>
      <c r="I1491">
        <v>5270.15</v>
      </c>
      <c r="J1491" t="s">
        <v>87</v>
      </c>
      <c r="K1491" t="s">
        <v>88</v>
      </c>
      <c r="L1491" t="s">
        <v>88</v>
      </c>
      <c r="M1491" t="s">
        <v>2817</v>
      </c>
      <c r="N1491" t="s">
        <v>2871</v>
      </c>
      <c r="O1491">
        <v>464</v>
      </c>
      <c r="P1491">
        <v>1090</v>
      </c>
    </row>
    <row r="1492" spans="1:16" x14ac:dyDescent="0.3">
      <c r="A1492" t="s">
        <v>1300</v>
      </c>
      <c r="B1492" s="45">
        <v>45465</v>
      </c>
      <c r="C1492" t="s">
        <v>841</v>
      </c>
      <c r="D1492" t="s">
        <v>124</v>
      </c>
      <c r="E1492" t="s">
        <v>192</v>
      </c>
      <c r="F1492">
        <v>7</v>
      </c>
      <c r="G1492">
        <v>5490</v>
      </c>
      <c r="H1492">
        <v>14.9</v>
      </c>
      <c r="I1492">
        <v>32703.93</v>
      </c>
      <c r="J1492" t="s">
        <v>87</v>
      </c>
      <c r="K1492" t="s">
        <v>117</v>
      </c>
      <c r="L1492" t="s">
        <v>117</v>
      </c>
      <c r="M1492" t="s">
        <v>2817</v>
      </c>
      <c r="N1492" t="s">
        <v>2871</v>
      </c>
      <c r="O1492">
        <v>2549</v>
      </c>
      <c r="P1492">
        <v>5490</v>
      </c>
    </row>
    <row r="1493" spans="1:16" x14ac:dyDescent="0.3">
      <c r="A1493" t="s">
        <v>1306</v>
      </c>
      <c r="B1493" s="45">
        <v>45513</v>
      </c>
      <c r="C1493" t="s">
        <v>738</v>
      </c>
      <c r="D1493" t="s">
        <v>270</v>
      </c>
      <c r="E1493" t="s">
        <v>252</v>
      </c>
      <c r="F1493">
        <v>1</v>
      </c>
      <c r="G1493">
        <v>4610</v>
      </c>
      <c r="H1493">
        <v>1.8</v>
      </c>
      <c r="I1493">
        <v>4527.0200000000004</v>
      </c>
      <c r="J1493" t="s">
        <v>93</v>
      </c>
      <c r="K1493" t="s">
        <v>88</v>
      </c>
      <c r="L1493" t="s">
        <v>88</v>
      </c>
      <c r="M1493" t="s">
        <v>2817</v>
      </c>
      <c r="N1493" t="s">
        <v>2862</v>
      </c>
      <c r="O1493">
        <v>1850</v>
      </c>
      <c r="P1493">
        <v>4610</v>
      </c>
    </row>
    <row r="1494" spans="1:16" x14ac:dyDescent="0.3">
      <c r="A1494" t="s">
        <v>1307</v>
      </c>
      <c r="B1494" s="45">
        <v>45500</v>
      </c>
      <c r="C1494" t="s">
        <v>1308</v>
      </c>
      <c r="D1494" t="s">
        <v>270</v>
      </c>
      <c r="E1494" t="s">
        <v>98</v>
      </c>
      <c r="F1494">
        <v>7</v>
      </c>
      <c r="G1494">
        <v>4610</v>
      </c>
      <c r="H1494">
        <v>27</v>
      </c>
      <c r="I1494">
        <v>23557.1</v>
      </c>
      <c r="J1494" t="s">
        <v>87</v>
      </c>
      <c r="K1494" t="s">
        <v>94</v>
      </c>
      <c r="L1494" t="s">
        <v>94</v>
      </c>
      <c r="M1494" t="s">
        <v>2817</v>
      </c>
      <c r="N1494" t="s">
        <v>2862</v>
      </c>
      <c r="O1494">
        <v>1850</v>
      </c>
      <c r="P1494">
        <v>4610</v>
      </c>
    </row>
    <row r="1495" spans="1:16" x14ac:dyDescent="0.3">
      <c r="A1495" t="s">
        <v>1313</v>
      </c>
      <c r="B1495" s="45">
        <v>45492</v>
      </c>
      <c r="C1495" t="s">
        <v>1172</v>
      </c>
      <c r="D1495" t="s">
        <v>164</v>
      </c>
      <c r="E1495" t="s">
        <v>192</v>
      </c>
      <c r="F1495">
        <v>9</v>
      </c>
      <c r="G1495">
        <v>1080</v>
      </c>
      <c r="H1495">
        <v>11.2</v>
      </c>
      <c r="I1495">
        <v>8631.36</v>
      </c>
      <c r="J1495" t="s">
        <v>140</v>
      </c>
      <c r="K1495" t="s">
        <v>88</v>
      </c>
      <c r="L1495" t="s">
        <v>88</v>
      </c>
      <c r="M1495" t="s">
        <v>2817</v>
      </c>
      <c r="N1495" t="s">
        <v>2871</v>
      </c>
      <c r="O1495">
        <v>519</v>
      </c>
      <c r="P1495">
        <v>1080</v>
      </c>
    </row>
    <row r="1496" spans="1:16" x14ac:dyDescent="0.3">
      <c r="A1496" t="s">
        <v>1315</v>
      </c>
      <c r="B1496" s="45">
        <v>45448</v>
      </c>
      <c r="C1496" t="s">
        <v>153</v>
      </c>
      <c r="D1496" t="s">
        <v>164</v>
      </c>
      <c r="E1496" t="s">
        <v>303</v>
      </c>
      <c r="F1496">
        <v>5</v>
      </c>
      <c r="G1496">
        <v>1080</v>
      </c>
      <c r="H1496">
        <v>18.3</v>
      </c>
      <c r="I1496">
        <v>4411.8</v>
      </c>
      <c r="J1496" t="s">
        <v>87</v>
      </c>
      <c r="K1496" t="s">
        <v>117</v>
      </c>
      <c r="L1496" t="s">
        <v>117</v>
      </c>
      <c r="M1496" t="s">
        <v>2817</v>
      </c>
      <c r="N1496" t="s">
        <v>2871</v>
      </c>
      <c r="O1496">
        <v>519</v>
      </c>
      <c r="P1496">
        <v>1080</v>
      </c>
    </row>
    <row r="1497" spans="1:16" x14ac:dyDescent="0.3">
      <c r="A1497" t="s">
        <v>1318</v>
      </c>
      <c r="B1497" s="45">
        <v>45477</v>
      </c>
      <c r="C1497" t="s">
        <v>533</v>
      </c>
      <c r="D1497" t="s">
        <v>143</v>
      </c>
      <c r="E1497" t="s">
        <v>148</v>
      </c>
      <c r="F1497">
        <v>5</v>
      </c>
      <c r="G1497">
        <v>3250</v>
      </c>
      <c r="H1497">
        <v>12.9</v>
      </c>
      <c r="I1497">
        <v>14153.75</v>
      </c>
      <c r="J1497" t="s">
        <v>87</v>
      </c>
      <c r="K1497" t="s">
        <v>99</v>
      </c>
      <c r="L1497" t="s">
        <v>99</v>
      </c>
      <c r="M1497" t="s">
        <v>2817</v>
      </c>
      <c r="N1497" t="s">
        <v>2855</v>
      </c>
      <c r="O1497">
        <v>1556</v>
      </c>
      <c r="P1497">
        <v>3250</v>
      </c>
    </row>
    <row r="1498" spans="1:16" x14ac:dyDescent="0.3">
      <c r="A1498" t="s">
        <v>1320</v>
      </c>
      <c r="B1498" s="45">
        <v>45624</v>
      </c>
      <c r="C1498" t="s">
        <v>294</v>
      </c>
      <c r="D1498" t="s">
        <v>443</v>
      </c>
      <c r="E1498" t="s">
        <v>148</v>
      </c>
      <c r="F1498">
        <v>6</v>
      </c>
      <c r="G1498">
        <v>5080</v>
      </c>
      <c r="H1498">
        <v>3</v>
      </c>
      <c r="I1498">
        <v>29565.599999999999</v>
      </c>
      <c r="J1498" t="s">
        <v>87</v>
      </c>
      <c r="K1498" t="s">
        <v>133</v>
      </c>
      <c r="L1498" t="s">
        <v>133</v>
      </c>
      <c r="M1498" t="s">
        <v>2817</v>
      </c>
      <c r="N1498" t="s">
        <v>2855</v>
      </c>
      <c r="O1498">
        <v>2459</v>
      </c>
      <c r="P1498">
        <v>5080</v>
      </c>
    </row>
    <row r="1499" spans="1:16" x14ac:dyDescent="0.3">
      <c r="A1499" t="s">
        <v>1344</v>
      </c>
      <c r="B1499" s="45">
        <v>45583</v>
      </c>
      <c r="C1499" t="s">
        <v>299</v>
      </c>
      <c r="D1499" t="s">
        <v>164</v>
      </c>
      <c r="E1499" t="s">
        <v>201</v>
      </c>
      <c r="F1499">
        <v>5</v>
      </c>
      <c r="G1499">
        <v>1080</v>
      </c>
      <c r="H1499">
        <v>15.7</v>
      </c>
      <c r="I1499">
        <v>4552.2</v>
      </c>
      <c r="J1499" t="s">
        <v>93</v>
      </c>
      <c r="K1499" t="s">
        <v>133</v>
      </c>
      <c r="L1499" t="s">
        <v>133</v>
      </c>
      <c r="M1499" t="s">
        <v>2817</v>
      </c>
      <c r="N1499" t="s">
        <v>2879</v>
      </c>
      <c r="O1499">
        <v>519</v>
      </c>
      <c r="P1499">
        <v>1080</v>
      </c>
    </row>
    <row r="1500" spans="1:16" x14ac:dyDescent="0.3">
      <c r="A1500" t="s">
        <v>1345</v>
      </c>
      <c r="B1500" s="45">
        <v>45528</v>
      </c>
      <c r="C1500" t="s">
        <v>714</v>
      </c>
      <c r="D1500" t="s">
        <v>143</v>
      </c>
      <c r="E1500" t="s">
        <v>148</v>
      </c>
      <c r="F1500">
        <v>1</v>
      </c>
      <c r="G1500">
        <v>3250</v>
      </c>
      <c r="H1500">
        <v>14.7</v>
      </c>
      <c r="I1500">
        <v>2772.25</v>
      </c>
      <c r="J1500" t="s">
        <v>87</v>
      </c>
      <c r="K1500" t="s">
        <v>99</v>
      </c>
      <c r="L1500" t="s">
        <v>99</v>
      </c>
      <c r="M1500" t="s">
        <v>2817</v>
      </c>
      <c r="N1500" t="s">
        <v>2855</v>
      </c>
      <c r="O1500">
        <v>1556</v>
      </c>
      <c r="P1500">
        <v>3250</v>
      </c>
    </row>
    <row r="1501" spans="1:16" x14ac:dyDescent="0.3">
      <c r="A1501" t="s">
        <v>1346</v>
      </c>
      <c r="B1501" s="45">
        <v>45400</v>
      </c>
      <c r="C1501" t="s">
        <v>416</v>
      </c>
      <c r="D1501" t="s">
        <v>110</v>
      </c>
      <c r="E1501" t="s">
        <v>158</v>
      </c>
      <c r="F1501">
        <v>7</v>
      </c>
      <c r="G1501">
        <v>370</v>
      </c>
      <c r="H1501">
        <v>6</v>
      </c>
      <c r="I1501">
        <v>2434.6</v>
      </c>
      <c r="J1501" t="s">
        <v>140</v>
      </c>
      <c r="K1501" t="s">
        <v>117</v>
      </c>
      <c r="L1501" t="s">
        <v>117</v>
      </c>
      <c r="M1501" t="s">
        <v>2817</v>
      </c>
      <c r="N1501" t="s">
        <v>2871</v>
      </c>
      <c r="O1501">
        <v>288</v>
      </c>
      <c r="P1501">
        <v>370</v>
      </c>
    </row>
    <row r="1502" spans="1:16" x14ac:dyDescent="0.3">
      <c r="A1502" t="s">
        <v>1347</v>
      </c>
      <c r="B1502" s="45">
        <v>45337</v>
      </c>
      <c r="C1502" t="s">
        <v>1348</v>
      </c>
      <c r="D1502" t="s">
        <v>124</v>
      </c>
      <c r="E1502" t="s">
        <v>229</v>
      </c>
      <c r="F1502">
        <v>7</v>
      </c>
      <c r="G1502">
        <v>5490</v>
      </c>
      <c r="H1502">
        <v>10.199999999999999</v>
      </c>
      <c r="I1502">
        <v>34510.14</v>
      </c>
      <c r="J1502" t="s">
        <v>87</v>
      </c>
      <c r="K1502" t="s">
        <v>88</v>
      </c>
      <c r="L1502" t="s">
        <v>88</v>
      </c>
      <c r="M1502" t="s">
        <v>2817</v>
      </c>
      <c r="N1502" t="s">
        <v>2879</v>
      </c>
      <c r="O1502">
        <v>2549</v>
      </c>
      <c r="P1502">
        <v>5490</v>
      </c>
    </row>
    <row r="1503" spans="1:16" x14ac:dyDescent="0.3">
      <c r="A1503" t="s">
        <v>1362</v>
      </c>
      <c r="B1503" s="45">
        <v>45593</v>
      </c>
      <c r="C1503" t="s">
        <v>225</v>
      </c>
      <c r="D1503" t="s">
        <v>164</v>
      </c>
      <c r="E1503" t="s">
        <v>158</v>
      </c>
      <c r="F1503">
        <v>10</v>
      </c>
      <c r="G1503">
        <v>1080</v>
      </c>
      <c r="H1503">
        <v>21.4</v>
      </c>
      <c r="I1503">
        <v>8488.7999999999993</v>
      </c>
      <c r="J1503" t="s">
        <v>87</v>
      </c>
      <c r="K1503" t="s">
        <v>94</v>
      </c>
      <c r="L1503" t="s">
        <v>94</v>
      </c>
      <c r="M1503" t="s">
        <v>2817</v>
      </c>
      <c r="N1503" t="s">
        <v>2871</v>
      </c>
      <c r="O1503">
        <v>519</v>
      </c>
      <c r="P1503">
        <v>1080</v>
      </c>
    </row>
    <row r="1504" spans="1:16" x14ac:dyDescent="0.3">
      <c r="A1504" t="s">
        <v>1363</v>
      </c>
      <c r="B1504" s="45">
        <v>45497</v>
      </c>
      <c r="C1504" t="s">
        <v>1358</v>
      </c>
      <c r="D1504" t="s">
        <v>443</v>
      </c>
      <c r="E1504" t="s">
        <v>154</v>
      </c>
      <c r="F1504">
        <v>6</v>
      </c>
      <c r="G1504">
        <v>5080</v>
      </c>
      <c r="H1504">
        <v>29.8</v>
      </c>
      <c r="I1504">
        <v>21396.959999999999</v>
      </c>
      <c r="J1504" t="s">
        <v>93</v>
      </c>
      <c r="K1504" t="s">
        <v>112</v>
      </c>
      <c r="L1504" t="s">
        <v>112</v>
      </c>
      <c r="M1504" t="s">
        <v>2817</v>
      </c>
      <c r="N1504" t="s">
        <v>2871</v>
      </c>
      <c r="O1504">
        <v>2459</v>
      </c>
      <c r="P1504">
        <v>5080</v>
      </c>
    </row>
    <row r="1505" spans="1:16" x14ac:dyDescent="0.3">
      <c r="A1505" t="s">
        <v>1374</v>
      </c>
      <c r="B1505" s="45">
        <v>45589</v>
      </c>
      <c r="C1505" t="s">
        <v>1261</v>
      </c>
      <c r="D1505" t="s">
        <v>110</v>
      </c>
      <c r="E1505" t="s">
        <v>148</v>
      </c>
      <c r="F1505">
        <v>2</v>
      </c>
      <c r="G1505">
        <v>370</v>
      </c>
      <c r="H1505">
        <v>26.5</v>
      </c>
      <c r="I1505">
        <v>543.9</v>
      </c>
      <c r="J1505" t="s">
        <v>87</v>
      </c>
      <c r="K1505" t="s">
        <v>117</v>
      </c>
      <c r="L1505" t="s">
        <v>117</v>
      </c>
      <c r="M1505" t="s">
        <v>2817</v>
      </c>
      <c r="N1505" t="s">
        <v>2855</v>
      </c>
      <c r="O1505">
        <v>288</v>
      </c>
      <c r="P1505">
        <v>370</v>
      </c>
    </row>
    <row r="1506" spans="1:16" x14ac:dyDescent="0.3">
      <c r="A1506" t="s">
        <v>1375</v>
      </c>
      <c r="B1506" s="45">
        <v>45593</v>
      </c>
      <c r="C1506" t="s">
        <v>376</v>
      </c>
      <c r="D1506" t="s">
        <v>270</v>
      </c>
      <c r="E1506" t="s">
        <v>297</v>
      </c>
      <c r="F1506">
        <v>3</v>
      </c>
      <c r="G1506">
        <v>4610</v>
      </c>
      <c r="H1506">
        <v>29.7</v>
      </c>
      <c r="I1506">
        <v>9722.49</v>
      </c>
      <c r="J1506" t="s">
        <v>87</v>
      </c>
      <c r="K1506" t="s">
        <v>117</v>
      </c>
      <c r="L1506" t="s">
        <v>117</v>
      </c>
      <c r="M1506" t="s">
        <v>2817</v>
      </c>
      <c r="N1506" t="s">
        <v>2855</v>
      </c>
      <c r="O1506">
        <v>1850</v>
      </c>
      <c r="P1506">
        <v>4610</v>
      </c>
    </row>
    <row r="1507" spans="1:16" x14ac:dyDescent="0.3">
      <c r="A1507" t="s">
        <v>1384</v>
      </c>
      <c r="B1507" s="45">
        <v>45309</v>
      </c>
      <c r="C1507" t="s">
        <v>1027</v>
      </c>
      <c r="D1507" t="s">
        <v>164</v>
      </c>
      <c r="E1507" t="s">
        <v>98</v>
      </c>
      <c r="F1507">
        <v>8</v>
      </c>
      <c r="G1507">
        <v>1080</v>
      </c>
      <c r="H1507">
        <v>23.8</v>
      </c>
      <c r="I1507">
        <v>6583.68</v>
      </c>
      <c r="J1507" t="s">
        <v>87</v>
      </c>
      <c r="K1507" t="s">
        <v>112</v>
      </c>
      <c r="L1507" t="s">
        <v>112</v>
      </c>
      <c r="M1507" t="s">
        <v>2817</v>
      </c>
      <c r="N1507" t="s">
        <v>2862</v>
      </c>
      <c r="O1507">
        <v>519</v>
      </c>
      <c r="P1507">
        <v>1080</v>
      </c>
    </row>
    <row r="1508" spans="1:16" x14ac:dyDescent="0.3">
      <c r="A1508" t="s">
        <v>1385</v>
      </c>
      <c r="B1508" s="45">
        <v>45367</v>
      </c>
      <c r="C1508" t="s">
        <v>837</v>
      </c>
      <c r="D1508" t="s">
        <v>502</v>
      </c>
      <c r="E1508" t="s">
        <v>273</v>
      </c>
      <c r="F1508">
        <v>8</v>
      </c>
      <c r="G1508">
        <v>1090</v>
      </c>
      <c r="H1508">
        <v>17.5</v>
      </c>
      <c r="I1508">
        <v>7194</v>
      </c>
      <c r="J1508" t="s">
        <v>87</v>
      </c>
      <c r="K1508" t="s">
        <v>117</v>
      </c>
      <c r="L1508" t="s">
        <v>117</v>
      </c>
      <c r="M1508" t="s">
        <v>2817</v>
      </c>
      <c r="N1508" t="s">
        <v>2862</v>
      </c>
      <c r="O1508">
        <v>464</v>
      </c>
      <c r="P1508">
        <v>1090</v>
      </c>
    </row>
    <row r="1509" spans="1:16" x14ac:dyDescent="0.3">
      <c r="A1509" t="s">
        <v>1389</v>
      </c>
      <c r="B1509" s="45">
        <v>45346</v>
      </c>
      <c r="C1509" t="s">
        <v>608</v>
      </c>
      <c r="D1509" t="s">
        <v>270</v>
      </c>
      <c r="E1509" t="s">
        <v>158</v>
      </c>
      <c r="F1509">
        <v>4</v>
      </c>
      <c r="G1509">
        <v>4610</v>
      </c>
      <c r="H1509">
        <v>1.9</v>
      </c>
      <c r="I1509">
        <v>18089.64</v>
      </c>
      <c r="J1509" t="s">
        <v>93</v>
      </c>
      <c r="K1509" t="s">
        <v>88</v>
      </c>
      <c r="L1509" t="s">
        <v>88</v>
      </c>
      <c r="M1509" t="s">
        <v>2817</v>
      </c>
      <c r="N1509" t="s">
        <v>2871</v>
      </c>
      <c r="O1509">
        <v>1850</v>
      </c>
      <c r="P1509">
        <v>4610</v>
      </c>
    </row>
    <row r="1510" spans="1:16" x14ac:dyDescent="0.3">
      <c r="A1510" t="s">
        <v>1397</v>
      </c>
      <c r="B1510" s="45">
        <v>45571</v>
      </c>
      <c r="C1510" t="s">
        <v>485</v>
      </c>
      <c r="D1510" t="s">
        <v>110</v>
      </c>
      <c r="E1510" t="s">
        <v>107</v>
      </c>
      <c r="F1510">
        <v>2</v>
      </c>
      <c r="G1510">
        <v>370</v>
      </c>
      <c r="H1510">
        <v>17.7</v>
      </c>
      <c r="I1510">
        <v>609.02</v>
      </c>
      <c r="J1510" t="s">
        <v>87</v>
      </c>
      <c r="K1510" t="s">
        <v>88</v>
      </c>
      <c r="L1510" t="s">
        <v>88</v>
      </c>
      <c r="M1510" t="s">
        <v>2817</v>
      </c>
      <c r="N1510" t="s">
        <v>2855</v>
      </c>
      <c r="O1510">
        <v>288</v>
      </c>
      <c r="P1510">
        <v>370</v>
      </c>
    </row>
    <row r="1511" spans="1:16" x14ac:dyDescent="0.3">
      <c r="A1511" t="s">
        <v>1407</v>
      </c>
      <c r="B1511" s="45">
        <v>45613</v>
      </c>
      <c r="C1511" t="s">
        <v>870</v>
      </c>
      <c r="D1511" t="s">
        <v>295</v>
      </c>
      <c r="E1511" t="s">
        <v>346</v>
      </c>
      <c r="F1511">
        <v>4</v>
      </c>
      <c r="G1511">
        <v>2030</v>
      </c>
      <c r="H1511">
        <v>25.7</v>
      </c>
      <c r="I1511">
        <v>6033.16</v>
      </c>
      <c r="J1511" t="s">
        <v>87</v>
      </c>
      <c r="K1511" t="s">
        <v>117</v>
      </c>
      <c r="L1511" t="s">
        <v>117</v>
      </c>
      <c r="M1511" t="s">
        <v>2817</v>
      </c>
      <c r="N1511" t="s">
        <v>2862</v>
      </c>
      <c r="O1511">
        <v>1143</v>
      </c>
      <c r="P1511">
        <v>2030</v>
      </c>
    </row>
    <row r="1512" spans="1:16" x14ac:dyDescent="0.3">
      <c r="A1512" t="s">
        <v>1428</v>
      </c>
      <c r="B1512" s="45">
        <v>45393</v>
      </c>
      <c r="C1512" t="s">
        <v>186</v>
      </c>
      <c r="D1512" t="s">
        <v>295</v>
      </c>
      <c r="E1512" t="s">
        <v>297</v>
      </c>
      <c r="F1512">
        <v>2</v>
      </c>
      <c r="G1512">
        <v>2030</v>
      </c>
      <c r="H1512">
        <v>2.6</v>
      </c>
      <c r="I1512">
        <v>3954.44</v>
      </c>
      <c r="J1512" t="s">
        <v>87</v>
      </c>
      <c r="K1512" t="s">
        <v>94</v>
      </c>
      <c r="L1512" t="s">
        <v>94</v>
      </c>
      <c r="M1512" t="s">
        <v>2817</v>
      </c>
      <c r="N1512" t="s">
        <v>2855</v>
      </c>
      <c r="O1512">
        <v>1143</v>
      </c>
      <c r="P1512">
        <v>2030</v>
      </c>
    </row>
    <row r="1513" spans="1:16" x14ac:dyDescent="0.3">
      <c r="A1513" t="s">
        <v>1430</v>
      </c>
      <c r="B1513" s="45">
        <v>45591</v>
      </c>
      <c r="C1513" t="s">
        <v>522</v>
      </c>
      <c r="D1513" t="s">
        <v>443</v>
      </c>
      <c r="E1513" t="s">
        <v>98</v>
      </c>
      <c r="F1513">
        <v>4</v>
      </c>
      <c r="G1513">
        <v>5080</v>
      </c>
      <c r="H1513">
        <v>2</v>
      </c>
      <c r="I1513">
        <v>19913.599999999999</v>
      </c>
      <c r="J1513" t="s">
        <v>87</v>
      </c>
      <c r="K1513" t="s">
        <v>1431</v>
      </c>
      <c r="L1513" t="s">
        <v>99</v>
      </c>
      <c r="M1513" t="s">
        <v>2817</v>
      </c>
      <c r="N1513" t="s">
        <v>2862</v>
      </c>
      <c r="O1513">
        <v>2459</v>
      </c>
      <c r="P1513">
        <v>5080</v>
      </c>
    </row>
    <row r="1514" spans="1:16" x14ac:dyDescent="0.3">
      <c r="A1514" t="s">
        <v>1436</v>
      </c>
      <c r="B1514" s="45">
        <v>45579</v>
      </c>
      <c r="C1514" t="s">
        <v>447</v>
      </c>
      <c r="D1514" t="s">
        <v>164</v>
      </c>
      <c r="E1514" t="s">
        <v>201</v>
      </c>
      <c r="F1514">
        <v>8</v>
      </c>
      <c r="G1514">
        <v>1080</v>
      </c>
      <c r="H1514">
        <v>8.6999999999999993</v>
      </c>
      <c r="I1514">
        <v>7888.32</v>
      </c>
      <c r="J1514" t="s">
        <v>87</v>
      </c>
      <c r="K1514" t="s">
        <v>112</v>
      </c>
      <c r="L1514" t="s">
        <v>112</v>
      </c>
      <c r="M1514" t="s">
        <v>2817</v>
      </c>
      <c r="N1514" t="s">
        <v>2879</v>
      </c>
      <c r="O1514">
        <v>519</v>
      </c>
      <c r="P1514">
        <v>1080</v>
      </c>
    </row>
    <row r="1515" spans="1:16" x14ac:dyDescent="0.3">
      <c r="A1515" t="s">
        <v>1439</v>
      </c>
      <c r="B1515" s="45">
        <v>45496</v>
      </c>
      <c r="C1515" t="s">
        <v>301</v>
      </c>
      <c r="D1515" t="s">
        <v>295</v>
      </c>
      <c r="E1515" t="s">
        <v>111</v>
      </c>
      <c r="F1515">
        <v>8</v>
      </c>
      <c r="G1515">
        <v>2030</v>
      </c>
      <c r="H1515">
        <v>18.100000000000001</v>
      </c>
      <c r="I1515">
        <v>13300.56</v>
      </c>
      <c r="J1515" t="s">
        <v>87</v>
      </c>
      <c r="K1515" t="s">
        <v>94</v>
      </c>
      <c r="L1515" t="s">
        <v>94</v>
      </c>
      <c r="M1515" t="s">
        <v>2817</v>
      </c>
      <c r="N1515" t="s">
        <v>2879</v>
      </c>
      <c r="O1515">
        <v>1143</v>
      </c>
      <c r="P1515">
        <v>2030</v>
      </c>
    </row>
    <row r="1516" spans="1:16" x14ac:dyDescent="0.3">
      <c r="A1516" t="s">
        <v>1454</v>
      </c>
      <c r="B1516" s="45">
        <v>45573</v>
      </c>
      <c r="C1516" t="s">
        <v>284</v>
      </c>
      <c r="D1516" t="s">
        <v>443</v>
      </c>
      <c r="E1516" t="s">
        <v>285</v>
      </c>
      <c r="F1516">
        <v>7</v>
      </c>
      <c r="G1516">
        <v>5080</v>
      </c>
      <c r="H1516">
        <v>6.5</v>
      </c>
      <c r="I1516">
        <v>33248.6</v>
      </c>
      <c r="J1516" t="s">
        <v>87</v>
      </c>
      <c r="K1516" t="s">
        <v>94</v>
      </c>
      <c r="L1516" t="s">
        <v>94</v>
      </c>
      <c r="M1516" t="s">
        <v>2817</v>
      </c>
      <c r="N1516" t="s">
        <v>2871</v>
      </c>
      <c r="O1516">
        <v>2459</v>
      </c>
      <c r="P1516">
        <v>5080</v>
      </c>
    </row>
    <row r="1517" spans="1:16" x14ac:dyDescent="0.3">
      <c r="A1517" t="s">
        <v>1456</v>
      </c>
      <c r="B1517" s="45">
        <v>45611</v>
      </c>
      <c r="C1517" t="s">
        <v>868</v>
      </c>
      <c r="D1517" t="s">
        <v>203</v>
      </c>
      <c r="E1517" t="s">
        <v>273</v>
      </c>
      <c r="F1517">
        <v>7</v>
      </c>
      <c r="G1517">
        <v>660</v>
      </c>
      <c r="H1517">
        <v>17.3</v>
      </c>
      <c r="I1517">
        <v>3820.74</v>
      </c>
      <c r="J1517" t="s">
        <v>87</v>
      </c>
      <c r="K1517" t="s">
        <v>99</v>
      </c>
      <c r="L1517" t="s">
        <v>99</v>
      </c>
      <c r="M1517" t="s">
        <v>2817</v>
      </c>
      <c r="N1517" t="s">
        <v>2862</v>
      </c>
      <c r="O1517">
        <v>329</v>
      </c>
      <c r="P1517">
        <v>660</v>
      </c>
    </row>
    <row r="1518" spans="1:16" x14ac:dyDescent="0.3">
      <c r="A1518" t="s">
        <v>1461</v>
      </c>
      <c r="B1518" s="45">
        <v>45481</v>
      </c>
      <c r="C1518" t="s">
        <v>1462</v>
      </c>
      <c r="D1518" t="s">
        <v>295</v>
      </c>
      <c r="E1518" t="s">
        <v>92</v>
      </c>
      <c r="F1518">
        <v>6</v>
      </c>
      <c r="G1518">
        <v>2030</v>
      </c>
      <c r="H1518">
        <v>9.5</v>
      </c>
      <c r="I1518">
        <v>11022.9</v>
      </c>
      <c r="J1518" t="s">
        <v>87</v>
      </c>
      <c r="K1518" t="s">
        <v>112</v>
      </c>
      <c r="L1518" t="s">
        <v>112</v>
      </c>
      <c r="M1518" t="s">
        <v>2817</v>
      </c>
      <c r="N1518" t="s">
        <v>2855</v>
      </c>
      <c r="O1518">
        <v>1143</v>
      </c>
      <c r="P1518">
        <v>2030</v>
      </c>
    </row>
    <row r="1519" spans="1:16" x14ac:dyDescent="0.3">
      <c r="A1519" t="s">
        <v>1466</v>
      </c>
      <c r="B1519" s="45">
        <v>45438</v>
      </c>
      <c r="C1519" t="s">
        <v>779</v>
      </c>
      <c r="D1519" t="s">
        <v>226</v>
      </c>
      <c r="E1519" t="s">
        <v>86</v>
      </c>
      <c r="F1519">
        <v>2</v>
      </c>
      <c r="G1519">
        <v>3730</v>
      </c>
      <c r="H1519">
        <v>15.7</v>
      </c>
      <c r="I1519">
        <v>6288.78</v>
      </c>
      <c r="J1519" t="s">
        <v>140</v>
      </c>
      <c r="K1519" t="s">
        <v>117</v>
      </c>
      <c r="L1519" t="s">
        <v>117</v>
      </c>
      <c r="M1519" t="s">
        <v>2817</v>
      </c>
      <c r="N1519" t="s">
        <v>2855</v>
      </c>
      <c r="O1519">
        <v>2135</v>
      </c>
      <c r="P1519">
        <v>3730</v>
      </c>
    </row>
    <row r="1520" spans="1:16" x14ac:dyDescent="0.3">
      <c r="A1520" t="s">
        <v>1467</v>
      </c>
      <c r="B1520" s="45">
        <v>45577</v>
      </c>
      <c r="C1520" t="s">
        <v>835</v>
      </c>
      <c r="D1520" t="s">
        <v>226</v>
      </c>
      <c r="E1520" t="s">
        <v>343</v>
      </c>
      <c r="F1520">
        <v>4</v>
      </c>
      <c r="G1520">
        <v>3730</v>
      </c>
      <c r="H1520">
        <v>2.1</v>
      </c>
      <c r="I1520">
        <v>14606.68</v>
      </c>
      <c r="J1520" t="s">
        <v>87</v>
      </c>
      <c r="K1520" t="s">
        <v>117</v>
      </c>
      <c r="L1520" t="s">
        <v>117</v>
      </c>
      <c r="M1520" t="s">
        <v>2817</v>
      </c>
      <c r="N1520" t="s">
        <v>2879</v>
      </c>
      <c r="O1520">
        <v>2135</v>
      </c>
      <c r="P1520">
        <v>3730</v>
      </c>
    </row>
    <row r="1521" spans="1:16" x14ac:dyDescent="0.3">
      <c r="A1521" t="s">
        <v>1474</v>
      </c>
      <c r="B1521" s="45">
        <v>45493</v>
      </c>
      <c r="C1521" t="s">
        <v>482</v>
      </c>
      <c r="D1521" t="s">
        <v>270</v>
      </c>
      <c r="E1521" t="s">
        <v>121</v>
      </c>
      <c r="F1521">
        <v>3</v>
      </c>
      <c r="G1521">
        <v>4610</v>
      </c>
      <c r="H1521">
        <v>13.2</v>
      </c>
      <c r="I1521">
        <v>12004.44</v>
      </c>
      <c r="J1521" t="s">
        <v>93</v>
      </c>
      <c r="K1521" t="s">
        <v>133</v>
      </c>
      <c r="L1521" t="s">
        <v>133</v>
      </c>
      <c r="M1521" t="s">
        <v>2817</v>
      </c>
      <c r="N1521" t="s">
        <v>2871</v>
      </c>
      <c r="O1521">
        <v>1850</v>
      </c>
      <c r="P1521">
        <v>4610</v>
      </c>
    </row>
    <row r="1522" spans="1:16" x14ac:dyDescent="0.3">
      <c r="A1522" t="s">
        <v>1478</v>
      </c>
      <c r="B1522" s="45">
        <v>45529</v>
      </c>
      <c r="C1522" t="s">
        <v>1191</v>
      </c>
      <c r="D1522" t="s">
        <v>295</v>
      </c>
      <c r="E1522" t="s">
        <v>297</v>
      </c>
      <c r="F1522">
        <v>6</v>
      </c>
      <c r="G1522">
        <v>2030</v>
      </c>
      <c r="H1522">
        <v>13.5</v>
      </c>
      <c r="I1522">
        <v>10535.7</v>
      </c>
      <c r="J1522" t="s">
        <v>140</v>
      </c>
      <c r="K1522" t="s">
        <v>117</v>
      </c>
      <c r="L1522" t="s">
        <v>117</v>
      </c>
      <c r="M1522" t="s">
        <v>2817</v>
      </c>
      <c r="N1522" t="s">
        <v>2855</v>
      </c>
      <c r="O1522">
        <v>1143</v>
      </c>
      <c r="P1522">
        <v>2030</v>
      </c>
    </row>
    <row r="1523" spans="1:16" x14ac:dyDescent="0.3">
      <c r="A1523" t="s">
        <v>1479</v>
      </c>
      <c r="B1523" s="45">
        <v>45547</v>
      </c>
      <c r="C1523" t="s">
        <v>828</v>
      </c>
      <c r="D1523" t="s">
        <v>143</v>
      </c>
      <c r="E1523" t="s">
        <v>325</v>
      </c>
      <c r="F1523">
        <v>10</v>
      </c>
      <c r="G1523">
        <v>3250</v>
      </c>
      <c r="H1523">
        <v>8.6999999999999993</v>
      </c>
      <c r="I1523">
        <v>29672.5</v>
      </c>
      <c r="J1523" t="s">
        <v>87</v>
      </c>
      <c r="K1523" t="s">
        <v>133</v>
      </c>
      <c r="L1523" t="s">
        <v>133</v>
      </c>
      <c r="M1523" t="s">
        <v>2817</v>
      </c>
      <c r="N1523" t="s">
        <v>2862</v>
      </c>
      <c r="O1523">
        <v>1556</v>
      </c>
      <c r="P1523">
        <v>3250</v>
      </c>
    </row>
    <row r="1524" spans="1:16" x14ac:dyDescent="0.3">
      <c r="A1524" t="s">
        <v>1480</v>
      </c>
      <c r="B1524" s="45">
        <v>45299</v>
      </c>
      <c r="C1524" t="s">
        <v>442</v>
      </c>
      <c r="D1524" t="s">
        <v>295</v>
      </c>
      <c r="E1524" t="s">
        <v>229</v>
      </c>
      <c r="F1524">
        <v>9</v>
      </c>
      <c r="G1524">
        <v>2030</v>
      </c>
      <c r="H1524">
        <v>29.3</v>
      </c>
      <c r="I1524">
        <v>12916.89</v>
      </c>
      <c r="J1524" t="s">
        <v>87</v>
      </c>
      <c r="K1524" t="s">
        <v>88</v>
      </c>
      <c r="L1524" t="s">
        <v>88</v>
      </c>
      <c r="M1524" t="s">
        <v>2817</v>
      </c>
      <c r="N1524" t="s">
        <v>2879</v>
      </c>
      <c r="O1524">
        <v>1143</v>
      </c>
      <c r="P1524">
        <v>2030</v>
      </c>
    </row>
    <row r="1525" spans="1:16" x14ac:dyDescent="0.3">
      <c r="A1525" t="s">
        <v>1484</v>
      </c>
      <c r="B1525" s="45">
        <v>45531</v>
      </c>
      <c r="C1525" t="s">
        <v>353</v>
      </c>
      <c r="D1525" t="s">
        <v>124</v>
      </c>
      <c r="E1525" t="s">
        <v>201</v>
      </c>
      <c r="F1525">
        <v>10</v>
      </c>
      <c r="G1525">
        <v>5490</v>
      </c>
      <c r="H1525">
        <v>22.7</v>
      </c>
      <c r="I1525">
        <v>42437.7</v>
      </c>
      <c r="J1525" t="s">
        <v>87</v>
      </c>
      <c r="K1525" t="s">
        <v>94</v>
      </c>
      <c r="L1525" t="s">
        <v>94</v>
      </c>
      <c r="M1525" t="s">
        <v>2817</v>
      </c>
      <c r="N1525" t="s">
        <v>2879</v>
      </c>
      <c r="O1525">
        <v>2549</v>
      </c>
      <c r="P1525">
        <v>5490</v>
      </c>
    </row>
    <row r="1526" spans="1:16" x14ac:dyDescent="0.3">
      <c r="A1526" t="s">
        <v>1487</v>
      </c>
      <c r="B1526" s="45">
        <v>45430</v>
      </c>
      <c r="C1526" t="s">
        <v>752</v>
      </c>
      <c r="D1526" t="s">
        <v>164</v>
      </c>
      <c r="E1526" t="s">
        <v>86</v>
      </c>
      <c r="F1526">
        <v>3</v>
      </c>
      <c r="G1526">
        <v>1080</v>
      </c>
      <c r="H1526">
        <v>26</v>
      </c>
      <c r="I1526">
        <v>2397.6</v>
      </c>
      <c r="J1526" t="s">
        <v>87</v>
      </c>
      <c r="K1526" t="s">
        <v>117</v>
      </c>
      <c r="L1526" t="s">
        <v>117</v>
      </c>
      <c r="M1526" t="s">
        <v>2817</v>
      </c>
      <c r="N1526" t="s">
        <v>2855</v>
      </c>
      <c r="O1526">
        <v>519</v>
      </c>
      <c r="P1526">
        <v>1080</v>
      </c>
    </row>
    <row r="1527" spans="1:16" x14ac:dyDescent="0.3">
      <c r="A1527" t="s">
        <v>1495</v>
      </c>
      <c r="B1527" s="45">
        <v>45358</v>
      </c>
      <c r="C1527" t="s">
        <v>275</v>
      </c>
      <c r="D1527" t="s">
        <v>226</v>
      </c>
      <c r="E1527" t="s">
        <v>111</v>
      </c>
      <c r="F1527">
        <v>8</v>
      </c>
      <c r="G1527">
        <v>3730</v>
      </c>
      <c r="H1527">
        <v>2.1</v>
      </c>
      <c r="I1527">
        <v>29213.360000000001</v>
      </c>
      <c r="J1527" t="s">
        <v>144</v>
      </c>
      <c r="K1527" t="s">
        <v>88</v>
      </c>
      <c r="L1527" t="s">
        <v>88</v>
      </c>
      <c r="M1527" t="s">
        <v>2817</v>
      </c>
      <c r="N1527" t="s">
        <v>2879</v>
      </c>
      <c r="O1527">
        <v>2135</v>
      </c>
      <c r="P1527">
        <v>3730</v>
      </c>
    </row>
    <row r="1528" spans="1:16" x14ac:dyDescent="0.3">
      <c r="A1528" t="s">
        <v>1502</v>
      </c>
      <c r="B1528" s="45">
        <v>45486</v>
      </c>
      <c r="C1528" t="s">
        <v>357</v>
      </c>
      <c r="D1528" t="s">
        <v>143</v>
      </c>
      <c r="E1528" t="s">
        <v>158</v>
      </c>
      <c r="F1528">
        <v>10</v>
      </c>
      <c r="G1528">
        <v>3250</v>
      </c>
      <c r="H1528">
        <v>19.3</v>
      </c>
      <c r="I1528">
        <v>26227.5</v>
      </c>
      <c r="J1528" t="s">
        <v>87</v>
      </c>
      <c r="K1528" t="s">
        <v>99</v>
      </c>
      <c r="L1528" t="s">
        <v>99</v>
      </c>
      <c r="M1528" t="s">
        <v>2817</v>
      </c>
      <c r="N1528" t="s">
        <v>2871</v>
      </c>
      <c r="O1528">
        <v>1556</v>
      </c>
      <c r="P1528">
        <v>3250</v>
      </c>
    </row>
    <row r="1529" spans="1:16" x14ac:dyDescent="0.3">
      <c r="A1529" t="s">
        <v>1512</v>
      </c>
      <c r="B1529" s="45">
        <v>45495</v>
      </c>
      <c r="C1529" t="s">
        <v>166</v>
      </c>
      <c r="D1529" t="s">
        <v>203</v>
      </c>
      <c r="E1529" t="s">
        <v>252</v>
      </c>
      <c r="F1529">
        <v>10</v>
      </c>
      <c r="G1529">
        <v>660</v>
      </c>
      <c r="H1529">
        <v>9.4</v>
      </c>
      <c r="I1529">
        <v>5979.6</v>
      </c>
      <c r="J1529" t="s">
        <v>87</v>
      </c>
      <c r="K1529" t="s">
        <v>133</v>
      </c>
      <c r="L1529" t="s">
        <v>133</v>
      </c>
      <c r="M1529" t="s">
        <v>2817</v>
      </c>
      <c r="N1529" t="s">
        <v>2862</v>
      </c>
      <c r="O1529">
        <v>329</v>
      </c>
      <c r="P1529">
        <v>660</v>
      </c>
    </row>
    <row r="1530" spans="1:16" x14ac:dyDescent="0.3">
      <c r="A1530" t="s">
        <v>1514</v>
      </c>
      <c r="B1530" s="45">
        <v>45294</v>
      </c>
      <c r="C1530" t="s">
        <v>595</v>
      </c>
      <c r="D1530" t="s">
        <v>143</v>
      </c>
      <c r="E1530" t="s">
        <v>273</v>
      </c>
      <c r="F1530">
        <v>9</v>
      </c>
      <c r="G1530">
        <v>3250</v>
      </c>
      <c r="H1530">
        <v>19.600000000000001</v>
      </c>
      <c r="I1530">
        <v>23517</v>
      </c>
      <c r="J1530" t="s">
        <v>93</v>
      </c>
      <c r="K1530" t="s">
        <v>99</v>
      </c>
      <c r="L1530" t="s">
        <v>99</v>
      </c>
      <c r="M1530" t="s">
        <v>2817</v>
      </c>
      <c r="N1530" t="s">
        <v>2862</v>
      </c>
      <c r="O1530">
        <v>1556</v>
      </c>
      <c r="P1530">
        <v>3250</v>
      </c>
    </row>
    <row r="1531" spans="1:16" x14ac:dyDescent="0.3">
      <c r="A1531" t="s">
        <v>1520</v>
      </c>
      <c r="B1531" s="45">
        <v>45622</v>
      </c>
      <c r="C1531" t="s">
        <v>289</v>
      </c>
      <c r="D1531" t="s">
        <v>110</v>
      </c>
      <c r="E1531" t="s">
        <v>192</v>
      </c>
      <c r="F1531">
        <v>6</v>
      </c>
      <c r="G1531">
        <v>370</v>
      </c>
      <c r="H1531">
        <v>5.4</v>
      </c>
      <c r="I1531">
        <v>2100.12</v>
      </c>
      <c r="J1531" t="s">
        <v>87</v>
      </c>
      <c r="K1531" t="s">
        <v>94</v>
      </c>
      <c r="L1531" t="s">
        <v>94</v>
      </c>
      <c r="M1531" t="s">
        <v>2817</v>
      </c>
      <c r="N1531" t="s">
        <v>2871</v>
      </c>
      <c r="O1531">
        <v>288</v>
      </c>
      <c r="P1531">
        <v>370</v>
      </c>
    </row>
    <row r="1532" spans="1:16" x14ac:dyDescent="0.3">
      <c r="A1532" t="s">
        <v>1523</v>
      </c>
      <c r="B1532" s="45">
        <v>45476</v>
      </c>
      <c r="C1532" t="s">
        <v>533</v>
      </c>
      <c r="D1532" t="s">
        <v>226</v>
      </c>
      <c r="E1532" t="s">
        <v>285</v>
      </c>
      <c r="F1532">
        <v>3</v>
      </c>
      <c r="G1532">
        <v>3730</v>
      </c>
      <c r="H1532">
        <v>20.7</v>
      </c>
      <c r="I1532">
        <v>8873.67</v>
      </c>
      <c r="J1532" t="s">
        <v>87</v>
      </c>
      <c r="K1532" t="s">
        <v>99</v>
      </c>
      <c r="L1532" t="s">
        <v>99</v>
      </c>
      <c r="M1532" t="s">
        <v>2817</v>
      </c>
      <c r="N1532" t="s">
        <v>2871</v>
      </c>
      <c r="O1532">
        <v>2135</v>
      </c>
      <c r="P1532">
        <v>3730</v>
      </c>
    </row>
    <row r="1533" spans="1:16" x14ac:dyDescent="0.3">
      <c r="A1533" t="s">
        <v>1524</v>
      </c>
      <c r="B1533" s="45">
        <v>45300</v>
      </c>
      <c r="C1533" t="s">
        <v>1055</v>
      </c>
      <c r="D1533" t="s">
        <v>443</v>
      </c>
      <c r="E1533" t="s">
        <v>111</v>
      </c>
      <c r="F1533">
        <v>8</v>
      </c>
      <c r="G1533">
        <v>5080</v>
      </c>
      <c r="H1533">
        <v>6.2</v>
      </c>
      <c r="I1533">
        <v>38120.32</v>
      </c>
      <c r="J1533" t="s">
        <v>87</v>
      </c>
      <c r="K1533" t="s">
        <v>112</v>
      </c>
      <c r="L1533" t="s">
        <v>112</v>
      </c>
      <c r="M1533" t="s">
        <v>2817</v>
      </c>
      <c r="N1533" t="s">
        <v>2879</v>
      </c>
      <c r="O1533">
        <v>2459</v>
      </c>
      <c r="P1533">
        <v>5080</v>
      </c>
    </row>
    <row r="1534" spans="1:16" x14ac:dyDescent="0.3">
      <c r="A1534" t="s">
        <v>1538</v>
      </c>
      <c r="B1534" s="45">
        <v>45383</v>
      </c>
      <c r="C1534" t="s">
        <v>602</v>
      </c>
      <c r="D1534" t="s">
        <v>443</v>
      </c>
      <c r="E1534" t="s">
        <v>188</v>
      </c>
      <c r="F1534">
        <v>8</v>
      </c>
      <c r="G1534">
        <v>5080</v>
      </c>
      <c r="H1534">
        <v>6.2</v>
      </c>
      <c r="I1534">
        <v>38120.32</v>
      </c>
      <c r="J1534" t="s">
        <v>87</v>
      </c>
      <c r="K1534" t="s">
        <v>94</v>
      </c>
      <c r="L1534" t="s">
        <v>94</v>
      </c>
      <c r="M1534" t="s">
        <v>2817</v>
      </c>
      <c r="N1534" t="s">
        <v>2862</v>
      </c>
      <c r="O1534">
        <v>2459</v>
      </c>
      <c r="P1534">
        <v>5080</v>
      </c>
    </row>
    <row r="1535" spans="1:16" x14ac:dyDescent="0.3">
      <c r="A1535" t="s">
        <v>1549</v>
      </c>
      <c r="B1535" s="45">
        <v>45318</v>
      </c>
      <c r="C1535" t="s">
        <v>101</v>
      </c>
      <c r="D1535" t="s">
        <v>226</v>
      </c>
      <c r="E1535" t="s">
        <v>92</v>
      </c>
      <c r="F1535">
        <v>2</v>
      </c>
      <c r="G1535">
        <v>3730</v>
      </c>
      <c r="H1535">
        <v>13.9</v>
      </c>
      <c r="I1535">
        <v>6423.06</v>
      </c>
      <c r="J1535" t="s">
        <v>87</v>
      </c>
      <c r="K1535" t="s">
        <v>99</v>
      </c>
      <c r="L1535" t="s">
        <v>99</v>
      </c>
      <c r="M1535" t="s">
        <v>2817</v>
      </c>
      <c r="N1535" t="s">
        <v>2855</v>
      </c>
      <c r="O1535">
        <v>2135</v>
      </c>
      <c r="P1535">
        <v>3730</v>
      </c>
    </row>
    <row r="1536" spans="1:16" x14ac:dyDescent="0.3">
      <c r="A1536" t="s">
        <v>1552</v>
      </c>
      <c r="B1536" s="45">
        <v>45555</v>
      </c>
      <c r="C1536" t="s">
        <v>258</v>
      </c>
      <c r="D1536" t="s">
        <v>270</v>
      </c>
      <c r="E1536" t="s">
        <v>346</v>
      </c>
      <c r="F1536">
        <v>9</v>
      </c>
      <c r="G1536">
        <v>4610</v>
      </c>
      <c r="H1536">
        <v>26.6</v>
      </c>
      <c r="I1536">
        <v>30453.66</v>
      </c>
      <c r="J1536" t="s">
        <v>87</v>
      </c>
      <c r="K1536" t="s">
        <v>99</v>
      </c>
      <c r="L1536" t="s">
        <v>99</v>
      </c>
      <c r="M1536" t="s">
        <v>2817</v>
      </c>
      <c r="N1536" t="s">
        <v>2862</v>
      </c>
      <c r="O1536">
        <v>1850</v>
      </c>
      <c r="P1536">
        <v>4610</v>
      </c>
    </row>
    <row r="1537" spans="1:16" x14ac:dyDescent="0.3">
      <c r="A1537" t="s">
        <v>1561</v>
      </c>
      <c r="B1537" s="45">
        <v>45636</v>
      </c>
      <c r="C1537" t="s">
        <v>305</v>
      </c>
      <c r="D1537" t="s">
        <v>110</v>
      </c>
      <c r="E1537" t="s">
        <v>86</v>
      </c>
      <c r="F1537">
        <v>1</v>
      </c>
      <c r="G1537">
        <v>370</v>
      </c>
      <c r="H1537">
        <v>10</v>
      </c>
      <c r="I1537">
        <v>333</v>
      </c>
      <c r="J1537" t="s">
        <v>87</v>
      </c>
      <c r="K1537" t="s">
        <v>133</v>
      </c>
      <c r="L1537" t="s">
        <v>133</v>
      </c>
      <c r="M1537" t="s">
        <v>2817</v>
      </c>
      <c r="N1537" t="s">
        <v>2855</v>
      </c>
      <c r="O1537">
        <v>288</v>
      </c>
      <c r="P1537">
        <v>370</v>
      </c>
    </row>
    <row r="1538" spans="1:16" x14ac:dyDescent="0.3">
      <c r="A1538" t="s">
        <v>1562</v>
      </c>
      <c r="B1538" s="45">
        <v>45432</v>
      </c>
      <c r="C1538" t="s">
        <v>1016</v>
      </c>
      <c r="D1538" t="s">
        <v>124</v>
      </c>
      <c r="E1538" t="s">
        <v>192</v>
      </c>
      <c r="F1538">
        <v>2</v>
      </c>
      <c r="G1538">
        <v>5490</v>
      </c>
      <c r="H1538">
        <v>27.9</v>
      </c>
      <c r="I1538">
        <v>7916.58</v>
      </c>
      <c r="J1538" t="s">
        <v>87</v>
      </c>
      <c r="K1538" t="s">
        <v>117</v>
      </c>
      <c r="L1538" t="s">
        <v>117</v>
      </c>
      <c r="M1538" t="s">
        <v>2817</v>
      </c>
      <c r="N1538" t="s">
        <v>2871</v>
      </c>
      <c r="O1538">
        <v>2549</v>
      </c>
      <c r="P1538">
        <v>5490</v>
      </c>
    </row>
    <row r="1539" spans="1:16" x14ac:dyDescent="0.3">
      <c r="A1539" t="s">
        <v>1568</v>
      </c>
      <c r="B1539" s="45">
        <v>45541</v>
      </c>
      <c r="C1539" t="s">
        <v>331</v>
      </c>
      <c r="D1539" t="s">
        <v>295</v>
      </c>
      <c r="E1539" t="s">
        <v>343</v>
      </c>
      <c r="F1539">
        <v>10</v>
      </c>
      <c r="G1539">
        <v>2030</v>
      </c>
      <c r="H1539">
        <v>4</v>
      </c>
      <c r="I1539">
        <v>19488</v>
      </c>
      <c r="J1539" t="s">
        <v>87</v>
      </c>
      <c r="K1539" t="s">
        <v>117</v>
      </c>
      <c r="L1539" t="s">
        <v>117</v>
      </c>
      <c r="M1539" t="s">
        <v>2817</v>
      </c>
      <c r="N1539" t="s">
        <v>2879</v>
      </c>
      <c r="O1539">
        <v>1143</v>
      </c>
      <c r="P1539">
        <v>2030</v>
      </c>
    </row>
    <row r="1540" spans="1:16" x14ac:dyDescent="0.3">
      <c r="A1540" t="s">
        <v>1569</v>
      </c>
      <c r="B1540" s="45">
        <v>45609</v>
      </c>
      <c r="C1540" t="s">
        <v>902</v>
      </c>
      <c r="D1540" t="s">
        <v>164</v>
      </c>
      <c r="E1540" t="s">
        <v>158</v>
      </c>
      <c r="F1540">
        <v>9</v>
      </c>
      <c r="G1540">
        <v>1080</v>
      </c>
      <c r="H1540">
        <v>19.2</v>
      </c>
      <c r="I1540">
        <v>7853.76</v>
      </c>
      <c r="J1540" t="s">
        <v>93</v>
      </c>
      <c r="K1540" t="s">
        <v>112</v>
      </c>
      <c r="L1540" t="s">
        <v>112</v>
      </c>
      <c r="M1540" t="s">
        <v>2817</v>
      </c>
      <c r="N1540" t="s">
        <v>2871</v>
      </c>
      <c r="O1540">
        <v>519</v>
      </c>
      <c r="P1540">
        <v>1080</v>
      </c>
    </row>
    <row r="1541" spans="1:16" x14ac:dyDescent="0.3">
      <c r="A1541" t="s">
        <v>1580</v>
      </c>
      <c r="B1541" s="45">
        <v>45653</v>
      </c>
      <c r="C1541" t="s">
        <v>1499</v>
      </c>
      <c r="D1541" t="s">
        <v>226</v>
      </c>
      <c r="E1541" t="s">
        <v>325</v>
      </c>
      <c r="F1541">
        <v>9</v>
      </c>
      <c r="G1541">
        <v>3730</v>
      </c>
      <c r="H1541">
        <v>15.5</v>
      </c>
      <c r="I1541">
        <v>28366.65</v>
      </c>
      <c r="J1541" t="s">
        <v>87</v>
      </c>
      <c r="K1541" t="s">
        <v>94</v>
      </c>
      <c r="L1541" t="s">
        <v>94</v>
      </c>
      <c r="M1541" t="s">
        <v>2817</v>
      </c>
      <c r="N1541" t="s">
        <v>2862</v>
      </c>
      <c r="O1541">
        <v>2135</v>
      </c>
      <c r="P1541">
        <v>3730</v>
      </c>
    </row>
    <row r="1542" spans="1:16" x14ac:dyDescent="0.3">
      <c r="A1542" t="s">
        <v>1582</v>
      </c>
      <c r="B1542" s="45">
        <v>45511</v>
      </c>
      <c r="C1542" t="s">
        <v>781</v>
      </c>
      <c r="D1542" t="s">
        <v>443</v>
      </c>
      <c r="E1542" t="s">
        <v>107</v>
      </c>
      <c r="F1542">
        <v>3</v>
      </c>
      <c r="G1542">
        <v>5080</v>
      </c>
      <c r="H1542">
        <v>17.399999999999999</v>
      </c>
      <c r="I1542">
        <v>12588.24</v>
      </c>
      <c r="J1542" t="s">
        <v>140</v>
      </c>
      <c r="K1542" t="s">
        <v>99</v>
      </c>
      <c r="L1542" t="s">
        <v>99</v>
      </c>
      <c r="M1542" t="s">
        <v>2817</v>
      </c>
      <c r="N1542" t="s">
        <v>2855</v>
      </c>
      <c r="O1542">
        <v>2459</v>
      </c>
      <c r="P1542">
        <v>5080</v>
      </c>
    </row>
    <row r="1543" spans="1:16" x14ac:dyDescent="0.3">
      <c r="A1543" t="s">
        <v>1586</v>
      </c>
      <c r="B1543" s="45">
        <v>45463</v>
      </c>
      <c r="C1543" t="s">
        <v>233</v>
      </c>
      <c r="D1543" t="s">
        <v>295</v>
      </c>
      <c r="E1543" t="s">
        <v>204</v>
      </c>
      <c r="F1543">
        <v>4</v>
      </c>
      <c r="G1543">
        <v>2030</v>
      </c>
      <c r="H1543">
        <v>23.4</v>
      </c>
      <c r="I1543">
        <v>6219.92</v>
      </c>
      <c r="J1543" t="s">
        <v>87</v>
      </c>
      <c r="K1543" t="s">
        <v>88</v>
      </c>
      <c r="L1543" t="s">
        <v>88</v>
      </c>
      <c r="M1543" t="s">
        <v>2817</v>
      </c>
      <c r="N1543" t="s">
        <v>2862</v>
      </c>
      <c r="O1543">
        <v>1143</v>
      </c>
      <c r="P1543">
        <v>2030</v>
      </c>
    </row>
    <row r="1544" spans="1:16" x14ac:dyDescent="0.3">
      <c r="A1544" t="s">
        <v>1597</v>
      </c>
      <c r="B1544" s="45">
        <v>45548</v>
      </c>
      <c r="C1544" t="s">
        <v>1361</v>
      </c>
      <c r="D1544" t="s">
        <v>295</v>
      </c>
      <c r="E1544" t="s">
        <v>107</v>
      </c>
      <c r="F1544">
        <v>3</v>
      </c>
      <c r="G1544">
        <v>2030</v>
      </c>
      <c r="H1544">
        <v>3.8</v>
      </c>
      <c r="I1544">
        <v>5858.58</v>
      </c>
      <c r="J1544" t="s">
        <v>87</v>
      </c>
      <c r="K1544" t="s">
        <v>94</v>
      </c>
      <c r="L1544" t="s">
        <v>94</v>
      </c>
      <c r="M1544" t="s">
        <v>2817</v>
      </c>
      <c r="N1544" t="s">
        <v>2855</v>
      </c>
      <c r="O1544">
        <v>1143</v>
      </c>
      <c r="P1544">
        <v>2030</v>
      </c>
    </row>
    <row r="1545" spans="1:16" x14ac:dyDescent="0.3">
      <c r="A1545" t="s">
        <v>1608</v>
      </c>
      <c r="B1545" s="45">
        <v>45340</v>
      </c>
      <c r="C1545" t="s">
        <v>123</v>
      </c>
      <c r="D1545" t="s">
        <v>295</v>
      </c>
      <c r="E1545" t="s">
        <v>297</v>
      </c>
      <c r="F1545">
        <v>10</v>
      </c>
      <c r="G1545">
        <v>2030</v>
      </c>
      <c r="H1545">
        <v>8</v>
      </c>
      <c r="I1545">
        <v>18676</v>
      </c>
      <c r="J1545" t="s">
        <v>87</v>
      </c>
      <c r="K1545" t="s">
        <v>117</v>
      </c>
      <c r="L1545" t="s">
        <v>117</v>
      </c>
      <c r="M1545" t="s">
        <v>2817</v>
      </c>
      <c r="N1545" t="s">
        <v>2855</v>
      </c>
      <c r="O1545">
        <v>1143</v>
      </c>
      <c r="P1545">
        <v>2030</v>
      </c>
    </row>
    <row r="1546" spans="1:16" x14ac:dyDescent="0.3">
      <c r="A1546" t="s">
        <v>1610</v>
      </c>
      <c r="B1546" s="45">
        <v>45369</v>
      </c>
      <c r="C1546" t="s">
        <v>643</v>
      </c>
      <c r="D1546" t="s">
        <v>295</v>
      </c>
      <c r="E1546" t="s">
        <v>98</v>
      </c>
      <c r="F1546">
        <v>4</v>
      </c>
      <c r="G1546">
        <v>2030</v>
      </c>
      <c r="H1546">
        <v>24.8</v>
      </c>
      <c r="I1546">
        <v>6106.24</v>
      </c>
      <c r="J1546" t="s">
        <v>93</v>
      </c>
      <c r="K1546" t="s">
        <v>112</v>
      </c>
      <c r="L1546" t="s">
        <v>112</v>
      </c>
      <c r="M1546" t="s">
        <v>2817</v>
      </c>
      <c r="N1546" t="s">
        <v>2862</v>
      </c>
      <c r="O1546">
        <v>1143</v>
      </c>
      <c r="P1546">
        <v>2030</v>
      </c>
    </row>
    <row r="1547" spans="1:16" x14ac:dyDescent="0.3">
      <c r="A1547" t="s">
        <v>1612</v>
      </c>
      <c r="B1547" s="45">
        <v>45438</v>
      </c>
      <c r="C1547" t="s">
        <v>407</v>
      </c>
      <c r="D1547" t="s">
        <v>295</v>
      </c>
      <c r="E1547" t="s">
        <v>252</v>
      </c>
      <c r="F1547">
        <v>9</v>
      </c>
      <c r="G1547">
        <v>2030</v>
      </c>
      <c r="H1547">
        <v>15.9</v>
      </c>
      <c r="I1547">
        <v>15365.07</v>
      </c>
      <c r="J1547" t="s">
        <v>93</v>
      </c>
      <c r="K1547" t="s">
        <v>88</v>
      </c>
      <c r="L1547" t="s">
        <v>88</v>
      </c>
      <c r="M1547" t="s">
        <v>2817</v>
      </c>
      <c r="N1547" t="s">
        <v>2862</v>
      </c>
      <c r="O1547">
        <v>1143</v>
      </c>
      <c r="P1547">
        <v>2030</v>
      </c>
    </row>
    <row r="1548" spans="1:16" x14ac:dyDescent="0.3">
      <c r="A1548" t="s">
        <v>1614</v>
      </c>
      <c r="B1548" s="45">
        <v>45634</v>
      </c>
      <c r="C1548" t="s">
        <v>454</v>
      </c>
      <c r="D1548" t="s">
        <v>203</v>
      </c>
      <c r="E1548" t="s">
        <v>103</v>
      </c>
      <c r="F1548">
        <v>4</v>
      </c>
      <c r="G1548">
        <v>660</v>
      </c>
      <c r="H1548">
        <v>27.1</v>
      </c>
      <c r="I1548">
        <v>1924.56</v>
      </c>
      <c r="J1548" t="s">
        <v>87</v>
      </c>
      <c r="K1548" t="s">
        <v>133</v>
      </c>
      <c r="L1548" t="s">
        <v>133</v>
      </c>
      <c r="M1548" t="s">
        <v>2817</v>
      </c>
      <c r="N1548" t="s">
        <v>2855</v>
      </c>
      <c r="O1548">
        <v>329</v>
      </c>
      <c r="P1548">
        <v>660</v>
      </c>
    </row>
    <row r="1549" spans="1:16" x14ac:dyDescent="0.3">
      <c r="A1549" t="s">
        <v>1618</v>
      </c>
      <c r="B1549" s="45">
        <v>45380</v>
      </c>
      <c r="C1549" t="s">
        <v>952</v>
      </c>
      <c r="D1549" t="s">
        <v>124</v>
      </c>
      <c r="E1549" t="s">
        <v>238</v>
      </c>
      <c r="F1549">
        <v>5</v>
      </c>
      <c r="G1549">
        <v>5490</v>
      </c>
      <c r="H1549">
        <v>3.6</v>
      </c>
      <c r="I1549">
        <v>26461.8</v>
      </c>
      <c r="J1549" t="s">
        <v>87</v>
      </c>
      <c r="K1549" t="s">
        <v>133</v>
      </c>
      <c r="L1549" t="s">
        <v>133</v>
      </c>
      <c r="M1549" t="s">
        <v>2817</v>
      </c>
      <c r="N1549" t="s">
        <v>2871</v>
      </c>
      <c r="O1549">
        <v>2549</v>
      </c>
      <c r="P1549">
        <v>5490</v>
      </c>
    </row>
    <row r="1550" spans="1:16" x14ac:dyDescent="0.3">
      <c r="A1550" t="s">
        <v>1620</v>
      </c>
      <c r="B1550" s="45">
        <v>45532</v>
      </c>
      <c r="C1550" t="s">
        <v>359</v>
      </c>
      <c r="D1550" t="s">
        <v>203</v>
      </c>
      <c r="E1550" t="s">
        <v>204</v>
      </c>
      <c r="F1550">
        <v>8</v>
      </c>
      <c r="G1550">
        <v>660</v>
      </c>
      <c r="H1550">
        <v>19.8</v>
      </c>
      <c r="I1550">
        <v>4234.5600000000004</v>
      </c>
      <c r="J1550" t="s">
        <v>87</v>
      </c>
      <c r="K1550" t="s">
        <v>99</v>
      </c>
      <c r="L1550" t="s">
        <v>99</v>
      </c>
      <c r="M1550" t="s">
        <v>2817</v>
      </c>
      <c r="N1550" t="s">
        <v>2862</v>
      </c>
      <c r="O1550">
        <v>329</v>
      </c>
      <c r="P1550">
        <v>660</v>
      </c>
    </row>
    <row r="1551" spans="1:16" x14ac:dyDescent="0.3">
      <c r="A1551" t="s">
        <v>1622</v>
      </c>
      <c r="B1551" s="45">
        <v>45462</v>
      </c>
      <c r="C1551" t="s">
        <v>1623</v>
      </c>
      <c r="D1551" t="s">
        <v>443</v>
      </c>
      <c r="E1551" t="s">
        <v>303</v>
      </c>
      <c r="F1551">
        <v>4</v>
      </c>
      <c r="G1551">
        <v>5080</v>
      </c>
      <c r="H1551">
        <v>13.8</v>
      </c>
      <c r="I1551">
        <v>17515.84</v>
      </c>
      <c r="J1551" t="s">
        <v>93</v>
      </c>
      <c r="K1551" t="s">
        <v>117</v>
      </c>
      <c r="L1551" t="s">
        <v>117</v>
      </c>
      <c r="M1551" t="s">
        <v>2817</v>
      </c>
      <c r="N1551" t="s">
        <v>2871</v>
      </c>
      <c r="O1551">
        <v>2459</v>
      </c>
      <c r="P1551">
        <v>5080</v>
      </c>
    </row>
    <row r="1552" spans="1:16" x14ac:dyDescent="0.3">
      <c r="A1552" t="s">
        <v>1640</v>
      </c>
      <c r="B1552" s="45">
        <v>45619</v>
      </c>
      <c r="C1552" t="s">
        <v>254</v>
      </c>
      <c r="D1552" t="s">
        <v>110</v>
      </c>
      <c r="E1552" t="s">
        <v>204</v>
      </c>
      <c r="F1552">
        <v>3</v>
      </c>
      <c r="G1552">
        <v>370</v>
      </c>
      <c r="H1552">
        <v>25.5</v>
      </c>
      <c r="I1552">
        <v>826.95</v>
      </c>
      <c r="J1552" t="s">
        <v>87</v>
      </c>
      <c r="K1552" t="s">
        <v>94</v>
      </c>
      <c r="L1552" t="s">
        <v>94</v>
      </c>
      <c r="M1552" t="s">
        <v>2817</v>
      </c>
      <c r="N1552" t="s">
        <v>2862</v>
      </c>
      <c r="O1552">
        <v>288</v>
      </c>
      <c r="P1552">
        <v>370</v>
      </c>
    </row>
    <row r="1553" spans="1:16" x14ac:dyDescent="0.3">
      <c r="A1553" t="s">
        <v>1651</v>
      </c>
      <c r="B1553" s="45">
        <v>45407</v>
      </c>
      <c r="C1553" t="s">
        <v>194</v>
      </c>
      <c r="D1553" t="s">
        <v>164</v>
      </c>
      <c r="E1553" t="s">
        <v>170</v>
      </c>
      <c r="F1553">
        <v>6</v>
      </c>
      <c r="G1553">
        <v>1080</v>
      </c>
      <c r="H1553">
        <v>17.5</v>
      </c>
      <c r="I1553">
        <v>5346</v>
      </c>
      <c r="J1553" t="s">
        <v>87</v>
      </c>
      <c r="K1553" t="s">
        <v>88</v>
      </c>
      <c r="L1553" t="s">
        <v>88</v>
      </c>
      <c r="M1553" t="s">
        <v>2817</v>
      </c>
      <c r="N1553" t="s">
        <v>2879</v>
      </c>
      <c r="O1553">
        <v>519</v>
      </c>
      <c r="P1553">
        <v>1080</v>
      </c>
    </row>
    <row r="1554" spans="1:16" x14ac:dyDescent="0.3">
      <c r="A1554" t="s">
        <v>1658</v>
      </c>
      <c r="B1554" s="45">
        <v>45405</v>
      </c>
      <c r="C1554" t="s">
        <v>275</v>
      </c>
      <c r="D1554" t="s">
        <v>295</v>
      </c>
      <c r="E1554" t="s">
        <v>148</v>
      </c>
      <c r="F1554">
        <v>4</v>
      </c>
      <c r="G1554">
        <v>2030</v>
      </c>
      <c r="H1554">
        <v>17.100000000000001</v>
      </c>
      <c r="I1554">
        <v>6731.48</v>
      </c>
      <c r="J1554" t="s">
        <v>87</v>
      </c>
      <c r="K1554" t="s">
        <v>88</v>
      </c>
      <c r="L1554" t="s">
        <v>88</v>
      </c>
      <c r="M1554" t="s">
        <v>2817</v>
      </c>
      <c r="N1554" t="s">
        <v>2855</v>
      </c>
      <c r="O1554">
        <v>1143</v>
      </c>
      <c r="P1554">
        <v>2030</v>
      </c>
    </row>
    <row r="1555" spans="1:16" x14ac:dyDescent="0.3">
      <c r="A1555" t="s">
        <v>1660</v>
      </c>
      <c r="B1555" s="45">
        <v>45373</v>
      </c>
      <c r="C1555" t="s">
        <v>465</v>
      </c>
      <c r="D1555" t="s">
        <v>443</v>
      </c>
      <c r="E1555" t="s">
        <v>252</v>
      </c>
      <c r="F1555">
        <v>9</v>
      </c>
      <c r="G1555">
        <v>5080</v>
      </c>
      <c r="H1555">
        <v>10.9</v>
      </c>
      <c r="I1555">
        <v>40736.519999999997</v>
      </c>
      <c r="J1555" t="s">
        <v>87</v>
      </c>
      <c r="K1555" t="s">
        <v>112</v>
      </c>
      <c r="L1555" t="s">
        <v>112</v>
      </c>
      <c r="M1555" t="s">
        <v>2817</v>
      </c>
      <c r="N1555" t="s">
        <v>2862</v>
      </c>
      <c r="O1555">
        <v>2459</v>
      </c>
      <c r="P1555">
        <v>5080</v>
      </c>
    </row>
    <row r="1556" spans="1:16" x14ac:dyDescent="0.3">
      <c r="A1556" t="s">
        <v>1677</v>
      </c>
      <c r="B1556" s="45">
        <v>45374</v>
      </c>
      <c r="C1556" t="s">
        <v>1231</v>
      </c>
      <c r="D1556" t="s">
        <v>443</v>
      </c>
      <c r="E1556" t="s">
        <v>346</v>
      </c>
      <c r="F1556">
        <v>10</v>
      </c>
      <c r="G1556">
        <v>5080</v>
      </c>
      <c r="H1556">
        <v>3.7</v>
      </c>
      <c r="I1556">
        <v>48920.4</v>
      </c>
      <c r="J1556" t="s">
        <v>93</v>
      </c>
      <c r="K1556" t="s">
        <v>88</v>
      </c>
      <c r="L1556" t="s">
        <v>88</v>
      </c>
      <c r="M1556" t="s">
        <v>2817</v>
      </c>
      <c r="N1556" t="s">
        <v>2862</v>
      </c>
      <c r="O1556">
        <v>2459</v>
      </c>
      <c r="P1556">
        <v>5080</v>
      </c>
    </row>
    <row r="1557" spans="1:16" x14ac:dyDescent="0.3">
      <c r="A1557" t="s">
        <v>1689</v>
      </c>
      <c r="B1557" s="45">
        <v>45559</v>
      </c>
      <c r="C1557" t="s">
        <v>427</v>
      </c>
      <c r="D1557" t="s">
        <v>203</v>
      </c>
      <c r="E1557" t="s">
        <v>273</v>
      </c>
      <c r="F1557">
        <v>4</v>
      </c>
      <c r="G1557">
        <v>660</v>
      </c>
      <c r="H1557">
        <v>3.6</v>
      </c>
      <c r="I1557">
        <v>2544.96</v>
      </c>
      <c r="J1557" t="s">
        <v>87</v>
      </c>
      <c r="K1557" t="s">
        <v>88</v>
      </c>
      <c r="L1557" t="s">
        <v>88</v>
      </c>
      <c r="M1557" t="s">
        <v>2817</v>
      </c>
      <c r="N1557" t="s">
        <v>2871</v>
      </c>
      <c r="O1557">
        <v>329</v>
      </c>
      <c r="P1557">
        <v>660</v>
      </c>
    </row>
    <row r="1558" spans="1:16" x14ac:dyDescent="0.3">
      <c r="A1558" t="s">
        <v>1693</v>
      </c>
      <c r="B1558" s="45">
        <v>45525</v>
      </c>
      <c r="C1558" t="s">
        <v>643</v>
      </c>
      <c r="D1558" t="s">
        <v>443</v>
      </c>
      <c r="E1558" t="s">
        <v>132</v>
      </c>
      <c r="F1558">
        <v>5</v>
      </c>
      <c r="G1558">
        <v>5080</v>
      </c>
      <c r="H1558">
        <v>29.6</v>
      </c>
      <c r="I1558">
        <v>17881.599999999999</v>
      </c>
      <c r="J1558" t="s">
        <v>87</v>
      </c>
      <c r="K1558" t="s">
        <v>112</v>
      </c>
      <c r="L1558" t="s">
        <v>112</v>
      </c>
      <c r="M1558" t="s">
        <v>2817</v>
      </c>
      <c r="N1558" t="s">
        <v>2862</v>
      </c>
      <c r="O1558">
        <v>2459</v>
      </c>
      <c r="P1558">
        <v>5080</v>
      </c>
    </row>
    <row r="1559" spans="1:16" x14ac:dyDescent="0.3">
      <c r="A1559" t="s">
        <v>1696</v>
      </c>
      <c r="B1559" s="45">
        <v>45431</v>
      </c>
      <c r="C1559" t="s">
        <v>557</v>
      </c>
      <c r="D1559" t="s">
        <v>443</v>
      </c>
      <c r="E1559" t="s">
        <v>297</v>
      </c>
      <c r="F1559">
        <v>10</v>
      </c>
      <c r="G1559">
        <v>5080</v>
      </c>
      <c r="H1559">
        <v>11.8</v>
      </c>
      <c r="I1559">
        <v>44805.599999999999</v>
      </c>
      <c r="J1559" t="s">
        <v>87</v>
      </c>
      <c r="K1559" t="s">
        <v>112</v>
      </c>
      <c r="L1559" t="s">
        <v>112</v>
      </c>
      <c r="M1559" t="s">
        <v>2817</v>
      </c>
      <c r="N1559" t="s">
        <v>2871</v>
      </c>
      <c r="O1559">
        <v>2459</v>
      </c>
      <c r="P1559">
        <v>5080</v>
      </c>
    </row>
    <row r="1560" spans="1:16" x14ac:dyDescent="0.3">
      <c r="A1560" t="s">
        <v>1698</v>
      </c>
      <c r="B1560" s="45">
        <v>45629</v>
      </c>
      <c r="C1560" t="s">
        <v>1000</v>
      </c>
      <c r="D1560" t="s">
        <v>164</v>
      </c>
      <c r="E1560" t="s">
        <v>204</v>
      </c>
      <c r="F1560">
        <v>2</v>
      </c>
      <c r="G1560">
        <v>1080</v>
      </c>
      <c r="H1560">
        <v>21.1</v>
      </c>
      <c r="I1560">
        <v>1704.24</v>
      </c>
      <c r="J1560" t="s">
        <v>87</v>
      </c>
      <c r="K1560" t="s">
        <v>117</v>
      </c>
      <c r="L1560" t="s">
        <v>117</v>
      </c>
      <c r="M1560" t="s">
        <v>2817</v>
      </c>
      <c r="N1560" t="s">
        <v>2855</v>
      </c>
      <c r="O1560">
        <v>519</v>
      </c>
      <c r="P1560">
        <v>1080</v>
      </c>
    </row>
    <row r="1561" spans="1:16" x14ac:dyDescent="0.3">
      <c r="A1561" t="s">
        <v>1706</v>
      </c>
      <c r="B1561" s="45">
        <v>45593</v>
      </c>
      <c r="C1561" t="s">
        <v>599</v>
      </c>
      <c r="D1561" t="s">
        <v>270</v>
      </c>
      <c r="E1561" t="s">
        <v>148</v>
      </c>
      <c r="F1561">
        <v>4</v>
      </c>
      <c r="G1561">
        <v>4610</v>
      </c>
      <c r="H1561">
        <v>14.8</v>
      </c>
      <c r="I1561">
        <v>15710.88</v>
      </c>
      <c r="J1561" t="s">
        <v>87</v>
      </c>
      <c r="K1561" t="s">
        <v>117</v>
      </c>
      <c r="L1561" t="s">
        <v>117</v>
      </c>
      <c r="M1561" t="s">
        <v>2817</v>
      </c>
      <c r="N1561" t="s">
        <v>2862</v>
      </c>
      <c r="O1561">
        <v>1850</v>
      </c>
      <c r="P1561">
        <v>4610</v>
      </c>
    </row>
    <row r="1562" spans="1:16" x14ac:dyDescent="0.3">
      <c r="A1562" t="s">
        <v>1711</v>
      </c>
      <c r="B1562" s="45">
        <v>45594</v>
      </c>
      <c r="C1562" t="s">
        <v>294</v>
      </c>
      <c r="D1562" t="s">
        <v>143</v>
      </c>
      <c r="E1562" t="s">
        <v>273</v>
      </c>
      <c r="F1562">
        <v>5</v>
      </c>
      <c r="G1562">
        <v>3250</v>
      </c>
      <c r="H1562">
        <v>8.1</v>
      </c>
      <c r="I1562">
        <v>14933.75</v>
      </c>
      <c r="J1562" t="s">
        <v>87</v>
      </c>
      <c r="K1562" t="s">
        <v>133</v>
      </c>
      <c r="L1562" t="s">
        <v>133</v>
      </c>
      <c r="M1562" t="s">
        <v>2817</v>
      </c>
      <c r="N1562" t="s">
        <v>2871</v>
      </c>
      <c r="O1562">
        <v>1556</v>
      </c>
      <c r="P1562">
        <v>3250</v>
      </c>
    </row>
    <row r="1563" spans="1:16" x14ac:dyDescent="0.3">
      <c r="A1563" t="s">
        <v>1720</v>
      </c>
      <c r="B1563" s="45">
        <v>45620</v>
      </c>
      <c r="C1563" t="s">
        <v>908</v>
      </c>
      <c r="D1563" t="s">
        <v>124</v>
      </c>
      <c r="E1563" t="s">
        <v>252</v>
      </c>
      <c r="F1563">
        <v>8</v>
      </c>
      <c r="G1563">
        <v>5490</v>
      </c>
      <c r="H1563">
        <v>23.2</v>
      </c>
      <c r="I1563">
        <v>33730.559999999998</v>
      </c>
      <c r="J1563" t="s">
        <v>87</v>
      </c>
      <c r="K1563" t="s">
        <v>133</v>
      </c>
      <c r="L1563" t="s">
        <v>133</v>
      </c>
      <c r="M1563" t="s">
        <v>2817</v>
      </c>
      <c r="N1563" t="s">
        <v>2879</v>
      </c>
      <c r="O1563">
        <v>2549</v>
      </c>
      <c r="P1563">
        <v>5490</v>
      </c>
    </row>
    <row r="1564" spans="1:16" x14ac:dyDescent="0.3">
      <c r="A1564" t="s">
        <v>1737</v>
      </c>
      <c r="B1564" s="45">
        <v>45404</v>
      </c>
      <c r="C1564" t="s">
        <v>130</v>
      </c>
      <c r="D1564" t="s">
        <v>270</v>
      </c>
      <c r="E1564" t="s">
        <v>297</v>
      </c>
      <c r="F1564">
        <v>4</v>
      </c>
      <c r="G1564">
        <v>4610</v>
      </c>
      <c r="H1564">
        <v>15.1</v>
      </c>
      <c r="I1564">
        <v>15655.56</v>
      </c>
      <c r="J1564" t="s">
        <v>140</v>
      </c>
      <c r="K1564" t="s">
        <v>133</v>
      </c>
      <c r="L1564" t="s">
        <v>133</v>
      </c>
      <c r="M1564" t="s">
        <v>2817</v>
      </c>
      <c r="N1564" t="s">
        <v>2871</v>
      </c>
      <c r="O1564">
        <v>1850</v>
      </c>
      <c r="P1564">
        <v>4610</v>
      </c>
    </row>
    <row r="1565" spans="1:16" x14ac:dyDescent="0.3">
      <c r="A1565" t="s">
        <v>1745</v>
      </c>
      <c r="B1565" s="45">
        <v>45508</v>
      </c>
      <c r="C1565" t="s">
        <v>621</v>
      </c>
      <c r="D1565" t="s">
        <v>443</v>
      </c>
      <c r="E1565" t="s">
        <v>86</v>
      </c>
      <c r="F1565">
        <v>1</v>
      </c>
      <c r="G1565">
        <v>5080</v>
      </c>
      <c r="H1565">
        <v>8.6</v>
      </c>
      <c r="I1565">
        <v>4643.12</v>
      </c>
      <c r="J1565" t="s">
        <v>87</v>
      </c>
      <c r="K1565" t="s">
        <v>94</v>
      </c>
      <c r="L1565" t="s">
        <v>94</v>
      </c>
      <c r="M1565" t="s">
        <v>2817</v>
      </c>
      <c r="N1565" t="s">
        <v>2862</v>
      </c>
      <c r="O1565">
        <v>2459</v>
      </c>
      <c r="P1565">
        <v>5080</v>
      </c>
    </row>
    <row r="1566" spans="1:16" x14ac:dyDescent="0.3">
      <c r="A1566" t="s">
        <v>1746</v>
      </c>
      <c r="B1566" s="45">
        <v>45399</v>
      </c>
      <c r="C1566" t="s">
        <v>700</v>
      </c>
      <c r="D1566" t="s">
        <v>143</v>
      </c>
      <c r="E1566" t="s">
        <v>303</v>
      </c>
      <c r="F1566">
        <v>9</v>
      </c>
      <c r="G1566">
        <v>3250</v>
      </c>
      <c r="H1566">
        <v>18.2</v>
      </c>
      <c r="I1566">
        <v>23926.5</v>
      </c>
      <c r="J1566" t="s">
        <v>93</v>
      </c>
      <c r="K1566" t="s">
        <v>94</v>
      </c>
      <c r="L1566" t="s">
        <v>94</v>
      </c>
      <c r="M1566" t="s">
        <v>2817</v>
      </c>
      <c r="N1566" t="s">
        <v>2879</v>
      </c>
      <c r="O1566">
        <v>1556</v>
      </c>
      <c r="P1566">
        <v>3250</v>
      </c>
    </row>
    <row r="1567" spans="1:16" x14ac:dyDescent="0.3">
      <c r="A1567" t="s">
        <v>1748</v>
      </c>
      <c r="B1567" s="45">
        <v>45407</v>
      </c>
      <c r="C1567" t="s">
        <v>457</v>
      </c>
      <c r="D1567" t="s">
        <v>203</v>
      </c>
      <c r="E1567" t="s">
        <v>238</v>
      </c>
      <c r="F1567">
        <v>3</v>
      </c>
      <c r="G1567">
        <v>660</v>
      </c>
      <c r="H1567">
        <v>3.1</v>
      </c>
      <c r="I1567">
        <v>1918.62</v>
      </c>
      <c r="J1567" t="s">
        <v>87</v>
      </c>
      <c r="K1567" t="s">
        <v>88</v>
      </c>
      <c r="L1567" t="s">
        <v>88</v>
      </c>
      <c r="M1567" t="s">
        <v>2817</v>
      </c>
      <c r="N1567" t="s">
        <v>2862</v>
      </c>
      <c r="O1567">
        <v>329</v>
      </c>
      <c r="P1567">
        <v>660</v>
      </c>
    </row>
    <row r="1568" spans="1:16" x14ac:dyDescent="0.3">
      <c r="A1568" t="s">
        <v>1750</v>
      </c>
      <c r="B1568" s="45">
        <v>45565</v>
      </c>
      <c r="C1568" t="s">
        <v>608</v>
      </c>
      <c r="D1568" t="s">
        <v>203</v>
      </c>
      <c r="E1568" t="s">
        <v>188</v>
      </c>
      <c r="F1568">
        <v>9</v>
      </c>
      <c r="G1568">
        <v>660</v>
      </c>
      <c r="H1568">
        <v>23.7</v>
      </c>
      <c r="I1568">
        <v>4532.22</v>
      </c>
      <c r="J1568" t="s">
        <v>87</v>
      </c>
      <c r="K1568" t="s">
        <v>88</v>
      </c>
      <c r="L1568" t="s">
        <v>88</v>
      </c>
      <c r="M1568" t="s">
        <v>2817</v>
      </c>
      <c r="N1568" t="s">
        <v>2862</v>
      </c>
      <c r="O1568">
        <v>329</v>
      </c>
      <c r="P1568">
        <v>660</v>
      </c>
    </row>
    <row r="1569" spans="1:16" x14ac:dyDescent="0.3">
      <c r="A1569" t="s">
        <v>1760</v>
      </c>
      <c r="B1569" s="45">
        <v>45443</v>
      </c>
      <c r="C1569" t="s">
        <v>1016</v>
      </c>
      <c r="D1569" t="s">
        <v>270</v>
      </c>
      <c r="E1569" t="s">
        <v>229</v>
      </c>
      <c r="F1569">
        <v>8</v>
      </c>
      <c r="G1569">
        <v>4610</v>
      </c>
      <c r="H1569">
        <v>15.4</v>
      </c>
      <c r="I1569">
        <v>31200.48</v>
      </c>
      <c r="J1569" t="s">
        <v>140</v>
      </c>
      <c r="K1569" t="s">
        <v>117</v>
      </c>
      <c r="L1569" t="s">
        <v>117</v>
      </c>
      <c r="M1569" t="s">
        <v>2817</v>
      </c>
      <c r="N1569" t="s">
        <v>2855</v>
      </c>
      <c r="O1569">
        <v>1850</v>
      </c>
      <c r="P1569">
        <v>4610</v>
      </c>
    </row>
    <row r="1570" spans="1:16" x14ac:dyDescent="0.3">
      <c r="A1570" t="s">
        <v>1772</v>
      </c>
      <c r="B1570" s="45">
        <v>45383</v>
      </c>
      <c r="C1570" t="s">
        <v>284</v>
      </c>
      <c r="D1570" t="s">
        <v>110</v>
      </c>
      <c r="E1570" t="s">
        <v>139</v>
      </c>
      <c r="F1570">
        <v>2</v>
      </c>
      <c r="G1570">
        <v>370</v>
      </c>
      <c r="H1570">
        <v>10.5</v>
      </c>
      <c r="I1570">
        <v>662.3</v>
      </c>
      <c r="J1570" t="s">
        <v>93</v>
      </c>
      <c r="K1570" t="s">
        <v>94</v>
      </c>
      <c r="L1570" t="s">
        <v>94</v>
      </c>
      <c r="M1570" t="s">
        <v>2817</v>
      </c>
      <c r="N1570" t="s">
        <v>2879</v>
      </c>
      <c r="O1570">
        <v>288</v>
      </c>
      <c r="P1570">
        <v>370</v>
      </c>
    </row>
    <row r="1571" spans="1:16" x14ac:dyDescent="0.3">
      <c r="A1571" t="s">
        <v>1773</v>
      </c>
      <c r="B1571" s="45">
        <v>45453</v>
      </c>
      <c r="C1571" t="s">
        <v>686</v>
      </c>
      <c r="D1571" t="s">
        <v>124</v>
      </c>
      <c r="E1571" t="s">
        <v>154</v>
      </c>
      <c r="F1571">
        <v>9</v>
      </c>
      <c r="G1571">
        <v>5490</v>
      </c>
      <c r="H1571">
        <v>14.2</v>
      </c>
      <c r="I1571">
        <v>42393.78</v>
      </c>
      <c r="J1571" t="s">
        <v>140</v>
      </c>
      <c r="K1571" t="s">
        <v>112</v>
      </c>
      <c r="L1571" t="s">
        <v>112</v>
      </c>
      <c r="M1571" t="s">
        <v>2817</v>
      </c>
      <c r="N1571" t="s">
        <v>2855</v>
      </c>
      <c r="O1571">
        <v>2549</v>
      </c>
      <c r="P1571">
        <v>5490</v>
      </c>
    </row>
    <row r="1572" spans="1:16" x14ac:dyDescent="0.3">
      <c r="A1572" t="s">
        <v>1774</v>
      </c>
      <c r="B1572" s="45">
        <v>45398</v>
      </c>
      <c r="C1572" t="s">
        <v>883</v>
      </c>
      <c r="D1572" t="s">
        <v>110</v>
      </c>
      <c r="E1572" t="s">
        <v>303</v>
      </c>
      <c r="F1572">
        <v>3</v>
      </c>
      <c r="G1572">
        <v>370</v>
      </c>
      <c r="H1572">
        <v>18.399999999999999</v>
      </c>
      <c r="I1572">
        <v>905.76</v>
      </c>
      <c r="J1572" t="s">
        <v>87</v>
      </c>
      <c r="K1572" t="s">
        <v>133</v>
      </c>
      <c r="L1572" t="s">
        <v>133</v>
      </c>
      <c r="M1572" t="s">
        <v>2817</v>
      </c>
      <c r="N1572" t="s">
        <v>2879</v>
      </c>
      <c r="O1572">
        <v>288</v>
      </c>
      <c r="P1572">
        <v>370</v>
      </c>
    </row>
    <row r="1573" spans="1:16" x14ac:dyDescent="0.3">
      <c r="A1573" t="s">
        <v>1778</v>
      </c>
      <c r="B1573" s="45">
        <v>45359</v>
      </c>
      <c r="C1573" t="s">
        <v>823</v>
      </c>
      <c r="D1573" t="s">
        <v>203</v>
      </c>
      <c r="E1573" t="s">
        <v>252</v>
      </c>
      <c r="F1573">
        <v>8</v>
      </c>
      <c r="G1573">
        <v>660</v>
      </c>
      <c r="H1573">
        <v>7.5</v>
      </c>
      <c r="I1573">
        <v>4884</v>
      </c>
      <c r="J1573" t="s">
        <v>87</v>
      </c>
      <c r="K1573" t="s">
        <v>94</v>
      </c>
      <c r="L1573" t="s">
        <v>94</v>
      </c>
      <c r="M1573" t="s">
        <v>2817</v>
      </c>
      <c r="N1573" t="s">
        <v>2879</v>
      </c>
      <c r="O1573">
        <v>329</v>
      </c>
      <c r="P1573">
        <v>660</v>
      </c>
    </row>
    <row r="1574" spans="1:16" x14ac:dyDescent="0.3">
      <c r="A1574" t="s">
        <v>1779</v>
      </c>
      <c r="B1574" s="45">
        <v>45644</v>
      </c>
      <c r="C1574" t="s">
        <v>1006</v>
      </c>
      <c r="D1574" t="s">
        <v>270</v>
      </c>
      <c r="E1574" t="s">
        <v>139</v>
      </c>
      <c r="F1574">
        <v>3</v>
      </c>
      <c r="G1574">
        <v>4610</v>
      </c>
      <c r="H1574">
        <v>29.6</v>
      </c>
      <c r="I1574">
        <v>9736.32</v>
      </c>
      <c r="J1574" t="s">
        <v>87</v>
      </c>
      <c r="K1574" t="s">
        <v>117</v>
      </c>
      <c r="L1574" t="s">
        <v>117</v>
      </c>
      <c r="M1574" t="s">
        <v>2817</v>
      </c>
      <c r="N1574" t="s">
        <v>2862</v>
      </c>
      <c r="O1574">
        <v>1850</v>
      </c>
      <c r="P1574">
        <v>4610</v>
      </c>
    </row>
    <row r="1575" spans="1:16" x14ac:dyDescent="0.3">
      <c r="A1575" t="s">
        <v>1782</v>
      </c>
      <c r="B1575" s="45">
        <v>45369</v>
      </c>
      <c r="C1575" t="s">
        <v>101</v>
      </c>
      <c r="D1575" t="s">
        <v>164</v>
      </c>
      <c r="E1575" t="s">
        <v>201</v>
      </c>
      <c r="F1575">
        <v>5</v>
      </c>
      <c r="G1575">
        <v>1080</v>
      </c>
      <c r="H1575">
        <v>26.1</v>
      </c>
      <c r="I1575">
        <v>3990.6</v>
      </c>
      <c r="J1575" t="s">
        <v>87</v>
      </c>
      <c r="K1575" t="s">
        <v>99</v>
      </c>
      <c r="L1575" t="s">
        <v>99</v>
      </c>
      <c r="M1575" t="s">
        <v>2817</v>
      </c>
      <c r="N1575" t="s">
        <v>2855</v>
      </c>
      <c r="O1575">
        <v>519</v>
      </c>
      <c r="P1575">
        <v>1080</v>
      </c>
    </row>
    <row r="1576" spans="1:16" x14ac:dyDescent="0.3">
      <c r="A1576" t="s">
        <v>1786</v>
      </c>
      <c r="B1576" s="45">
        <v>45294</v>
      </c>
      <c r="C1576" t="s">
        <v>225</v>
      </c>
      <c r="D1576" t="s">
        <v>164</v>
      </c>
      <c r="E1576" t="s">
        <v>303</v>
      </c>
      <c r="F1576">
        <v>9</v>
      </c>
      <c r="G1576">
        <v>1080</v>
      </c>
      <c r="H1576">
        <v>10.3</v>
      </c>
      <c r="I1576">
        <v>8718.84</v>
      </c>
      <c r="J1576" t="s">
        <v>87</v>
      </c>
      <c r="K1576" t="s">
        <v>94</v>
      </c>
      <c r="L1576" t="s">
        <v>94</v>
      </c>
      <c r="M1576" t="s">
        <v>2817</v>
      </c>
      <c r="N1576" t="s">
        <v>2879</v>
      </c>
      <c r="O1576">
        <v>519</v>
      </c>
      <c r="P1576">
        <v>1080</v>
      </c>
    </row>
    <row r="1577" spans="1:16" x14ac:dyDescent="0.3">
      <c r="A1577" t="s">
        <v>1787</v>
      </c>
      <c r="B1577" s="45">
        <v>45449</v>
      </c>
      <c r="C1577" t="s">
        <v>910</v>
      </c>
      <c r="D1577" t="s">
        <v>502</v>
      </c>
      <c r="E1577" t="s">
        <v>139</v>
      </c>
      <c r="F1577">
        <v>1</v>
      </c>
      <c r="G1577">
        <v>1090</v>
      </c>
      <c r="H1577">
        <v>5.8</v>
      </c>
      <c r="I1577">
        <v>1026.78</v>
      </c>
      <c r="J1577" t="s">
        <v>140</v>
      </c>
      <c r="K1577" t="s">
        <v>99</v>
      </c>
      <c r="L1577" t="s">
        <v>99</v>
      </c>
      <c r="M1577" t="s">
        <v>2817</v>
      </c>
      <c r="N1577" t="s">
        <v>2862</v>
      </c>
      <c r="O1577">
        <v>464</v>
      </c>
      <c r="P1577">
        <v>1090</v>
      </c>
    </row>
    <row r="1578" spans="1:16" x14ac:dyDescent="0.3">
      <c r="A1578" t="s">
        <v>1790</v>
      </c>
      <c r="B1578" s="45">
        <v>45360</v>
      </c>
      <c r="C1578" t="s">
        <v>208</v>
      </c>
      <c r="D1578" t="s">
        <v>295</v>
      </c>
      <c r="E1578" t="s">
        <v>273</v>
      </c>
      <c r="F1578">
        <v>7</v>
      </c>
      <c r="G1578">
        <v>2030</v>
      </c>
      <c r="H1578">
        <v>27.7</v>
      </c>
      <c r="I1578">
        <v>10273.83</v>
      </c>
      <c r="J1578" t="s">
        <v>87</v>
      </c>
      <c r="K1578" t="s">
        <v>133</v>
      </c>
      <c r="L1578" t="s">
        <v>133</v>
      </c>
      <c r="M1578" t="s">
        <v>2817</v>
      </c>
      <c r="N1578" t="s">
        <v>2855</v>
      </c>
      <c r="O1578">
        <v>1143</v>
      </c>
      <c r="P1578">
        <v>2030</v>
      </c>
    </row>
    <row r="1579" spans="1:16" x14ac:dyDescent="0.3">
      <c r="A1579" t="s">
        <v>1797</v>
      </c>
      <c r="B1579" s="45">
        <v>45385</v>
      </c>
      <c r="C1579" t="s">
        <v>504</v>
      </c>
      <c r="D1579" t="s">
        <v>110</v>
      </c>
      <c r="E1579" t="s">
        <v>92</v>
      </c>
      <c r="F1579">
        <v>4</v>
      </c>
      <c r="G1579">
        <v>370</v>
      </c>
      <c r="H1579">
        <v>4.9000000000000004</v>
      </c>
      <c r="I1579">
        <v>1407.48</v>
      </c>
      <c r="J1579" t="s">
        <v>87</v>
      </c>
      <c r="K1579" t="s">
        <v>117</v>
      </c>
      <c r="L1579" t="s">
        <v>117</v>
      </c>
      <c r="M1579" t="s">
        <v>2817</v>
      </c>
      <c r="N1579" t="s">
        <v>2871</v>
      </c>
      <c r="O1579">
        <v>288</v>
      </c>
      <c r="P1579">
        <v>370</v>
      </c>
    </row>
    <row r="1580" spans="1:16" x14ac:dyDescent="0.3">
      <c r="A1580" t="s">
        <v>1808</v>
      </c>
      <c r="B1580" s="45">
        <v>45308</v>
      </c>
      <c r="C1580" t="s">
        <v>353</v>
      </c>
      <c r="D1580" t="s">
        <v>502</v>
      </c>
      <c r="E1580" t="s">
        <v>204</v>
      </c>
      <c r="F1580">
        <v>6</v>
      </c>
      <c r="G1580">
        <v>1090</v>
      </c>
      <c r="H1580">
        <v>2.4</v>
      </c>
      <c r="I1580">
        <v>6383.04</v>
      </c>
      <c r="J1580" t="s">
        <v>93</v>
      </c>
      <c r="K1580" t="s">
        <v>94</v>
      </c>
      <c r="L1580" t="s">
        <v>94</v>
      </c>
      <c r="M1580" t="s">
        <v>2817</v>
      </c>
      <c r="N1580" t="s">
        <v>2855</v>
      </c>
      <c r="O1580">
        <v>464</v>
      </c>
      <c r="P1580">
        <v>1090</v>
      </c>
    </row>
    <row r="1581" spans="1:16" x14ac:dyDescent="0.3">
      <c r="A1581" t="s">
        <v>1819</v>
      </c>
      <c r="B1581" s="45">
        <v>45600</v>
      </c>
      <c r="C1581" t="s">
        <v>797</v>
      </c>
      <c r="D1581" t="s">
        <v>443</v>
      </c>
      <c r="E1581" t="s">
        <v>343</v>
      </c>
      <c r="F1581">
        <v>2</v>
      </c>
      <c r="G1581">
        <v>5080</v>
      </c>
      <c r="H1581">
        <v>16.8</v>
      </c>
      <c r="I1581">
        <v>8453.1200000000008</v>
      </c>
      <c r="J1581" t="s">
        <v>87</v>
      </c>
      <c r="K1581" t="s">
        <v>99</v>
      </c>
      <c r="L1581" t="s">
        <v>99</v>
      </c>
      <c r="M1581" t="s">
        <v>2817</v>
      </c>
      <c r="N1581" t="s">
        <v>2879</v>
      </c>
      <c r="O1581">
        <v>2459</v>
      </c>
      <c r="P1581">
        <v>5080</v>
      </c>
    </row>
    <row r="1582" spans="1:16" x14ac:dyDescent="0.3">
      <c r="A1582" t="s">
        <v>1825</v>
      </c>
      <c r="B1582" s="45">
        <v>45534</v>
      </c>
      <c r="C1582" t="s">
        <v>604</v>
      </c>
      <c r="D1582" t="s">
        <v>203</v>
      </c>
      <c r="E1582" t="s">
        <v>128</v>
      </c>
      <c r="F1582">
        <v>5</v>
      </c>
      <c r="G1582">
        <v>660</v>
      </c>
      <c r="H1582">
        <v>15.8</v>
      </c>
      <c r="I1582">
        <v>2778.6</v>
      </c>
      <c r="J1582" t="s">
        <v>87</v>
      </c>
      <c r="K1582" t="s">
        <v>117</v>
      </c>
      <c r="L1582" t="s">
        <v>117</v>
      </c>
      <c r="M1582" t="s">
        <v>2817</v>
      </c>
      <c r="N1582" t="s">
        <v>2879</v>
      </c>
      <c r="O1582">
        <v>329</v>
      </c>
      <c r="P1582">
        <v>660</v>
      </c>
    </row>
    <row r="1583" spans="1:16" x14ac:dyDescent="0.3">
      <c r="A1583" t="s">
        <v>1832</v>
      </c>
      <c r="B1583" s="45">
        <v>45400</v>
      </c>
      <c r="C1583" t="s">
        <v>479</v>
      </c>
      <c r="D1583" t="s">
        <v>124</v>
      </c>
      <c r="E1583" t="s">
        <v>154</v>
      </c>
      <c r="F1583">
        <v>3</v>
      </c>
      <c r="G1583">
        <v>5490</v>
      </c>
      <c r="H1583">
        <v>26.7</v>
      </c>
      <c r="I1583">
        <v>12072.51</v>
      </c>
      <c r="J1583" t="s">
        <v>87</v>
      </c>
      <c r="K1583" t="s">
        <v>88</v>
      </c>
      <c r="L1583" t="s">
        <v>88</v>
      </c>
      <c r="M1583" t="s">
        <v>2817</v>
      </c>
      <c r="N1583" t="s">
        <v>2862</v>
      </c>
      <c r="O1583">
        <v>2549</v>
      </c>
      <c r="P1583">
        <v>5490</v>
      </c>
    </row>
    <row r="1584" spans="1:16" x14ac:dyDescent="0.3">
      <c r="A1584" t="s">
        <v>1835</v>
      </c>
      <c r="B1584" s="45">
        <v>45395</v>
      </c>
      <c r="C1584" t="s">
        <v>385</v>
      </c>
      <c r="D1584" t="s">
        <v>502</v>
      </c>
      <c r="E1584" t="s">
        <v>154</v>
      </c>
      <c r="F1584">
        <v>1</v>
      </c>
      <c r="G1584">
        <v>1090</v>
      </c>
      <c r="H1584">
        <v>9.6</v>
      </c>
      <c r="I1584">
        <v>985.36</v>
      </c>
      <c r="J1584" t="s">
        <v>144</v>
      </c>
      <c r="K1584" t="s">
        <v>117</v>
      </c>
      <c r="L1584" t="s">
        <v>117</v>
      </c>
      <c r="M1584" t="s">
        <v>2817</v>
      </c>
      <c r="N1584" t="s">
        <v>2871</v>
      </c>
      <c r="O1584">
        <v>464</v>
      </c>
      <c r="P1584">
        <v>1090</v>
      </c>
    </row>
    <row r="1585" spans="1:16" x14ac:dyDescent="0.3">
      <c r="A1585" t="s">
        <v>1836</v>
      </c>
      <c r="B1585" s="45">
        <v>45447</v>
      </c>
      <c r="C1585" t="s">
        <v>382</v>
      </c>
      <c r="D1585" t="s">
        <v>110</v>
      </c>
      <c r="E1585" t="s">
        <v>139</v>
      </c>
      <c r="F1585">
        <v>9</v>
      </c>
      <c r="G1585">
        <v>370</v>
      </c>
      <c r="H1585">
        <v>4</v>
      </c>
      <c r="I1585">
        <v>3196.8</v>
      </c>
      <c r="J1585" t="s">
        <v>87</v>
      </c>
      <c r="K1585" t="s">
        <v>99</v>
      </c>
      <c r="L1585" t="s">
        <v>99</v>
      </c>
      <c r="M1585" t="s">
        <v>2817</v>
      </c>
      <c r="N1585" t="s">
        <v>2862</v>
      </c>
      <c r="O1585">
        <v>288</v>
      </c>
      <c r="P1585">
        <v>370</v>
      </c>
    </row>
    <row r="1586" spans="1:16" x14ac:dyDescent="0.3">
      <c r="A1586" t="s">
        <v>1840</v>
      </c>
      <c r="B1586" s="45">
        <v>45644</v>
      </c>
      <c r="C1586" t="s">
        <v>225</v>
      </c>
      <c r="D1586" t="s">
        <v>110</v>
      </c>
      <c r="E1586" t="s">
        <v>116</v>
      </c>
      <c r="F1586">
        <v>10</v>
      </c>
      <c r="G1586">
        <v>370</v>
      </c>
      <c r="H1586">
        <v>16.399999999999999</v>
      </c>
      <c r="I1586">
        <v>3093.2</v>
      </c>
      <c r="J1586" t="s">
        <v>140</v>
      </c>
      <c r="K1586" t="s">
        <v>94</v>
      </c>
      <c r="L1586" t="s">
        <v>94</v>
      </c>
      <c r="M1586" t="s">
        <v>2817</v>
      </c>
      <c r="N1586" t="s">
        <v>2871</v>
      </c>
      <c r="O1586">
        <v>288</v>
      </c>
      <c r="P1586">
        <v>370</v>
      </c>
    </row>
    <row r="1587" spans="1:16" x14ac:dyDescent="0.3">
      <c r="A1587" t="s">
        <v>1842</v>
      </c>
      <c r="B1587" s="45">
        <v>45441</v>
      </c>
      <c r="C1587" t="s">
        <v>405</v>
      </c>
      <c r="D1587" t="s">
        <v>443</v>
      </c>
      <c r="E1587" t="s">
        <v>92</v>
      </c>
      <c r="F1587">
        <v>10</v>
      </c>
      <c r="G1587">
        <v>5080</v>
      </c>
      <c r="H1587">
        <v>6.8</v>
      </c>
      <c r="I1587">
        <v>47345.599999999999</v>
      </c>
      <c r="J1587" t="s">
        <v>87</v>
      </c>
      <c r="K1587" t="s">
        <v>94</v>
      </c>
      <c r="L1587" t="s">
        <v>94</v>
      </c>
      <c r="M1587" t="s">
        <v>2817</v>
      </c>
      <c r="N1587" t="s">
        <v>2862</v>
      </c>
      <c r="O1587">
        <v>2459</v>
      </c>
      <c r="P1587">
        <v>5080</v>
      </c>
    </row>
    <row r="1588" spans="1:16" x14ac:dyDescent="0.3">
      <c r="A1588" t="s">
        <v>1861</v>
      </c>
      <c r="B1588" s="45">
        <v>45395</v>
      </c>
      <c r="C1588" t="s">
        <v>905</v>
      </c>
      <c r="D1588" t="s">
        <v>502</v>
      </c>
      <c r="E1588" t="s">
        <v>285</v>
      </c>
      <c r="F1588">
        <v>2</v>
      </c>
      <c r="G1588">
        <v>1090</v>
      </c>
      <c r="H1588">
        <v>17</v>
      </c>
      <c r="I1588">
        <v>1809.4</v>
      </c>
      <c r="J1588" t="s">
        <v>87</v>
      </c>
      <c r="K1588" t="s">
        <v>112</v>
      </c>
      <c r="L1588" t="s">
        <v>112</v>
      </c>
      <c r="M1588" t="s">
        <v>2817</v>
      </c>
      <c r="N1588" t="s">
        <v>2862</v>
      </c>
      <c r="O1588">
        <v>464</v>
      </c>
      <c r="P1588">
        <v>1090</v>
      </c>
    </row>
    <row r="1589" spans="1:16" x14ac:dyDescent="0.3">
      <c r="A1589" t="s">
        <v>1864</v>
      </c>
      <c r="B1589" s="45">
        <v>45581</v>
      </c>
      <c r="C1589" t="s">
        <v>816</v>
      </c>
      <c r="D1589" t="s">
        <v>295</v>
      </c>
      <c r="E1589" t="s">
        <v>121</v>
      </c>
      <c r="F1589">
        <v>10</v>
      </c>
      <c r="G1589">
        <v>2030</v>
      </c>
      <c r="H1589">
        <v>25</v>
      </c>
      <c r="I1589">
        <v>15225</v>
      </c>
      <c r="J1589" t="s">
        <v>87</v>
      </c>
      <c r="K1589" t="s">
        <v>88</v>
      </c>
      <c r="L1589" t="s">
        <v>88</v>
      </c>
      <c r="M1589" t="s">
        <v>2817</v>
      </c>
      <c r="N1589" t="s">
        <v>2862</v>
      </c>
      <c r="O1589">
        <v>1143</v>
      </c>
      <c r="P1589">
        <v>2030</v>
      </c>
    </row>
    <row r="1590" spans="1:16" x14ac:dyDescent="0.3">
      <c r="A1590" t="s">
        <v>1865</v>
      </c>
      <c r="B1590" s="45">
        <v>45508</v>
      </c>
      <c r="C1590" t="s">
        <v>390</v>
      </c>
      <c r="D1590" t="s">
        <v>502</v>
      </c>
      <c r="E1590" t="s">
        <v>343</v>
      </c>
      <c r="F1590">
        <v>3</v>
      </c>
      <c r="G1590">
        <v>1090</v>
      </c>
      <c r="H1590">
        <v>12.1</v>
      </c>
      <c r="I1590">
        <v>2874.33</v>
      </c>
      <c r="J1590" t="s">
        <v>87</v>
      </c>
      <c r="K1590" t="s">
        <v>88</v>
      </c>
      <c r="L1590" t="s">
        <v>88</v>
      </c>
      <c r="M1590" t="s">
        <v>2817</v>
      </c>
      <c r="N1590" t="s">
        <v>2879</v>
      </c>
      <c r="O1590">
        <v>464</v>
      </c>
      <c r="P1590">
        <v>1090</v>
      </c>
    </row>
    <row r="1591" spans="1:16" x14ac:dyDescent="0.3">
      <c r="A1591" t="s">
        <v>1871</v>
      </c>
      <c r="B1591" s="45">
        <v>45334</v>
      </c>
      <c r="C1591" t="s">
        <v>797</v>
      </c>
      <c r="D1591" t="s">
        <v>270</v>
      </c>
      <c r="E1591" t="s">
        <v>343</v>
      </c>
      <c r="F1591">
        <v>9</v>
      </c>
      <c r="G1591">
        <v>4610</v>
      </c>
      <c r="H1591">
        <v>2.1</v>
      </c>
      <c r="I1591">
        <v>40618.71</v>
      </c>
      <c r="J1591" t="s">
        <v>87</v>
      </c>
      <c r="K1591" t="s">
        <v>99</v>
      </c>
      <c r="L1591" t="s">
        <v>99</v>
      </c>
      <c r="M1591" t="s">
        <v>2817</v>
      </c>
      <c r="N1591" t="s">
        <v>2862</v>
      </c>
      <c r="O1591">
        <v>1850</v>
      </c>
      <c r="P1591">
        <v>4610</v>
      </c>
    </row>
    <row r="1592" spans="1:16" x14ac:dyDescent="0.3">
      <c r="A1592" t="s">
        <v>1885</v>
      </c>
      <c r="B1592" s="45">
        <v>45633</v>
      </c>
      <c r="C1592" t="s">
        <v>206</v>
      </c>
      <c r="D1592" t="s">
        <v>443</v>
      </c>
      <c r="E1592" t="s">
        <v>116</v>
      </c>
      <c r="F1592">
        <v>10</v>
      </c>
      <c r="G1592">
        <v>5080</v>
      </c>
      <c r="H1592">
        <v>2.1</v>
      </c>
      <c r="I1592">
        <v>49733.2</v>
      </c>
      <c r="J1592" t="s">
        <v>87</v>
      </c>
      <c r="K1592" t="s">
        <v>133</v>
      </c>
      <c r="L1592" t="s">
        <v>133</v>
      </c>
      <c r="M1592" t="s">
        <v>2817</v>
      </c>
      <c r="N1592" t="s">
        <v>2855</v>
      </c>
      <c r="O1592">
        <v>2459</v>
      </c>
      <c r="P1592">
        <v>5080</v>
      </c>
    </row>
    <row r="1593" spans="1:16" x14ac:dyDescent="0.3">
      <c r="A1593" t="s">
        <v>1886</v>
      </c>
      <c r="B1593" s="45">
        <v>45517</v>
      </c>
      <c r="C1593" t="s">
        <v>725</v>
      </c>
      <c r="D1593" t="s">
        <v>502</v>
      </c>
      <c r="E1593" t="s">
        <v>303</v>
      </c>
      <c r="F1593">
        <v>4</v>
      </c>
      <c r="G1593">
        <v>1090</v>
      </c>
      <c r="H1593">
        <v>18.5</v>
      </c>
      <c r="I1593">
        <v>3553.4</v>
      </c>
      <c r="J1593" t="s">
        <v>144</v>
      </c>
      <c r="K1593" t="s">
        <v>99</v>
      </c>
      <c r="L1593" t="s">
        <v>99</v>
      </c>
      <c r="M1593" t="s">
        <v>2817</v>
      </c>
      <c r="N1593" t="s">
        <v>2855</v>
      </c>
      <c r="O1593">
        <v>464</v>
      </c>
      <c r="P1593">
        <v>1090</v>
      </c>
    </row>
    <row r="1594" spans="1:16" x14ac:dyDescent="0.3">
      <c r="A1594" t="s">
        <v>1907</v>
      </c>
      <c r="B1594" s="45">
        <v>45572</v>
      </c>
      <c r="C1594" t="s">
        <v>420</v>
      </c>
      <c r="D1594" t="s">
        <v>226</v>
      </c>
      <c r="E1594" t="s">
        <v>158</v>
      </c>
      <c r="F1594">
        <v>9</v>
      </c>
      <c r="G1594">
        <v>3730</v>
      </c>
      <c r="H1594">
        <v>24.5</v>
      </c>
      <c r="I1594">
        <v>25345.35</v>
      </c>
      <c r="J1594" t="s">
        <v>144</v>
      </c>
      <c r="K1594" t="s">
        <v>99</v>
      </c>
      <c r="L1594" t="s">
        <v>99</v>
      </c>
      <c r="M1594" t="s">
        <v>2817</v>
      </c>
      <c r="N1594" t="s">
        <v>2855</v>
      </c>
      <c r="O1594">
        <v>2135</v>
      </c>
      <c r="P1594">
        <v>3730</v>
      </c>
    </row>
    <row r="1595" spans="1:16" x14ac:dyDescent="0.3">
      <c r="A1595" t="s">
        <v>1911</v>
      </c>
      <c r="B1595" s="45">
        <v>45484</v>
      </c>
      <c r="C1595" t="s">
        <v>1623</v>
      </c>
      <c r="D1595" t="s">
        <v>502</v>
      </c>
      <c r="E1595" t="s">
        <v>285</v>
      </c>
      <c r="F1595">
        <v>2</v>
      </c>
      <c r="G1595">
        <v>1090</v>
      </c>
      <c r="H1595">
        <v>0.4</v>
      </c>
      <c r="I1595">
        <v>2171.2800000000002</v>
      </c>
      <c r="J1595" t="s">
        <v>144</v>
      </c>
      <c r="K1595" t="s">
        <v>117</v>
      </c>
      <c r="L1595" t="s">
        <v>117</v>
      </c>
      <c r="M1595" t="s">
        <v>2817</v>
      </c>
      <c r="N1595" t="s">
        <v>2862</v>
      </c>
      <c r="O1595">
        <v>464</v>
      </c>
      <c r="P1595">
        <v>1090</v>
      </c>
    </row>
    <row r="1596" spans="1:16" x14ac:dyDescent="0.3">
      <c r="A1596" t="s">
        <v>1917</v>
      </c>
      <c r="B1596" s="45">
        <v>45454</v>
      </c>
      <c r="C1596" t="s">
        <v>350</v>
      </c>
      <c r="D1596" t="s">
        <v>143</v>
      </c>
      <c r="E1596" t="s">
        <v>297</v>
      </c>
      <c r="F1596">
        <v>10</v>
      </c>
      <c r="G1596">
        <v>3250</v>
      </c>
      <c r="H1596">
        <v>21.3</v>
      </c>
      <c r="I1596">
        <v>25577.5</v>
      </c>
      <c r="J1596" t="s">
        <v>140</v>
      </c>
      <c r="K1596" t="s">
        <v>112</v>
      </c>
      <c r="L1596" t="s">
        <v>112</v>
      </c>
      <c r="M1596" t="s">
        <v>2817</v>
      </c>
      <c r="N1596" t="s">
        <v>2862</v>
      </c>
      <c r="O1596">
        <v>1556</v>
      </c>
      <c r="P1596">
        <v>3250</v>
      </c>
    </row>
    <row r="1597" spans="1:16" x14ac:dyDescent="0.3">
      <c r="A1597" t="s">
        <v>1921</v>
      </c>
      <c r="B1597" s="45">
        <v>45579</v>
      </c>
      <c r="C1597" t="s">
        <v>968</v>
      </c>
      <c r="D1597" t="s">
        <v>124</v>
      </c>
      <c r="E1597" t="s">
        <v>303</v>
      </c>
      <c r="F1597">
        <v>6</v>
      </c>
      <c r="G1597">
        <v>5490</v>
      </c>
      <c r="H1597">
        <v>0.5</v>
      </c>
      <c r="I1597">
        <v>32775.300000000003</v>
      </c>
      <c r="J1597" t="s">
        <v>93</v>
      </c>
      <c r="K1597" t="s">
        <v>99</v>
      </c>
      <c r="L1597" t="s">
        <v>99</v>
      </c>
      <c r="M1597" t="s">
        <v>2817</v>
      </c>
      <c r="N1597" t="s">
        <v>2871</v>
      </c>
      <c r="O1597">
        <v>2549</v>
      </c>
      <c r="P1597">
        <v>5490</v>
      </c>
    </row>
    <row r="1598" spans="1:16" x14ac:dyDescent="0.3">
      <c r="A1598" t="s">
        <v>1924</v>
      </c>
      <c r="B1598" s="45">
        <v>45605</v>
      </c>
      <c r="C1598" t="s">
        <v>1925</v>
      </c>
      <c r="D1598" t="s">
        <v>502</v>
      </c>
      <c r="E1598" t="s">
        <v>204</v>
      </c>
      <c r="F1598">
        <v>8</v>
      </c>
      <c r="G1598">
        <v>1090</v>
      </c>
      <c r="H1598">
        <v>21.7</v>
      </c>
      <c r="I1598">
        <v>6827.76</v>
      </c>
      <c r="J1598" t="s">
        <v>87</v>
      </c>
      <c r="K1598" t="s">
        <v>88</v>
      </c>
      <c r="L1598" t="s">
        <v>88</v>
      </c>
      <c r="M1598" t="s">
        <v>2817</v>
      </c>
      <c r="N1598" t="s">
        <v>2862</v>
      </c>
      <c r="O1598">
        <v>464</v>
      </c>
      <c r="P1598">
        <v>1090</v>
      </c>
    </row>
    <row r="1599" spans="1:16" x14ac:dyDescent="0.3">
      <c r="A1599" t="s">
        <v>1928</v>
      </c>
      <c r="B1599" s="45">
        <v>45470</v>
      </c>
      <c r="C1599" t="s">
        <v>712</v>
      </c>
      <c r="D1599" t="s">
        <v>295</v>
      </c>
      <c r="E1599" t="s">
        <v>188</v>
      </c>
      <c r="F1599">
        <v>2</v>
      </c>
      <c r="G1599">
        <v>2030</v>
      </c>
      <c r="H1599">
        <v>27.3</v>
      </c>
      <c r="I1599">
        <v>2951.62</v>
      </c>
      <c r="J1599" t="s">
        <v>144</v>
      </c>
      <c r="K1599" t="s">
        <v>112</v>
      </c>
      <c r="L1599" t="s">
        <v>112</v>
      </c>
      <c r="M1599" t="s">
        <v>2817</v>
      </c>
      <c r="N1599" t="s">
        <v>2855</v>
      </c>
      <c r="O1599">
        <v>1143</v>
      </c>
      <c r="P1599">
        <v>2030</v>
      </c>
    </row>
    <row r="1600" spans="1:16" x14ac:dyDescent="0.3">
      <c r="A1600" t="s">
        <v>1932</v>
      </c>
      <c r="B1600" s="45">
        <v>45390</v>
      </c>
      <c r="C1600" t="s">
        <v>1072</v>
      </c>
      <c r="D1600" t="s">
        <v>143</v>
      </c>
      <c r="E1600" t="s">
        <v>154</v>
      </c>
      <c r="F1600">
        <v>6</v>
      </c>
      <c r="G1600">
        <v>3250</v>
      </c>
      <c r="H1600">
        <v>11.1</v>
      </c>
      <c r="I1600">
        <v>17335.5</v>
      </c>
      <c r="J1600" t="s">
        <v>87</v>
      </c>
      <c r="K1600" t="s">
        <v>112</v>
      </c>
      <c r="L1600" t="s">
        <v>112</v>
      </c>
      <c r="M1600" t="s">
        <v>2817</v>
      </c>
      <c r="N1600" t="s">
        <v>2871</v>
      </c>
      <c r="O1600">
        <v>1556</v>
      </c>
      <c r="P1600">
        <v>3250</v>
      </c>
    </row>
    <row r="1601" spans="1:16" x14ac:dyDescent="0.3">
      <c r="A1601" t="s">
        <v>1934</v>
      </c>
      <c r="B1601" s="45">
        <v>45432</v>
      </c>
      <c r="C1601" t="s">
        <v>493</v>
      </c>
      <c r="D1601" t="s">
        <v>110</v>
      </c>
      <c r="E1601" t="s">
        <v>121</v>
      </c>
      <c r="F1601">
        <v>9</v>
      </c>
      <c r="G1601">
        <v>370</v>
      </c>
      <c r="H1601">
        <v>12.4</v>
      </c>
      <c r="I1601">
        <v>2917.08</v>
      </c>
      <c r="J1601" t="s">
        <v>87</v>
      </c>
      <c r="K1601" t="s">
        <v>88</v>
      </c>
      <c r="L1601" t="s">
        <v>88</v>
      </c>
      <c r="M1601" t="s">
        <v>2817</v>
      </c>
      <c r="N1601" t="s">
        <v>2862</v>
      </c>
      <c r="O1601">
        <v>288</v>
      </c>
      <c r="P1601">
        <v>370</v>
      </c>
    </row>
    <row r="1602" spans="1:16" x14ac:dyDescent="0.3">
      <c r="A1602" t="s">
        <v>1940</v>
      </c>
      <c r="B1602" s="45">
        <v>45645</v>
      </c>
      <c r="C1602" t="s">
        <v>407</v>
      </c>
      <c r="D1602" t="s">
        <v>295</v>
      </c>
      <c r="E1602" t="s">
        <v>111</v>
      </c>
      <c r="F1602">
        <v>9</v>
      </c>
      <c r="G1602">
        <v>2030</v>
      </c>
      <c r="H1602">
        <v>3.4</v>
      </c>
      <c r="I1602">
        <v>17648.82</v>
      </c>
      <c r="J1602" t="s">
        <v>87</v>
      </c>
      <c r="K1602" t="s">
        <v>88</v>
      </c>
      <c r="L1602" t="s">
        <v>88</v>
      </c>
      <c r="M1602" t="s">
        <v>2817</v>
      </c>
      <c r="N1602" t="s">
        <v>2855</v>
      </c>
      <c r="O1602">
        <v>1143</v>
      </c>
      <c r="P1602">
        <v>2030</v>
      </c>
    </row>
    <row r="1603" spans="1:16" x14ac:dyDescent="0.3">
      <c r="A1603" t="s">
        <v>1947</v>
      </c>
      <c r="B1603" s="45">
        <v>45364</v>
      </c>
      <c r="C1603" t="s">
        <v>256</v>
      </c>
      <c r="D1603" t="s">
        <v>502</v>
      </c>
      <c r="E1603" t="s">
        <v>201</v>
      </c>
      <c r="F1603">
        <v>5</v>
      </c>
      <c r="G1603">
        <v>1090</v>
      </c>
      <c r="H1603">
        <v>15</v>
      </c>
      <c r="I1603">
        <v>4632.5</v>
      </c>
      <c r="J1603" t="s">
        <v>87</v>
      </c>
      <c r="K1603" t="s">
        <v>133</v>
      </c>
      <c r="L1603" t="s">
        <v>133</v>
      </c>
      <c r="M1603" t="s">
        <v>2817</v>
      </c>
      <c r="N1603" t="s">
        <v>2855</v>
      </c>
      <c r="O1603">
        <v>464</v>
      </c>
      <c r="P1603">
        <v>1090</v>
      </c>
    </row>
    <row r="1604" spans="1:16" x14ac:dyDescent="0.3">
      <c r="A1604" t="s">
        <v>1948</v>
      </c>
      <c r="B1604" s="45">
        <v>45618</v>
      </c>
      <c r="C1604" t="s">
        <v>1062</v>
      </c>
      <c r="D1604" t="s">
        <v>110</v>
      </c>
      <c r="E1604" t="s">
        <v>229</v>
      </c>
      <c r="F1604">
        <v>9</v>
      </c>
      <c r="G1604">
        <v>370</v>
      </c>
      <c r="H1604">
        <v>25.4</v>
      </c>
      <c r="I1604">
        <v>2484.1799999999998</v>
      </c>
      <c r="J1604" t="s">
        <v>87</v>
      </c>
      <c r="K1604" t="s">
        <v>112</v>
      </c>
      <c r="L1604" t="s">
        <v>112</v>
      </c>
      <c r="M1604" t="s">
        <v>2817</v>
      </c>
      <c r="N1604" t="s">
        <v>2855</v>
      </c>
      <c r="O1604">
        <v>288</v>
      </c>
      <c r="P1604">
        <v>370</v>
      </c>
    </row>
    <row r="1605" spans="1:16" x14ac:dyDescent="0.3">
      <c r="A1605" t="s">
        <v>1953</v>
      </c>
      <c r="B1605" s="45">
        <v>45387</v>
      </c>
      <c r="C1605" t="s">
        <v>190</v>
      </c>
      <c r="D1605" t="s">
        <v>164</v>
      </c>
      <c r="E1605" t="s">
        <v>154</v>
      </c>
      <c r="F1605">
        <v>10</v>
      </c>
      <c r="G1605">
        <v>1080</v>
      </c>
      <c r="H1605">
        <v>12.8</v>
      </c>
      <c r="I1605">
        <v>9417.6</v>
      </c>
      <c r="J1605" t="s">
        <v>87</v>
      </c>
      <c r="K1605" t="s">
        <v>133</v>
      </c>
      <c r="L1605" t="s">
        <v>133</v>
      </c>
      <c r="M1605" t="s">
        <v>2817</v>
      </c>
      <c r="N1605" t="s">
        <v>2855</v>
      </c>
      <c r="O1605">
        <v>519</v>
      </c>
      <c r="P1605">
        <v>1080</v>
      </c>
    </row>
    <row r="1606" spans="1:16" x14ac:dyDescent="0.3">
      <c r="A1606" t="s">
        <v>1955</v>
      </c>
      <c r="B1606" s="45">
        <v>45479</v>
      </c>
      <c r="C1606" t="s">
        <v>1956</v>
      </c>
      <c r="D1606" t="s">
        <v>226</v>
      </c>
      <c r="E1606" t="s">
        <v>204</v>
      </c>
      <c r="F1606">
        <v>1</v>
      </c>
      <c r="G1606">
        <v>3730</v>
      </c>
      <c r="H1606">
        <v>14.7</v>
      </c>
      <c r="I1606">
        <v>3181.69</v>
      </c>
      <c r="J1606" t="s">
        <v>93</v>
      </c>
      <c r="K1606" t="s">
        <v>88</v>
      </c>
      <c r="L1606" t="s">
        <v>88</v>
      </c>
      <c r="M1606" t="s">
        <v>2817</v>
      </c>
      <c r="N1606" t="s">
        <v>2879</v>
      </c>
      <c r="O1606">
        <v>2135</v>
      </c>
      <c r="P1606">
        <v>3730</v>
      </c>
    </row>
    <row r="1607" spans="1:16" x14ac:dyDescent="0.3">
      <c r="A1607" t="s">
        <v>1962</v>
      </c>
      <c r="B1607" s="45">
        <v>45444</v>
      </c>
      <c r="C1607" t="s">
        <v>289</v>
      </c>
      <c r="D1607" t="s">
        <v>226</v>
      </c>
      <c r="E1607" t="s">
        <v>303</v>
      </c>
      <c r="F1607">
        <v>6</v>
      </c>
      <c r="G1607">
        <v>3730</v>
      </c>
      <c r="H1607">
        <v>1</v>
      </c>
      <c r="I1607">
        <v>22156.2</v>
      </c>
      <c r="J1607" t="s">
        <v>87</v>
      </c>
      <c r="K1607" t="s">
        <v>94</v>
      </c>
      <c r="L1607" t="s">
        <v>94</v>
      </c>
      <c r="M1607" t="s">
        <v>2817</v>
      </c>
      <c r="N1607" t="s">
        <v>2862</v>
      </c>
      <c r="O1607">
        <v>2135</v>
      </c>
      <c r="P1607">
        <v>3730</v>
      </c>
    </row>
    <row r="1608" spans="1:16" x14ac:dyDescent="0.3">
      <c r="A1608" t="s">
        <v>1965</v>
      </c>
      <c r="B1608" s="45">
        <v>45577</v>
      </c>
      <c r="C1608" t="s">
        <v>797</v>
      </c>
      <c r="D1608" t="s">
        <v>203</v>
      </c>
      <c r="E1608" t="s">
        <v>86</v>
      </c>
      <c r="F1608">
        <v>9</v>
      </c>
      <c r="G1608">
        <v>660</v>
      </c>
      <c r="H1608">
        <v>29.3</v>
      </c>
      <c r="I1608">
        <v>4199.58</v>
      </c>
      <c r="J1608" t="s">
        <v>87</v>
      </c>
      <c r="K1608" t="s">
        <v>99</v>
      </c>
      <c r="L1608" t="s">
        <v>99</v>
      </c>
      <c r="M1608" t="s">
        <v>2817</v>
      </c>
      <c r="N1608" t="s">
        <v>2855</v>
      </c>
      <c r="O1608">
        <v>329</v>
      </c>
      <c r="P1608">
        <v>660</v>
      </c>
    </row>
    <row r="1609" spans="1:16" x14ac:dyDescent="0.3">
      <c r="A1609" t="s">
        <v>1969</v>
      </c>
      <c r="B1609" s="45">
        <v>45333</v>
      </c>
      <c r="C1609" t="s">
        <v>472</v>
      </c>
      <c r="D1609" t="s">
        <v>124</v>
      </c>
      <c r="E1609" t="s">
        <v>128</v>
      </c>
      <c r="F1609">
        <v>2</v>
      </c>
      <c r="G1609">
        <v>5490</v>
      </c>
      <c r="H1609">
        <v>5.4</v>
      </c>
      <c r="I1609">
        <v>10387.08</v>
      </c>
      <c r="J1609" t="s">
        <v>87</v>
      </c>
      <c r="K1609" t="s">
        <v>94</v>
      </c>
      <c r="L1609" t="s">
        <v>94</v>
      </c>
      <c r="M1609" t="s">
        <v>2817</v>
      </c>
      <c r="N1609" t="s">
        <v>2862</v>
      </c>
      <c r="O1609">
        <v>2549</v>
      </c>
      <c r="P1609">
        <v>5490</v>
      </c>
    </row>
    <row r="1610" spans="1:16" x14ac:dyDescent="0.3">
      <c r="A1610" t="s">
        <v>1979</v>
      </c>
      <c r="B1610" s="45">
        <v>45511</v>
      </c>
      <c r="C1610" t="s">
        <v>153</v>
      </c>
      <c r="D1610" t="s">
        <v>502</v>
      </c>
      <c r="E1610" t="s">
        <v>325</v>
      </c>
      <c r="F1610">
        <v>4</v>
      </c>
      <c r="G1610">
        <v>1090</v>
      </c>
      <c r="H1610">
        <v>4.9000000000000004</v>
      </c>
      <c r="I1610">
        <v>4146.3599999999997</v>
      </c>
      <c r="J1610" t="s">
        <v>140</v>
      </c>
      <c r="K1610" t="s">
        <v>117</v>
      </c>
      <c r="L1610" t="s">
        <v>117</v>
      </c>
      <c r="M1610" t="s">
        <v>2817</v>
      </c>
      <c r="N1610" t="s">
        <v>2862</v>
      </c>
      <c r="O1610">
        <v>464</v>
      </c>
      <c r="P1610">
        <v>1090</v>
      </c>
    </row>
    <row r="1611" spans="1:16" x14ac:dyDescent="0.3">
      <c r="A1611" t="s">
        <v>1993</v>
      </c>
      <c r="B1611" s="45">
        <v>45383</v>
      </c>
      <c r="C1611" t="s">
        <v>580</v>
      </c>
      <c r="D1611" t="s">
        <v>110</v>
      </c>
      <c r="E1611" t="s">
        <v>158</v>
      </c>
      <c r="F1611">
        <v>3</v>
      </c>
      <c r="G1611">
        <v>370</v>
      </c>
      <c r="H1611">
        <v>13.7</v>
      </c>
      <c r="I1611">
        <v>957.93</v>
      </c>
      <c r="J1611" t="s">
        <v>87</v>
      </c>
      <c r="K1611" t="s">
        <v>88</v>
      </c>
      <c r="L1611" t="s">
        <v>88</v>
      </c>
      <c r="M1611" t="s">
        <v>2817</v>
      </c>
      <c r="N1611" t="s">
        <v>2855</v>
      </c>
      <c r="O1611">
        <v>288</v>
      </c>
      <c r="P1611">
        <v>370</v>
      </c>
    </row>
    <row r="1612" spans="1:16" x14ac:dyDescent="0.3">
      <c r="A1612" t="s">
        <v>2001</v>
      </c>
      <c r="B1612" s="45">
        <v>45456</v>
      </c>
      <c r="C1612" t="s">
        <v>178</v>
      </c>
      <c r="D1612" t="s">
        <v>164</v>
      </c>
      <c r="E1612" t="s">
        <v>297</v>
      </c>
      <c r="F1612">
        <v>10</v>
      </c>
      <c r="G1612">
        <v>1080</v>
      </c>
      <c r="H1612">
        <v>27.4</v>
      </c>
      <c r="I1612">
        <v>7840.8</v>
      </c>
      <c r="J1612" t="s">
        <v>87</v>
      </c>
      <c r="K1612" t="s">
        <v>94</v>
      </c>
      <c r="L1612" t="s">
        <v>94</v>
      </c>
      <c r="M1612" t="s">
        <v>2817</v>
      </c>
      <c r="N1612" t="s">
        <v>2871</v>
      </c>
      <c r="O1612">
        <v>519</v>
      </c>
      <c r="P1612">
        <v>1080</v>
      </c>
    </row>
    <row r="1613" spans="1:16" x14ac:dyDescent="0.3">
      <c r="A1613" t="s">
        <v>2005</v>
      </c>
      <c r="B1613" s="45">
        <v>45569</v>
      </c>
      <c r="C1613" t="s">
        <v>256</v>
      </c>
      <c r="D1613" t="s">
        <v>443</v>
      </c>
      <c r="E1613" t="s">
        <v>92</v>
      </c>
      <c r="F1613">
        <v>2</v>
      </c>
      <c r="G1613">
        <v>5080</v>
      </c>
      <c r="H1613">
        <v>11.1</v>
      </c>
      <c r="I1613">
        <v>9032.24</v>
      </c>
      <c r="J1613" t="s">
        <v>87</v>
      </c>
      <c r="K1613" t="s">
        <v>133</v>
      </c>
      <c r="L1613" t="s">
        <v>133</v>
      </c>
      <c r="M1613" t="s">
        <v>2817</v>
      </c>
      <c r="N1613" t="s">
        <v>2855</v>
      </c>
      <c r="O1613">
        <v>2459</v>
      </c>
      <c r="P1613">
        <v>5080</v>
      </c>
    </row>
    <row r="1614" spans="1:16" x14ac:dyDescent="0.3">
      <c r="A1614" t="s">
        <v>2010</v>
      </c>
      <c r="B1614" s="45">
        <v>45550</v>
      </c>
      <c r="C1614" t="s">
        <v>413</v>
      </c>
      <c r="D1614" t="s">
        <v>164</v>
      </c>
      <c r="E1614" t="s">
        <v>139</v>
      </c>
      <c r="F1614">
        <v>2</v>
      </c>
      <c r="G1614">
        <v>1080</v>
      </c>
      <c r="H1614">
        <v>8.5</v>
      </c>
      <c r="I1614">
        <v>1976.4</v>
      </c>
      <c r="J1614" t="s">
        <v>87</v>
      </c>
      <c r="K1614" t="s">
        <v>88</v>
      </c>
      <c r="L1614" t="s">
        <v>88</v>
      </c>
      <c r="M1614" t="s">
        <v>2817</v>
      </c>
      <c r="N1614" t="s">
        <v>2862</v>
      </c>
      <c r="O1614">
        <v>519</v>
      </c>
      <c r="P1614">
        <v>1080</v>
      </c>
    </row>
    <row r="1615" spans="1:16" x14ac:dyDescent="0.3">
      <c r="A1615" t="s">
        <v>2023</v>
      </c>
      <c r="B1615" s="45">
        <v>45529</v>
      </c>
      <c r="C1615" t="s">
        <v>342</v>
      </c>
      <c r="D1615" t="s">
        <v>295</v>
      </c>
      <c r="E1615" t="s">
        <v>111</v>
      </c>
      <c r="F1615">
        <v>5</v>
      </c>
      <c r="G1615">
        <v>2030</v>
      </c>
      <c r="H1615">
        <v>23.8</v>
      </c>
      <c r="I1615">
        <v>7734.3</v>
      </c>
      <c r="J1615" t="s">
        <v>140</v>
      </c>
      <c r="K1615" t="s">
        <v>94</v>
      </c>
      <c r="L1615" t="s">
        <v>94</v>
      </c>
      <c r="M1615" t="s">
        <v>2817</v>
      </c>
      <c r="N1615" t="s">
        <v>2871</v>
      </c>
      <c r="O1615">
        <v>1143</v>
      </c>
      <c r="P1615">
        <v>2030</v>
      </c>
    </row>
    <row r="1616" spans="1:16" x14ac:dyDescent="0.3">
      <c r="A1616" t="s">
        <v>2033</v>
      </c>
      <c r="B1616" s="45">
        <v>45465</v>
      </c>
      <c r="C1616" t="s">
        <v>474</v>
      </c>
      <c r="D1616" t="s">
        <v>295</v>
      </c>
      <c r="E1616" t="s">
        <v>273</v>
      </c>
      <c r="F1616">
        <v>9</v>
      </c>
      <c r="G1616">
        <v>2030</v>
      </c>
      <c r="H1616">
        <v>24.8</v>
      </c>
      <c r="I1616">
        <v>13739.04</v>
      </c>
      <c r="J1616" t="s">
        <v>87</v>
      </c>
      <c r="K1616" t="s">
        <v>99</v>
      </c>
      <c r="L1616" t="s">
        <v>99</v>
      </c>
      <c r="M1616" t="s">
        <v>2817</v>
      </c>
      <c r="N1616" t="s">
        <v>2871</v>
      </c>
      <c r="O1616">
        <v>1143</v>
      </c>
      <c r="P1616">
        <v>2030</v>
      </c>
    </row>
    <row r="1617" spans="1:16" x14ac:dyDescent="0.3">
      <c r="A1617" t="s">
        <v>2040</v>
      </c>
      <c r="B1617" s="45">
        <v>45489</v>
      </c>
      <c r="C1617" t="s">
        <v>725</v>
      </c>
      <c r="D1617" t="s">
        <v>270</v>
      </c>
      <c r="E1617" t="s">
        <v>111</v>
      </c>
      <c r="F1617">
        <v>9</v>
      </c>
      <c r="G1617">
        <v>4610</v>
      </c>
      <c r="H1617">
        <v>21.3</v>
      </c>
      <c r="I1617">
        <v>32652.63</v>
      </c>
      <c r="J1617" t="s">
        <v>87</v>
      </c>
      <c r="K1617" t="s">
        <v>99</v>
      </c>
      <c r="L1617" t="s">
        <v>99</v>
      </c>
      <c r="M1617" t="s">
        <v>2817</v>
      </c>
      <c r="N1617" t="s">
        <v>2862</v>
      </c>
      <c r="O1617">
        <v>1850</v>
      </c>
      <c r="P1617">
        <v>4610</v>
      </c>
    </row>
    <row r="1618" spans="1:16" x14ac:dyDescent="0.3">
      <c r="A1618" t="s">
        <v>2051</v>
      </c>
      <c r="B1618" s="45">
        <v>45440</v>
      </c>
      <c r="C1618" t="s">
        <v>217</v>
      </c>
      <c r="D1618" t="s">
        <v>124</v>
      </c>
      <c r="E1618" t="s">
        <v>98</v>
      </c>
      <c r="F1618">
        <v>6</v>
      </c>
      <c r="G1618">
        <v>5490</v>
      </c>
      <c r="H1618">
        <v>8</v>
      </c>
      <c r="I1618">
        <v>30304.799999999999</v>
      </c>
      <c r="J1618" t="s">
        <v>87</v>
      </c>
      <c r="K1618" t="s">
        <v>94</v>
      </c>
      <c r="L1618" t="s">
        <v>94</v>
      </c>
      <c r="M1618" t="s">
        <v>2817</v>
      </c>
      <c r="N1618" t="s">
        <v>2879</v>
      </c>
      <c r="O1618">
        <v>2549</v>
      </c>
      <c r="P1618">
        <v>5490</v>
      </c>
    </row>
    <row r="1619" spans="1:16" x14ac:dyDescent="0.3">
      <c r="A1619" t="s">
        <v>2056</v>
      </c>
      <c r="B1619" s="45">
        <v>45349</v>
      </c>
      <c r="C1619" t="s">
        <v>868</v>
      </c>
      <c r="D1619" t="s">
        <v>110</v>
      </c>
      <c r="E1619" t="s">
        <v>111</v>
      </c>
      <c r="F1619">
        <v>6</v>
      </c>
      <c r="G1619">
        <v>370</v>
      </c>
      <c r="H1619">
        <v>7</v>
      </c>
      <c r="I1619">
        <v>2064.6</v>
      </c>
      <c r="J1619" t="s">
        <v>87</v>
      </c>
      <c r="K1619" t="s">
        <v>99</v>
      </c>
      <c r="L1619" t="s">
        <v>99</v>
      </c>
      <c r="M1619" t="s">
        <v>2817</v>
      </c>
      <c r="N1619" t="s">
        <v>2855</v>
      </c>
      <c r="O1619">
        <v>288</v>
      </c>
      <c r="P1619">
        <v>370</v>
      </c>
    </row>
    <row r="1620" spans="1:16" x14ac:dyDescent="0.3">
      <c r="A1620" t="s">
        <v>2060</v>
      </c>
      <c r="B1620" s="45">
        <v>45312</v>
      </c>
      <c r="C1620" t="s">
        <v>655</v>
      </c>
      <c r="D1620" t="s">
        <v>110</v>
      </c>
      <c r="E1620" t="s">
        <v>192</v>
      </c>
      <c r="F1620">
        <v>8</v>
      </c>
      <c r="G1620">
        <v>370</v>
      </c>
      <c r="H1620">
        <v>1.3</v>
      </c>
      <c r="I1620">
        <v>2921.52</v>
      </c>
      <c r="J1620" t="s">
        <v>87</v>
      </c>
      <c r="K1620" t="s">
        <v>133</v>
      </c>
      <c r="L1620" t="s">
        <v>133</v>
      </c>
      <c r="M1620" t="s">
        <v>2817</v>
      </c>
      <c r="N1620" t="s">
        <v>2871</v>
      </c>
      <c r="O1620">
        <v>288</v>
      </c>
      <c r="P1620">
        <v>370</v>
      </c>
    </row>
    <row r="1621" spans="1:16" x14ac:dyDescent="0.3">
      <c r="A1621" t="s">
        <v>2069</v>
      </c>
      <c r="B1621" s="45">
        <v>45316</v>
      </c>
      <c r="C1621" t="s">
        <v>553</v>
      </c>
      <c r="D1621" t="s">
        <v>443</v>
      </c>
      <c r="E1621" t="s">
        <v>346</v>
      </c>
      <c r="F1621">
        <v>5</v>
      </c>
      <c r="G1621">
        <v>5080</v>
      </c>
      <c r="H1621">
        <v>1.3</v>
      </c>
      <c r="I1621">
        <v>25069.8</v>
      </c>
      <c r="J1621" t="s">
        <v>87</v>
      </c>
      <c r="K1621" t="s">
        <v>112</v>
      </c>
      <c r="L1621" t="s">
        <v>112</v>
      </c>
      <c r="M1621" t="s">
        <v>2817</v>
      </c>
      <c r="N1621" t="s">
        <v>2879</v>
      </c>
      <c r="O1621">
        <v>2459</v>
      </c>
      <c r="P1621">
        <v>5080</v>
      </c>
    </row>
    <row r="1622" spans="1:16" x14ac:dyDescent="0.3">
      <c r="A1622" t="s">
        <v>2075</v>
      </c>
      <c r="B1622" s="45">
        <v>45345</v>
      </c>
      <c r="C1622" t="s">
        <v>795</v>
      </c>
      <c r="D1622" t="s">
        <v>124</v>
      </c>
      <c r="E1622" t="s">
        <v>132</v>
      </c>
      <c r="F1622">
        <v>4</v>
      </c>
      <c r="G1622">
        <v>5490</v>
      </c>
      <c r="H1622">
        <v>8</v>
      </c>
      <c r="I1622">
        <v>20203.2</v>
      </c>
      <c r="J1622" t="s">
        <v>87</v>
      </c>
      <c r="K1622" t="s">
        <v>94</v>
      </c>
      <c r="L1622" t="s">
        <v>94</v>
      </c>
      <c r="M1622" t="s">
        <v>2817</v>
      </c>
      <c r="N1622" t="s">
        <v>2871</v>
      </c>
      <c r="O1622">
        <v>2549</v>
      </c>
      <c r="P1622">
        <v>5490</v>
      </c>
    </row>
    <row r="1623" spans="1:16" x14ac:dyDescent="0.3">
      <c r="A1623" t="s">
        <v>2086</v>
      </c>
      <c r="B1623" s="45">
        <v>45294</v>
      </c>
      <c r="C1623" t="s">
        <v>194</v>
      </c>
      <c r="D1623" t="s">
        <v>226</v>
      </c>
      <c r="E1623" t="s">
        <v>325</v>
      </c>
      <c r="F1623">
        <v>4</v>
      </c>
      <c r="G1623">
        <v>3730</v>
      </c>
      <c r="H1623">
        <v>6.9</v>
      </c>
      <c r="I1623">
        <v>13890.52</v>
      </c>
      <c r="J1623" t="s">
        <v>87</v>
      </c>
      <c r="K1623" t="s">
        <v>88</v>
      </c>
      <c r="L1623" t="s">
        <v>88</v>
      </c>
      <c r="M1623" t="s">
        <v>2817</v>
      </c>
      <c r="N1623" t="s">
        <v>2879</v>
      </c>
      <c r="O1623">
        <v>2135</v>
      </c>
      <c r="P1623">
        <v>3730</v>
      </c>
    </row>
    <row r="1624" spans="1:16" x14ac:dyDescent="0.3">
      <c r="A1624" t="s">
        <v>2089</v>
      </c>
      <c r="B1624" s="45">
        <v>45462</v>
      </c>
      <c r="C1624" t="s">
        <v>606</v>
      </c>
      <c r="D1624" t="s">
        <v>502</v>
      </c>
      <c r="E1624" t="s">
        <v>285</v>
      </c>
      <c r="F1624">
        <v>3</v>
      </c>
      <c r="G1624">
        <v>1090</v>
      </c>
      <c r="H1624">
        <v>23.7</v>
      </c>
      <c r="I1624">
        <v>2495.0100000000002</v>
      </c>
      <c r="J1624" t="s">
        <v>87</v>
      </c>
      <c r="K1624" t="s">
        <v>112</v>
      </c>
      <c r="L1624" t="s">
        <v>112</v>
      </c>
      <c r="M1624" t="s">
        <v>2817</v>
      </c>
      <c r="N1624" t="s">
        <v>2862</v>
      </c>
      <c r="O1624">
        <v>464</v>
      </c>
      <c r="P1624">
        <v>1090</v>
      </c>
    </row>
    <row r="1625" spans="1:16" x14ac:dyDescent="0.3">
      <c r="A1625" t="s">
        <v>2090</v>
      </c>
      <c r="B1625" s="45">
        <v>45300</v>
      </c>
      <c r="C1625" t="s">
        <v>479</v>
      </c>
      <c r="D1625" t="s">
        <v>295</v>
      </c>
      <c r="E1625" t="s">
        <v>154</v>
      </c>
      <c r="F1625">
        <v>3</v>
      </c>
      <c r="G1625">
        <v>2030</v>
      </c>
      <c r="H1625">
        <v>18.8</v>
      </c>
      <c r="I1625">
        <v>4945.08</v>
      </c>
      <c r="J1625" t="s">
        <v>87</v>
      </c>
      <c r="K1625" t="s">
        <v>88</v>
      </c>
      <c r="L1625" t="s">
        <v>88</v>
      </c>
      <c r="M1625" t="s">
        <v>2817</v>
      </c>
      <c r="N1625" t="s">
        <v>2855</v>
      </c>
      <c r="O1625">
        <v>1143</v>
      </c>
      <c r="P1625">
        <v>2030</v>
      </c>
    </row>
    <row r="1626" spans="1:16" x14ac:dyDescent="0.3">
      <c r="A1626" t="s">
        <v>2102</v>
      </c>
      <c r="B1626" s="45">
        <v>45606</v>
      </c>
      <c r="C1626" t="s">
        <v>1000</v>
      </c>
      <c r="D1626" t="s">
        <v>143</v>
      </c>
      <c r="E1626" t="s">
        <v>132</v>
      </c>
      <c r="F1626">
        <v>8</v>
      </c>
      <c r="G1626">
        <v>3250</v>
      </c>
      <c r="H1626">
        <v>1.9</v>
      </c>
      <c r="I1626">
        <v>25506</v>
      </c>
      <c r="J1626" t="s">
        <v>87</v>
      </c>
      <c r="K1626" t="s">
        <v>117</v>
      </c>
      <c r="L1626" t="s">
        <v>117</v>
      </c>
      <c r="M1626" t="s">
        <v>2817</v>
      </c>
      <c r="N1626" t="s">
        <v>2855</v>
      </c>
      <c r="O1626">
        <v>1556</v>
      </c>
      <c r="P1626">
        <v>3250</v>
      </c>
    </row>
    <row r="1627" spans="1:16" x14ac:dyDescent="0.3">
      <c r="A1627" t="s">
        <v>2113</v>
      </c>
      <c r="B1627" s="45">
        <v>45534</v>
      </c>
      <c r="C1627" t="s">
        <v>686</v>
      </c>
      <c r="D1627" t="s">
        <v>164</v>
      </c>
      <c r="E1627" t="s">
        <v>285</v>
      </c>
      <c r="F1627">
        <v>7</v>
      </c>
      <c r="G1627">
        <v>1080</v>
      </c>
      <c r="H1627">
        <v>17.899999999999999</v>
      </c>
      <c r="I1627">
        <v>6206.76</v>
      </c>
      <c r="J1627" t="s">
        <v>87</v>
      </c>
      <c r="K1627" t="s">
        <v>112</v>
      </c>
      <c r="L1627" t="s">
        <v>112</v>
      </c>
      <c r="M1627" t="s">
        <v>2817</v>
      </c>
      <c r="N1627" t="s">
        <v>2855</v>
      </c>
      <c r="O1627">
        <v>519</v>
      </c>
      <c r="P1627">
        <v>1080</v>
      </c>
    </row>
    <row r="1628" spans="1:16" x14ac:dyDescent="0.3">
      <c r="A1628" t="s">
        <v>2115</v>
      </c>
      <c r="B1628" s="45">
        <v>45648</v>
      </c>
      <c r="C1628" t="s">
        <v>305</v>
      </c>
      <c r="D1628" t="s">
        <v>203</v>
      </c>
      <c r="E1628" t="s">
        <v>170</v>
      </c>
      <c r="F1628">
        <v>10</v>
      </c>
      <c r="G1628">
        <v>660</v>
      </c>
      <c r="H1628">
        <v>7.5</v>
      </c>
      <c r="I1628">
        <v>6105</v>
      </c>
      <c r="J1628" t="s">
        <v>87</v>
      </c>
      <c r="K1628" t="s">
        <v>133</v>
      </c>
      <c r="L1628" t="s">
        <v>133</v>
      </c>
      <c r="M1628" t="s">
        <v>2817</v>
      </c>
      <c r="N1628" t="s">
        <v>2871</v>
      </c>
      <c r="O1628">
        <v>329</v>
      </c>
      <c r="P1628">
        <v>660</v>
      </c>
    </row>
    <row r="1629" spans="1:16" x14ac:dyDescent="0.3">
      <c r="A1629" t="s">
        <v>2116</v>
      </c>
      <c r="B1629" s="45">
        <v>45557</v>
      </c>
      <c r="C1629" t="s">
        <v>948</v>
      </c>
      <c r="D1629" t="s">
        <v>164</v>
      </c>
      <c r="E1629" t="s">
        <v>192</v>
      </c>
      <c r="F1629">
        <v>6</v>
      </c>
      <c r="G1629">
        <v>1080</v>
      </c>
      <c r="H1629">
        <v>28.9</v>
      </c>
      <c r="I1629">
        <v>4607.28</v>
      </c>
      <c r="J1629" t="s">
        <v>87</v>
      </c>
      <c r="K1629" t="s">
        <v>88</v>
      </c>
      <c r="L1629" t="s">
        <v>88</v>
      </c>
      <c r="M1629" t="s">
        <v>2817</v>
      </c>
      <c r="N1629" t="s">
        <v>2855</v>
      </c>
      <c r="O1629">
        <v>519</v>
      </c>
      <c r="P1629">
        <v>1080</v>
      </c>
    </row>
    <row r="1630" spans="1:16" x14ac:dyDescent="0.3">
      <c r="A1630" t="s">
        <v>2118</v>
      </c>
      <c r="B1630" s="45">
        <v>45475</v>
      </c>
      <c r="C1630" t="s">
        <v>781</v>
      </c>
      <c r="D1630" t="s">
        <v>110</v>
      </c>
      <c r="E1630" t="s">
        <v>128</v>
      </c>
      <c r="F1630">
        <v>3</v>
      </c>
      <c r="G1630">
        <v>370</v>
      </c>
      <c r="H1630">
        <v>9.6</v>
      </c>
      <c r="I1630">
        <v>1003.44</v>
      </c>
      <c r="J1630" t="s">
        <v>144</v>
      </c>
      <c r="K1630" t="s">
        <v>99</v>
      </c>
      <c r="L1630" t="s">
        <v>99</v>
      </c>
      <c r="M1630" t="s">
        <v>2817</v>
      </c>
      <c r="N1630" t="s">
        <v>2862</v>
      </c>
      <c r="O1630">
        <v>288</v>
      </c>
      <c r="P1630">
        <v>370</v>
      </c>
    </row>
    <row r="1631" spans="1:16" x14ac:dyDescent="0.3">
      <c r="A1631" t="s">
        <v>2126</v>
      </c>
      <c r="B1631" s="45">
        <v>45347</v>
      </c>
      <c r="C1631" t="s">
        <v>900</v>
      </c>
      <c r="D1631" t="s">
        <v>502</v>
      </c>
      <c r="E1631" t="s">
        <v>252</v>
      </c>
      <c r="F1631">
        <v>3</v>
      </c>
      <c r="G1631">
        <v>1090</v>
      </c>
      <c r="H1631">
        <v>9.1</v>
      </c>
      <c r="I1631">
        <v>2972.43</v>
      </c>
      <c r="J1631" t="s">
        <v>87</v>
      </c>
      <c r="K1631" t="s">
        <v>117</v>
      </c>
      <c r="L1631" t="s">
        <v>117</v>
      </c>
      <c r="M1631" t="s">
        <v>2817</v>
      </c>
      <c r="N1631" t="s">
        <v>2871</v>
      </c>
      <c r="O1631">
        <v>464</v>
      </c>
      <c r="P1631">
        <v>1090</v>
      </c>
    </row>
    <row r="1632" spans="1:16" x14ac:dyDescent="0.3">
      <c r="A1632" t="s">
        <v>2130</v>
      </c>
      <c r="B1632" s="45">
        <v>45420</v>
      </c>
      <c r="C1632" t="s">
        <v>638</v>
      </c>
      <c r="D1632" t="s">
        <v>226</v>
      </c>
      <c r="E1632" t="s">
        <v>107</v>
      </c>
      <c r="F1632">
        <v>3</v>
      </c>
      <c r="G1632">
        <v>3730</v>
      </c>
      <c r="H1632">
        <v>15.8</v>
      </c>
      <c r="I1632">
        <v>9421.98</v>
      </c>
      <c r="J1632" t="s">
        <v>87</v>
      </c>
      <c r="K1632" t="s">
        <v>99</v>
      </c>
      <c r="L1632" t="s">
        <v>99</v>
      </c>
      <c r="M1632" t="s">
        <v>2817</v>
      </c>
      <c r="N1632" t="s">
        <v>2871</v>
      </c>
      <c r="O1632">
        <v>2135</v>
      </c>
      <c r="P1632">
        <v>3730</v>
      </c>
    </row>
    <row r="1633" spans="1:16" x14ac:dyDescent="0.3">
      <c r="A1633" t="s">
        <v>2133</v>
      </c>
      <c r="B1633" s="45">
        <v>45378</v>
      </c>
      <c r="C1633" t="s">
        <v>150</v>
      </c>
      <c r="D1633" t="s">
        <v>295</v>
      </c>
      <c r="E1633" t="s">
        <v>148</v>
      </c>
      <c r="F1633">
        <v>3</v>
      </c>
      <c r="G1633">
        <v>2030</v>
      </c>
      <c r="H1633">
        <v>13.3</v>
      </c>
      <c r="I1633">
        <v>5280.03</v>
      </c>
      <c r="J1633" t="s">
        <v>140</v>
      </c>
      <c r="K1633" t="s">
        <v>88</v>
      </c>
      <c r="L1633" t="s">
        <v>88</v>
      </c>
      <c r="M1633" t="s">
        <v>2817</v>
      </c>
      <c r="N1633" t="s">
        <v>2879</v>
      </c>
      <c r="O1633">
        <v>1143</v>
      </c>
      <c r="P1633">
        <v>2030</v>
      </c>
    </row>
    <row r="1634" spans="1:16" x14ac:dyDescent="0.3">
      <c r="A1634" t="s">
        <v>2146</v>
      </c>
      <c r="B1634" s="45">
        <v>45462</v>
      </c>
      <c r="C1634" t="s">
        <v>318</v>
      </c>
      <c r="D1634" t="s">
        <v>226</v>
      </c>
      <c r="E1634" t="s">
        <v>107</v>
      </c>
      <c r="F1634">
        <v>6</v>
      </c>
      <c r="G1634">
        <v>3730</v>
      </c>
      <c r="H1634">
        <v>13.3</v>
      </c>
      <c r="I1634">
        <v>19403.46</v>
      </c>
      <c r="J1634" t="s">
        <v>140</v>
      </c>
      <c r="K1634" t="s">
        <v>94</v>
      </c>
      <c r="L1634" t="s">
        <v>94</v>
      </c>
      <c r="M1634" t="s">
        <v>2817</v>
      </c>
      <c r="N1634" t="s">
        <v>2855</v>
      </c>
      <c r="O1634">
        <v>2135</v>
      </c>
      <c r="P1634">
        <v>3730</v>
      </c>
    </row>
    <row r="1635" spans="1:16" x14ac:dyDescent="0.3">
      <c r="A1635" t="s">
        <v>2162</v>
      </c>
      <c r="B1635" s="45">
        <v>45386</v>
      </c>
      <c r="C1635" t="s">
        <v>150</v>
      </c>
      <c r="D1635" t="s">
        <v>110</v>
      </c>
      <c r="E1635" t="s">
        <v>103</v>
      </c>
      <c r="F1635">
        <v>5</v>
      </c>
      <c r="G1635">
        <v>370</v>
      </c>
      <c r="H1635">
        <v>6</v>
      </c>
      <c r="I1635">
        <v>1739</v>
      </c>
      <c r="J1635" t="s">
        <v>87</v>
      </c>
      <c r="K1635" t="s">
        <v>88</v>
      </c>
      <c r="L1635" t="s">
        <v>88</v>
      </c>
      <c r="M1635" t="s">
        <v>2817</v>
      </c>
      <c r="N1635" t="s">
        <v>2879</v>
      </c>
      <c r="O1635">
        <v>288</v>
      </c>
      <c r="P1635">
        <v>370</v>
      </c>
    </row>
    <row r="1636" spans="1:16" x14ac:dyDescent="0.3">
      <c r="A1636" t="s">
        <v>2164</v>
      </c>
      <c r="B1636" s="45">
        <v>45414</v>
      </c>
      <c r="C1636" t="s">
        <v>837</v>
      </c>
      <c r="D1636" t="s">
        <v>203</v>
      </c>
      <c r="E1636" t="s">
        <v>273</v>
      </c>
      <c r="F1636">
        <v>5</v>
      </c>
      <c r="G1636">
        <v>660</v>
      </c>
      <c r="H1636">
        <v>21</v>
      </c>
      <c r="I1636">
        <v>2607</v>
      </c>
      <c r="J1636" t="s">
        <v>87</v>
      </c>
      <c r="K1636" t="s">
        <v>117</v>
      </c>
      <c r="L1636" t="s">
        <v>117</v>
      </c>
      <c r="M1636" t="s">
        <v>2817</v>
      </c>
      <c r="N1636" t="s">
        <v>2862</v>
      </c>
      <c r="O1636">
        <v>329</v>
      </c>
      <c r="P1636">
        <v>660</v>
      </c>
    </row>
    <row r="1637" spans="1:16" x14ac:dyDescent="0.3">
      <c r="A1637" t="s">
        <v>2173</v>
      </c>
      <c r="B1637" s="45">
        <v>45419</v>
      </c>
      <c r="C1637" t="s">
        <v>281</v>
      </c>
      <c r="D1637" t="s">
        <v>226</v>
      </c>
      <c r="E1637" t="s">
        <v>148</v>
      </c>
      <c r="F1637">
        <v>2</v>
      </c>
      <c r="G1637">
        <v>3730</v>
      </c>
      <c r="H1637">
        <v>22.9</v>
      </c>
      <c r="I1637">
        <v>5751.66</v>
      </c>
      <c r="J1637" t="s">
        <v>87</v>
      </c>
      <c r="K1637" t="s">
        <v>88</v>
      </c>
      <c r="L1637" t="s">
        <v>88</v>
      </c>
      <c r="M1637" t="s">
        <v>2817</v>
      </c>
      <c r="N1637" t="s">
        <v>2871</v>
      </c>
      <c r="O1637">
        <v>2135</v>
      </c>
      <c r="P1637">
        <v>3730</v>
      </c>
    </row>
    <row r="1638" spans="1:16" x14ac:dyDescent="0.3">
      <c r="A1638" t="s">
        <v>2174</v>
      </c>
      <c r="B1638" s="45">
        <v>45549</v>
      </c>
      <c r="C1638" t="s">
        <v>373</v>
      </c>
      <c r="D1638" t="s">
        <v>143</v>
      </c>
      <c r="E1638" t="s">
        <v>297</v>
      </c>
      <c r="F1638">
        <v>7</v>
      </c>
      <c r="G1638">
        <v>3250</v>
      </c>
      <c r="H1638">
        <v>6</v>
      </c>
      <c r="I1638">
        <v>21385</v>
      </c>
      <c r="J1638" t="s">
        <v>87</v>
      </c>
      <c r="K1638" t="s">
        <v>88</v>
      </c>
      <c r="L1638" t="s">
        <v>88</v>
      </c>
      <c r="M1638" t="s">
        <v>2817</v>
      </c>
      <c r="N1638" t="s">
        <v>2855</v>
      </c>
      <c r="O1638">
        <v>1556</v>
      </c>
      <c r="P1638">
        <v>3250</v>
      </c>
    </row>
    <row r="1639" spans="1:16" x14ac:dyDescent="0.3">
      <c r="A1639" t="s">
        <v>2181</v>
      </c>
      <c r="B1639" s="45">
        <v>45588</v>
      </c>
      <c r="C1639" t="s">
        <v>559</v>
      </c>
      <c r="D1639" t="s">
        <v>164</v>
      </c>
      <c r="E1639" t="s">
        <v>111</v>
      </c>
      <c r="F1639">
        <v>3</v>
      </c>
      <c r="G1639">
        <v>1080</v>
      </c>
      <c r="H1639">
        <v>26</v>
      </c>
      <c r="I1639">
        <v>2397.6</v>
      </c>
      <c r="J1639" t="s">
        <v>87</v>
      </c>
      <c r="K1639" t="s">
        <v>88</v>
      </c>
      <c r="L1639" t="s">
        <v>88</v>
      </c>
      <c r="M1639" t="s">
        <v>2817</v>
      </c>
      <c r="N1639" t="s">
        <v>2871</v>
      </c>
      <c r="O1639">
        <v>519</v>
      </c>
      <c r="P1639">
        <v>1080</v>
      </c>
    </row>
    <row r="1640" spans="1:16" x14ac:dyDescent="0.3">
      <c r="A1640" t="s">
        <v>2194</v>
      </c>
      <c r="B1640" s="45">
        <v>45595</v>
      </c>
      <c r="C1640" t="s">
        <v>181</v>
      </c>
      <c r="D1640" t="s">
        <v>502</v>
      </c>
      <c r="E1640" t="s">
        <v>121</v>
      </c>
      <c r="F1640">
        <v>1</v>
      </c>
      <c r="G1640">
        <v>1090</v>
      </c>
      <c r="H1640">
        <v>23.5</v>
      </c>
      <c r="I1640">
        <v>833.85</v>
      </c>
      <c r="J1640" t="s">
        <v>87</v>
      </c>
      <c r="K1640" t="s">
        <v>99</v>
      </c>
      <c r="L1640" t="s">
        <v>99</v>
      </c>
      <c r="M1640" t="s">
        <v>2817</v>
      </c>
      <c r="N1640" t="s">
        <v>2862</v>
      </c>
      <c r="O1640">
        <v>464</v>
      </c>
      <c r="P1640">
        <v>1090</v>
      </c>
    </row>
    <row r="1641" spans="1:16" x14ac:dyDescent="0.3">
      <c r="A1641" t="s">
        <v>2201</v>
      </c>
      <c r="B1641" s="45">
        <v>45566</v>
      </c>
      <c r="C1641" t="s">
        <v>1172</v>
      </c>
      <c r="D1641" t="s">
        <v>143</v>
      </c>
      <c r="E1641" t="s">
        <v>121</v>
      </c>
      <c r="F1641">
        <v>9</v>
      </c>
      <c r="G1641">
        <v>3250</v>
      </c>
      <c r="H1641">
        <v>25.9</v>
      </c>
      <c r="I1641">
        <v>21674.25</v>
      </c>
      <c r="J1641" t="s">
        <v>87</v>
      </c>
      <c r="K1641" t="s">
        <v>88</v>
      </c>
      <c r="L1641" t="s">
        <v>88</v>
      </c>
      <c r="M1641" t="s">
        <v>2817</v>
      </c>
      <c r="N1641" t="s">
        <v>2855</v>
      </c>
      <c r="O1641">
        <v>1556</v>
      </c>
      <c r="P1641">
        <v>3250</v>
      </c>
    </row>
    <row r="1642" spans="1:16" x14ac:dyDescent="0.3">
      <c r="A1642" t="s">
        <v>2226</v>
      </c>
      <c r="B1642" s="45">
        <v>45576</v>
      </c>
      <c r="C1642" t="s">
        <v>447</v>
      </c>
      <c r="D1642" t="s">
        <v>270</v>
      </c>
      <c r="E1642" t="s">
        <v>325</v>
      </c>
      <c r="F1642">
        <v>8</v>
      </c>
      <c r="G1642">
        <v>4610</v>
      </c>
      <c r="H1642">
        <v>24.5</v>
      </c>
      <c r="I1642">
        <v>27844.400000000001</v>
      </c>
      <c r="J1642" t="s">
        <v>87</v>
      </c>
      <c r="K1642" t="s">
        <v>112</v>
      </c>
      <c r="L1642" t="s">
        <v>112</v>
      </c>
      <c r="M1642" t="s">
        <v>2817</v>
      </c>
      <c r="N1642" t="s">
        <v>2862</v>
      </c>
      <c r="O1642">
        <v>1850</v>
      </c>
      <c r="P1642">
        <v>4610</v>
      </c>
    </row>
    <row r="1643" spans="1:16" x14ac:dyDescent="0.3">
      <c r="A1643" t="s">
        <v>2228</v>
      </c>
      <c r="B1643" s="45">
        <v>45617</v>
      </c>
      <c r="C1643" t="s">
        <v>244</v>
      </c>
      <c r="D1643" t="s">
        <v>295</v>
      </c>
      <c r="E1643" t="s">
        <v>201</v>
      </c>
      <c r="F1643">
        <v>5</v>
      </c>
      <c r="G1643">
        <v>2030</v>
      </c>
      <c r="H1643">
        <v>0.9</v>
      </c>
      <c r="I1643">
        <v>10058.65</v>
      </c>
      <c r="J1643" t="s">
        <v>140</v>
      </c>
      <c r="K1643" t="s">
        <v>94</v>
      </c>
      <c r="L1643" t="s">
        <v>94</v>
      </c>
      <c r="M1643" t="s">
        <v>2817</v>
      </c>
      <c r="N1643" t="s">
        <v>2862</v>
      </c>
      <c r="O1643">
        <v>1143</v>
      </c>
      <c r="P1643">
        <v>2030</v>
      </c>
    </row>
    <row r="1644" spans="1:16" x14ac:dyDescent="0.3">
      <c r="A1644" t="s">
        <v>2231</v>
      </c>
      <c r="B1644" s="45">
        <v>45514</v>
      </c>
      <c r="C1644" t="s">
        <v>418</v>
      </c>
      <c r="D1644" t="s">
        <v>226</v>
      </c>
      <c r="E1644" t="s">
        <v>192</v>
      </c>
      <c r="F1644">
        <v>7</v>
      </c>
      <c r="G1644">
        <v>3730</v>
      </c>
      <c r="H1644">
        <v>4.5</v>
      </c>
      <c r="I1644">
        <v>24935.05</v>
      </c>
      <c r="J1644" t="s">
        <v>87</v>
      </c>
      <c r="K1644" t="s">
        <v>133</v>
      </c>
      <c r="L1644" t="s">
        <v>133</v>
      </c>
      <c r="M1644" t="s">
        <v>2817</v>
      </c>
      <c r="N1644" t="s">
        <v>2879</v>
      </c>
      <c r="O1644">
        <v>2135</v>
      </c>
      <c r="P1644">
        <v>3730</v>
      </c>
    </row>
    <row r="1645" spans="1:16" x14ac:dyDescent="0.3">
      <c r="A1645" t="s">
        <v>2240</v>
      </c>
      <c r="B1645" s="45">
        <v>45602</v>
      </c>
      <c r="C1645" t="s">
        <v>247</v>
      </c>
      <c r="D1645" t="s">
        <v>143</v>
      </c>
      <c r="E1645" t="s">
        <v>215</v>
      </c>
      <c r="F1645">
        <v>5</v>
      </c>
      <c r="G1645">
        <v>3250</v>
      </c>
      <c r="H1645">
        <v>19.899999999999999</v>
      </c>
      <c r="I1645">
        <v>13016.25</v>
      </c>
      <c r="J1645" t="s">
        <v>87</v>
      </c>
      <c r="K1645" t="s">
        <v>117</v>
      </c>
      <c r="L1645" t="s">
        <v>117</v>
      </c>
      <c r="M1645" t="s">
        <v>2817</v>
      </c>
      <c r="N1645" t="s">
        <v>2862</v>
      </c>
      <c r="O1645">
        <v>1556</v>
      </c>
      <c r="P1645">
        <v>3250</v>
      </c>
    </row>
    <row r="1646" spans="1:16" x14ac:dyDescent="0.3">
      <c r="A1646" t="s">
        <v>2241</v>
      </c>
      <c r="B1646" s="45">
        <v>45365</v>
      </c>
      <c r="C1646" t="s">
        <v>1890</v>
      </c>
      <c r="D1646" t="s">
        <v>295</v>
      </c>
      <c r="E1646" t="s">
        <v>107</v>
      </c>
      <c r="F1646">
        <v>7</v>
      </c>
      <c r="G1646">
        <v>2030</v>
      </c>
      <c r="H1646">
        <v>4.0999999999999996</v>
      </c>
      <c r="I1646">
        <v>13627.39</v>
      </c>
      <c r="J1646" t="s">
        <v>87</v>
      </c>
      <c r="K1646" t="s">
        <v>133</v>
      </c>
      <c r="L1646" t="s">
        <v>133</v>
      </c>
      <c r="M1646" t="s">
        <v>2817</v>
      </c>
      <c r="N1646" t="s">
        <v>2862</v>
      </c>
      <c r="O1646">
        <v>1143</v>
      </c>
      <c r="P1646">
        <v>2030</v>
      </c>
    </row>
    <row r="1647" spans="1:16" x14ac:dyDescent="0.3">
      <c r="A1647" t="s">
        <v>2249</v>
      </c>
      <c r="B1647" s="45">
        <v>45587</v>
      </c>
      <c r="C1647" t="s">
        <v>1261</v>
      </c>
      <c r="D1647" t="s">
        <v>164</v>
      </c>
      <c r="E1647" t="s">
        <v>98</v>
      </c>
      <c r="F1647">
        <v>7</v>
      </c>
      <c r="G1647">
        <v>1080</v>
      </c>
      <c r="H1647">
        <v>12.9</v>
      </c>
      <c r="I1647">
        <v>6584.76</v>
      </c>
      <c r="J1647" t="s">
        <v>87</v>
      </c>
      <c r="K1647" t="s">
        <v>117</v>
      </c>
      <c r="L1647" t="s">
        <v>117</v>
      </c>
      <c r="M1647" t="s">
        <v>2817</v>
      </c>
      <c r="N1647" t="s">
        <v>2871</v>
      </c>
      <c r="O1647">
        <v>519</v>
      </c>
      <c r="P1647">
        <v>1080</v>
      </c>
    </row>
    <row r="1648" spans="1:16" x14ac:dyDescent="0.3">
      <c r="A1648" t="s">
        <v>2266</v>
      </c>
      <c r="B1648" s="45">
        <v>45370</v>
      </c>
      <c r="C1648" t="s">
        <v>228</v>
      </c>
      <c r="D1648" t="s">
        <v>226</v>
      </c>
      <c r="E1648" t="s">
        <v>303</v>
      </c>
      <c r="F1648">
        <v>4</v>
      </c>
      <c r="G1648">
        <v>3730</v>
      </c>
      <c r="H1648">
        <v>24.8</v>
      </c>
      <c r="I1648">
        <v>11219.84</v>
      </c>
      <c r="J1648" t="s">
        <v>87</v>
      </c>
      <c r="K1648" t="s">
        <v>112</v>
      </c>
      <c r="L1648" t="s">
        <v>112</v>
      </c>
      <c r="M1648" t="s">
        <v>2817</v>
      </c>
      <c r="N1648" t="s">
        <v>2855</v>
      </c>
      <c r="O1648">
        <v>2135</v>
      </c>
      <c r="P1648">
        <v>3730</v>
      </c>
    </row>
    <row r="1649" spans="1:16" x14ac:dyDescent="0.3">
      <c r="A1649" t="s">
        <v>2270</v>
      </c>
      <c r="B1649" s="45">
        <v>45580</v>
      </c>
      <c r="C1649" t="s">
        <v>507</v>
      </c>
      <c r="D1649" t="s">
        <v>110</v>
      </c>
      <c r="E1649" t="s">
        <v>128</v>
      </c>
      <c r="F1649">
        <v>2</v>
      </c>
      <c r="G1649">
        <v>370</v>
      </c>
      <c r="H1649">
        <v>24</v>
      </c>
      <c r="I1649">
        <v>562.4</v>
      </c>
      <c r="J1649" t="s">
        <v>87</v>
      </c>
      <c r="K1649" t="s">
        <v>88</v>
      </c>
      <c r="L1649" t="s">
        <v>88</v>
      </c>
      <c r="M1649" t="s">
        <v>2817</v>
      </c>
      <c r="N1649" t="s">
        <v>2855</v>
      </c>
      <c r="O1649">
        <v>288</v>
      </c>
      <c r="P1649">
        <v>370</v>
      </c>
    </row>
    <row r="1650" spans="1:16" x14ac:dyDescent="0.3">
      <c r="A1650" t="s">
        <v>2273</v>
      </c>
      <c r="B1650" s="45">
        <v>45423</v>
      </c>
      <c r="C1650" t="s">
        <v>945</v>
      </c>
      <c r="D1650" t="s">
        <v>295</v>
      </c>
      <c r="E1650" t="s">
        <v>303</v>
      </c>
      <c r="F1650">
        <v>10</v>
      </c>
      <c r="G1650">
        <v>2030</v>
      </c>
      <c r="H1650">
        <v>25.6</v>
      </c>
      <c r="I1650">
        <v>15103.2</v>
      </c>
      <c r="J1650" t="s">
        <v>87</v>
      </c>
      <c r="K1650" t="s">
        <v>88</v>
      </c>
      <c r="L1650" t="s">
        <v>88</v>
      </c>
      <c r="M1650" t="s">
        <v>2817</v>
      </c>
      <c r="N1650" t="s">
        <v>2862</v>
      </c>
      <c r="O1650">
        <v>1143</v>
      </c>
      <c r="P1650">
        <v>2030</v>
      </c>
    </row>
    <row r="1651" spans="1:16" x14ac:dyDescent="0.3">
      <c r="A1651" t="s">
        <v>2276</v>
      </c>
      <c r="B1651" s="45">
        <v>45441</v>
      </c>
      <c r="C1651" t="s">
        <v>759</v>
      </c>
      <c r="D1651" t="s">
        <v>110</v>
      </c>
      <c r="E1651" t="s">
        <v>297</v>
      </c>
      <c r="F1651">
        <v>10</v>
      </c>
      <c r="G1651">
        <v>370</v>
      </c>
      <c r="H1651">
        <v>29</v>
      </c>
      <c r="I1651">
        <v>2627</v>
      </c>
      <c r="J1651" t="s">
        <v>87</v>
      </c>
      <c r="K1651" t="s">
        <v>117</v>
      </c>
      <c r="L1651" t="s">
        <v>117</v>
      </c>
      <c r="M1651" t="s">
        <v>2817</v>
      </c>
      <c r="N1651" t="s">
        <v>2879</v>
      </c>
      <c r="O1651">
        <v>288</v>
      </c>
      <c r="P1651">
        <v>370</v>
      </c>
    </row>
    <row r="1652" spans="1:16" x14ac:dyDescent="0.3">
      <c r="A1652" t="s">
        <v>2279</v>
      </c>
      <c r="B1652" s="45">
        <v>45504</v>
      </c>
      <c r="C1652" t="s">
        <v>1499</v>
      </c>
      <c r="D1652" t="s">
        <v>502</v>
      </c>
      <c r="E1652" t="s">
        <v>192</v>
      </c>
      <c r="F1652">
        <v>1</v>
      </c>
      <c r="G1652">
        <v>1090</v>
      </c>
      <c r="H1652">
        <v>21.6</v>
      </c>
      <c r="I1652">
        <v>854.56</v>
      </c>
      <c r="J1652" t="s">
        <v>140</v>
      </c>
      <c r="K1652" t="s">
        <v>94</v>
      </c>
      <c r="L1652" t="s">
        <v>94</v>
      </c>
      <c r="M1652" t="s">
        <v>2817</v>
      </c>
      <c r="N1652" t="s">
        <v>2862</v>
      </c>
      <c r="O1652">
        <v>464</v>
      </c>
      <c r="P1652">
        <v>1090</v>
      </c>
    </row>
    <row r="1653" spans="1:16" x14ac:dyDescent="0.3">
      <c r="A1653" t="s">
        <v>2285</v>
      </c>
      <c r="B1653" s="45">
        <v>45421</v>
      </c>
      <c r="C1653" t="s">
        <v>673</v>
      </c>
      <c r="D1653" t="s">
        <v>270</v>
      </c>
      <c r="E1653" t="s">
        <v>192</v>
      </c>
      <c r="F1653">
        <v>7</v>
      </c>
      <c r="G1653">
        <v>4610</v>
      </c>
      <c r="H1653">
        <v>10.4</v>
      </c>
      <c r="I1653">
        <v>28913.919999999998</v>
      </c>
      <c r="J1653" t="s">
        <v>87</v>
      </c>
      <c r="K1653" t="s">
        <v>112</v>
      </c>
      <c r="L1653" t="s">
        <v>112</v>
      </c>
      <c r="M1653" t="s">
        <v>2817</v>
      </c>
      <c r="N1653" t="s">
        <v>2855</v>
      </c>
      <c r="O1653">
        <v>1850</v>
      </c>
      <c r="P1653">
        <v>4610</v>
      </c>
    </row>
    <row r="1654" spans="1:16" x14ac:dyDescent="0.3">
      <c r="A1654" t="s">
        <v>2287</v>
      </c>
      <c r="B1654" s="45">
        <v>45553</v>
      </c>
      <c r="C1654" t="s">
        <v>422</v>
      </c>
      <c r="D1654" t="s">
        <v>110</v>
      </c>
      <c r="E1654" t="s">
        <v>154</v>
      </c>
      <c r="F1654">
        <v>7</v>
      </c>
      <c r="G1654">
        <v>370</v>
      </c>
      <c r="H1654">
        <v>1.4</v>
      </c>
      <c r="I1654">
        <v>2553.7399999999998</v>
      </c>
      <c r="J1654" t="s">
        <v>144</v>
      </c>
      <c r="K1654" t="s">
        <v>94</v>
      </c>
      <c r="L1654" t="s">
        <v>94</v>
      </c>
      <c r="M1654" t="s">
        <v>2817</v>
      </c>
      <c r="N1654" t="s">
        <v>2862</v>
      </c>
      <c r="O1654">
        <v>288</v>
      </c>
      <c r="P1654">
        <v>370</v>
      </c>
    </row>
    <row r="1655" spans="1:16" x14ac:dyDescent="0.3">
      <c r="A1655" t="s">
        <v>631</v>
      </c>
      <c r="B1655" s="45">
        <v>45301</v>
      </c>
      <c r="C1655" t="s">
        <v>1358</v>
      </c>
      <c r="D1655" t="s">
        <v>143</v>
      </c>
      <c r="E1655" t="s">
        <v>98</v>
      </c>
      <c r="F1655">
        <v>1</v>
      </c>
      <c r="G1655">
        <v>3250</v>
      </c>
      <c r="H1655">
        <v>17.8</v>
      </c>
      <c r="I1655">
        <v>2671.5</v>
      </c>
      <c r="J1655" t="s">
        <v>87</v>
      </c>
      <c r="K1655" t="s">
        <v>112</v>
      </c>
      <c r="L1655" t="s">
        <v>112</v>
      </c>
      <c r="M1655" t="s">
        <v>2817</v>
      </c>
      <c r="N1655" t="s">
        <v>2871</v>
      </c>
      <c r="O1655">
        <v>1556</v>
      </c>
      <c r="P1655">
        <v>3250</v>
      </c>
    </row>
    <row r="1656" spans="1:16" x14ac:dyDescent="0.3">
      <c r="A1656" t="s">
        <v>2301</v>
      </c>
      <c r="B1656" s="45">
        <v>45338</v>
      </c>
      <c r="C1656" t="s">
        <v>312</v>
      </c>
      <c r="D1656" t="s">
        <v>502</v>
      </c>
      <c r="E1656" t="s">
        <v>107</v>
      </c>
      <c r="F1656">
        <v>6</v>
      </c>
      <c r="G1656">
        <v>1090</v>
      </c>
      <c r="H1656">
        <v>20</v>
      </c>
      <c r="I1656">
        <v>5232</v>
      </c>
      <c r="J1656" t="s">
        <v>93</v>
      </c>
      <c r="K1656" t="s">
        <v>133</v>
      </c>
      <c r="L1656" t="s">
        <v>133</v>
      </c>
      <c r="M1656" t="s">
        <v>2817</v>
      </c>
      <c r="N1656" t="s">
        <v>2879</v>
      </c>
      <c r="O1656">
        <v>464</v>
      </c>
      <c r="P1656">
        <v>1090</v>
      </c>
    </row>
    <row r="1657" spans="1:16" x14ac:dyDescent="0.3">
      <c r="A1657" t="s">
        <v>2302</v>
      </c>
      <c r="B1657" s="45">
        <v>45324</v>
      </c>
      <c r="C1657" t="s">
        <v>2303</v>
      </c>
      <c r="D1657" t="s">
        <v>203</v>
      </c>
      <c r="E1657" t="s">
        <v>346</v>
      </c>
      <c r="F1657">
        <v>2</v>
      </c>
      <c r="G1657">
        <v>660</v>
      </c>
      <c r="H1657">
        <v>18.7</v>
      </c>
      <c r="I1657">
        <v>1073.1600000000001</v>
      </c>
      <c r="J1657" t="s">
        <v>87</v>
      </c>
      <c r="K1657" t="s">
        <v>112</v>
      </c>
      <c r="L1657" t="s">
        <v>112</v>
      </c>
      <c r="M1657" t="s">
        <v>2817</v>
      </c>
      <c r="N1657" t="s">
        <v>2862</v>
      </c>
      <c r="O1657">
        <v>329</v>
      </c>
      <c r="P1657">
        <v>660</v>
      </c>
    </row>
    <row r="1658" spans="1:16" x14ac:dyDescent="0.3">
      <c r="A1658" t="s">
        <v>2304</v>
      </c>
      <c r="B1658" s="45">
        <v>45332</v>
      </c>
      <c r="C1658" t="s">
        <v>1072</v>
      </c>
      <c r="D1658" t="s">
        <v>502</v>
      </c>
      <c r="E1658" t="s">
        <v>188</v>
      </c>
      <c r="F1658">
        <v>7</v>
      </c>
      <c r="G1658">
        <v>1090</v>
      </c>
      <c r="H1658">
        <v>19.399999999999999</v>
      </c>
      <c r="I1658">
        <v>6149.78</v>
      </c>
      <c r="J1658" t="s">
        <v>93</v>
      </c>
      <c r="K1658" t="s">
        <v>112</v>
      </c>
      <c r="L1658" t="s">
        <v>112</v>
      </c>
      <c r="M1658" t="s">
        <v>2817</v>
      </c>
      <c r="N1658" t="s">
        <v>2855</v>
      </c>
      <c r="O1658">
        <v>464</v>
      </c>
      <c r="P1658">
        <v>1090</v>
      </c>
    </row>
    <row r="1659" spans="1:16" x14ac:dyDescent="0.3">
      <c r="A1659" t="s">
        <v>2307</v>
      </c>
      <c r="B1659" s="45">
        <v>45403</v>
      </c>
      <c r="C1659" t="s">
        <v>507</v>
      </c>
      <c r="D1659" t="s">
        <v>270</v>
      </c>
      <c r="E1659" t="s">
        <v>158</v>
      </c>
      <c r="F1659">
        <v>7</v>
      </c>
      <c r="G1659">
        <v>4610</v>
      </c>
      <c r="H1659">
        <v>6.3</v>
      </c>
      <c r="I1659">
        <v>30236.99</v>
      </c>
      <c r="J1659" t="s">
        <v>87</v>
      </c>
      <c r="K1659" t="s">
        <v>88</v>
      </c>
      <c r="L1659" t="s">
        <v>88</v>
      </c>
      <c r="M1659" t="s">
        <v>2817</v>
      </c>
      <c r="N1659" t="s">
        <v>2862</v>
      </c>
      <c r="O1659">
        <v>1850</v>
      </c>
      <c r="P1659">
        <v>4610</v>
      </c>
    </row>
    <row r="1660" spans="1:16" x14ac:dyDescent="0.3">
      <c r="A1660" t="s">
        <v>2312</v>
      </c>
      <c r="B1660" s="45">
        <v>45551</v>
      </c>
      <c r="C1660" t="s">
        <v>878</v>
      </c>
      <c r="D1660" t="s">
        <v>203</v>
      </c>
      <c r="E1660" t="s">
        <v>285</v>
      </c>
      <c r="F1660">
        <v>6</v>
      </c>
      <c r="G1660">
        <v>660</v>
      </c>
      <c r="H1660">
        <v>27.3</v>
      </c>
      <c r="I1660">
        <v>2878.92</v>
      </c>
      <c r="J1660" t="s">
        <v>87</v>
      </c>
      <c r="K1660" t="s">
        <v>112</v>
      </c>
      <c r="L1660" t="s">
        <v>112</v>
      </c>
      <c r="M1660" t="s">
        <v>2817</v>
      </c>
      <c r="N1660" t="s">
        <v>2862</v>
      </c>
      <c r="O1660">
        <v>329</v>
      </c>
      <c r="P1660">
        <v>660</v>
      </c>
    </row>
    <row r="1661" spans="1:16" x14ac:dyDescent="0.3">
      <c r="A1661" t="s">
        <v>2319</v>
      </c>
      <c r="B1661" s="45">
        <v>45469</v>
      </c>
      <c r="C1661" t="s">
        <v>1529</v>
      </c>
      <c r="D1661" t="s">
        <v>295</v>
      </c>
      <c r="E1661" t="s">
        <v>107</v>
      </c>
      <c r="F1661">
        <v>9</v>
      </c>
      <c r="G1661">
        <v>2030</v>
      </c>
      <c r="H1661">
        <v>12.6</v>
      </c>
      <c r="I1661">
        <v>15967.98</v>
      </c>
      <c r="J1661" t="s">
        <v>140</v>
      </c>
      <c r="K1661" t="s">
        <v>94</v>
      </c>
      <c r="L1661" t="s">
        <v>94</v>
      </c>
      <c r="M1661" t="s">
        <v>2817</v>
      </c>
      <c r="N1661" t="s">
        <v>2855</v>
      </c>
      <c r="O1661">
        <v>1143</v>
      </c>
      <c r="P1661">
        <v>2030</v>
      </c>
    </row>
    <row r="1662" spans="1:16" x14ac:dyDescent="0.3">
      <c r="A1662" t="s">
        <v>2321</v>
      </c>
      <c r="B1662" s="45">
        <v>45614</v>
      </c>
      <c r="C1662" t="s">
        <v>333</v>
      </c>
      <c r="D1662" t="s">
        <v>164</v>
      </c>
      <c r="E1662" t="s">
        <v>170</v>
      </c>
      <c r="F1662">
        <v>5</v>
      </c>
      <c r="G1662">
        <v>1080</v>
      </c>
      <c r="H1662">
        <v>6</v>
      </c>
      <c r="I1662">
        <v>5076</v>
      </c>
      <c r="J1662" t="s">
        <v>87</v>
      </c>
      <c r="K1662" t="s">
        <v>133</v>
      </c>
      <c r="L1662" t="s">
        <v>133</v>
      </c>
      <c r="M1662" t="s">
        <v>2817</v>
      </c>
      <c r="N1662" t="s">
        <v>2871</v>
      </c>
      <c r="O1662">
        <v>519</v>
      </c>
      <c r="P1662">
        <v>1080</v>
      </c>
    </row>
    <row r="1663" spans="1:16" x14ac:dyDescent="0.3">
      <c r="A1663" t="s">
        <v>2334</v>
      </c>
      <c r="B1663" s="45">
        <v>45406</v>
      </c>
      <c r="C1663" t="s">
        <v>2053</v>
      </c>
      <c r="D1663" t="s">
        <v>124</v>
      </c>
      <c r="E1663" t="s">
        <v>132</v>
      </c>
      <c r="F1663">
        <v>3</v>
      </c>
      <c r="G1663">
        <v>5490</v>
      </c>
      <c r="H1663">
        <v>25.2</v>
      </c>
      <c r="I1663">
        <v>12319.56</v>
      </c>
      <c r="J1663" t="s">
        <v>87</v>
      </c>
      <c r="K1663" t="s">
        <v>133</v>
      </c>
      <c r="L1663" t="s">
        <v>133</v>
      </c>
      <c r="M1663" t="s">
        <v>2817</v>
      </c>
      <c r="N1663" t="s">
        <v>2871</v>
      </c>
      <c r="O1663">
        <v>2549</v>
      </c>
      <c r="P1663">
        <v>5490</v>
      </c>
    </row>
    <row r="1664" spans="1:16" x14ac:dyDescent="0.3">
      <c r="A1664" t="s">
        <v>2339</v>
      </c>
      <c r="B1664" s="45">
        <v>45605</v>
      </c>
      <c r="C1664" t="s">
        <v>1816</v>
      </c>
      <c r="D1664" t="s">
        <v>143</v>
      </c>
      <c r="E1664" t="s">
        <v>111</v>
      </c>
      <c r="F1664">
        <v>3</v>
      </c>
      <c r="G1664">
        <v>3250</v>
      </c>
      <c r="H1664">
        <v>19.600000000000001</v>
      </c>
      <c r="I1664">
        <v>7839</v>
      </c>
      <c r="J1664" t="s">
        <v>93</v>
      </c>
      <c r="K1664" t="s">
        <v>99</v>
      </c>
      <c r="L1664" t="s">
        <v>99</v>
      </c>
      <c r="M1664" t="s">
        <v>2817</v>
      </c>
      <c r="N1664" t="s">
        <v>2862</v>
      </c>
      <c r="O1664">
        <v>1556</v>
      </c>
      <c r="P1664">
        <v>3250</v>
      </c>
    </row>
    <row r="1665" spans="1:16" x14ac:dyDescent="0.3">
      <c r="A1665" t="s">
        <v>2345</v>
      </c>
      <c r="B1665" s="45">
        <v>45413</v>
      </c>
      <c r="C1665" t="s">
        <v>613</v>
      </c>
      <c r="D1665" t="s">
        <v>502</v>
      </c>
      <c r="E1665" t="s">
        <v>128</v>
      </c>
      <c r="F1665">
        <v>1</v>
      </c>
      <c r="G1665">
        <v>1090</v>
      </c>
      <c r="H1665">
        <v>17.3</v>
      </c>
      <c r="I1665">
        <v>901.43</v>
      </c>
      <c r="J1665" t="s">
        <v>87</v>
      </c>
      <c r="K1665" t="s">
        <v>112</v>
      </c>
      <c r="L1665" t="s">
        <v>112</v>
      </c>
      <c r="M1665" t="s">
        <v>2817</v>
      </c>
      <c r="N1665" t="s">
        <v>2862</v>
      </c>
      <c r="O1665">
        <v>464</v>
      </c>
      <c r="P1665">
        <v>1090</v>
      </c>
    </row>
    <row r="1666" spans="1:16" x14ac:dyDescent="0.3">
      <c r="A1666" t="s">
        <v>2346</v>
      </c>
      <c r="B1666" s="45">
        <v>45535</v>
      </c>
      <c r="C1666" t="s">
        <v>324</v>
      </c>
      <c r="D1666" t="s">
        <v>443</v>
      </c>
      <c r="E1666" t="s">
        <v>229</v>
      </c>
      <c r="F1666">
        <v>8</v>
      </c>
      <c r="G1666">
        <v>5080</v>
      </c>
      <c r="H1666">
        <v>0.9</v>
      </c>
      <c r="I1666">
        <v>40274.239999999998</v>
      </c>
      <c r="J1666" t="s">
        <v>87</v>
      </c>
      <c r="K1666" t="s">
        <v>133</v>
      </c>
      <c r="L1666" t="s">
        <v>133</v>
      </c>
      <c r="M1666" t="s">
        <v>2817</v>
      </c>
      <c r="N1666" t="s">
        <v>2862</v>
      </c>
      <c r="O1666">
        <v>2459</v>
      </c>
      <c r="P1666">
        <v>5080</v>
      </c>
    </row>
    <row r="1667" spans="1:16" x14ac:dyDescent="0.3">
      <c r="A1667" t="s">
        <v>2347</v>
      </c>
      <c r="B1667" s="45">
        <v>45569</v>
      </c>
      <c r="C1667" t="s">
        <v>856</v>
      </c>
      <c r="D1667" t="s">
        <v>270</v>
      </c>
      <c r="E1667" t="s">
        <v>238</v>
      </c>
      <c r="F1667">
        <v>7</v>
      </c>
      <c r="G1667">
        <v>4610</v>
      </c>
      <c r="H1667">
        <v>0.9</v>
      </c>
      <c r="I1667">
        <v>31979.57</v>
      </c>
      <c r="J1667" t="s">
        <v>87</v>
      </c>
      <c r="K1667" t="s">
        <v>88</v>
      </c>
      <c r="L1667" t="s">
        <v>88</v>
      </c>
      <c r="M1667" t="s">
        <v>2817</v>
      </c>
      <c r="N1667" t="s">
        <v>2879</v>
      </c>
      <c r="O1667">
        <v>1850</v>
      </c>
      <c r="P1667">
        <v>4610</v>
      </c>
    </row>
    <row r="1668" spans="1:16" x14ac:dyDescent="0.3">
      <c r="A1668" t="s">
        <v>2363</v>
      </c>
      <c r="B1668" s="45">
        <v>45429</v>
      </c>
      <c r="C1668" t="s">
        <v>362</v>
      </c>
      <c r="D1668" t="s">
        <v>226</v>
      </c>
      <c r="E1668" t="s">
        <v>128</v>
      </c>
      <c r="F1668">
        <v>3</v>
      </c>
      <c r="G1668">
        <v>3730</v>
      </c>
      <c r="H1668">
        <v>24.8</v>
      </c>
      <c r="I1668">
        <v>8414.8799999999992</v>
      </c>
      <c r="J1668" t="s">
        <v>87</v>
      </c>
      <c r="K1668" t="s">
        <v>94</v>
      </c>
      <c r="L1668" t="s">
        <v>94</v>
      </c>
      <c r="M1668" t="s">
        <v>2817</v>
      </c>
      <c r="N1668" t="s">
        <v>2871</v>
      </c>
      <c r="O1668">
        <v>2135</v>
      </c>
      <c r="P1668">
        <v>3730</v>
      </c>
    </row>
    <row r="1669" spans="1:16" x14ac:dyDescent="0.3">
      <c r="A1669" t="s">
        <v>2367</v>
      </c>
      <c r="B1669" s="45">
        <v>45623</v>
      </c>
      <c r="C1669" t="s">
        <v>411</v>
      </c>
      <c r="D1669" t="s">
        <v>226</v>
      </c>
      <c r="E1669" t="s">
        <v>204</v>
      </c>
      <c r="F1669">
        <v>3</v>
      </c>
      <c r="G1669">
        <v>3730</v>
      </c>
      <c r="H1669">
        <v>18.100000000000001</v>
      </c>
      <c r="I1669">
        <v>9164.61</v>
      </c>
      <c r="J1669" t="s">
        <v>87</v>
      </c>
      <c r="K1669" t="s">
        <v>112</v>
      </c>
      <c r="L1669" t="s">
        <v>112</v>
      </c>
      <c r="M1669" t="s">
        <v>2817</v>
      </c>
      <c r="N1669" t="s">
        <v>2862</v>
      </c>
      <c r="O1669">
        <v>2135</v>
      </c>
      <c r="P1669">
        <v>3730</v>
      </c>
    </row>
    <row r="1670" spans="1:16" x14ac:dyDescent="0.3">
      <c r="A1670" t="s">
        <v>2368</v>
      </c>
      <c r="B1670" s="45">
        <v>45528</v>
      </c>
      <c r="C1670" t="s">
        <v>342</v>
      </c>
      <c r="D1670" t="s">
        <v>226</v>
      </c>
      <c r="E1670" t="s">
        <v>297</v>
      </c>
      <c r="F1670">
        <v>8</v>
      </c>
      <c r="G1670">
        <v>3730</v>
      </c>
      <c r="H1670">
        <v>12.5</v>
      </c>
      <c r="I1670">
        <v>26110</v>
      </c>
      <c r="J1670" t="s">
        <v>87</v>
      </c>
      <c r="K1670" t="s">
        <v>94</v>
      </c>
      <c r="L1670" t="s">
        <v>94</v>
      </c>
      <c r="M1670" t="s">
        <v>2817</v>
      </c>
      <c r="N1670" t="s">
        <v>2855</v>
      </c>
      <c r="O1670">
        <v>2135</v>
      </c>
      <c r="P1670">
        <v>3730</v>
      </c>
    </row>
    <row r="1671" spans="1:16" x14ac:dyDescent="0.3">
      <c r="A1671" t="s">
        <v>2370</v>
      </c>
      <c r="B1671" s="45">
        <v>45475</v>
      </c>
      <c r="C1671" t="s">
        <v>1217</v>
      </c>
      <c r="D1671" t="s">
        <v>164</v>
      </c>
      <c r="E1671" t="s">
        <v>297</v>
      </c>
      <c r="F1671">
        <v>6</v>
      </c>
      <c r="G1671">
        <v>1080</v>
      </c>
      <c r="H1671">
        <v>8.8000000000000007</v>
      </c>
      <c r="I1671">
        <v>5909.76</v>
      </c>
      <c r="J1671" t="s">
        <v>87</v>
      </c>
      <c r="K1671" t="s">
        <v>112</v>
      </c>
      <c r="L1671" t="s">
        <v>112</v>
      </c>
      <c r="M1671" t="s">
        <v>2817</v>
      </c>
      <c r="N1671" t="s">
        <v>2871</v>
      </c>
      <c r="O1671">
        <v>519</v>
      </c>
      <c r="P1671">
        <v>1080</v>
      </c>
    </row>
    <row r="1672" spans="1:16" x14ac:dyDescent="0.3">
      <c r="A1672" t="s">
        <v>2371</v>
      </c>
      <c r="B1672" s="45">
        <v>45516</v>
      </c>
      <c r="C1672" t="s">
        <v>945</v>
      </c>
      <c r="D1672" t="s">
        <v>110</v>
      </c>
      <c r="E1672" t="s">
        <v>201</v>
      </c>
      <c r="F1672">
        <v>4</v>
      </c>
      <c r="G1672">
        <v>370</v>
      </c>
      <c r="H1672">
        <v>13.1</v>
      </c>
      <c r="I1672">
        <v>1286.1199999999999</v>
      </c>
      <c r="J1672" t="s">
        <v>87</v>
      </c>
      <c r="K1672" t="s">
        <v>88</v>
      </c>
      <c r="L1672" t="s">
        <v>88</v>
      </c>
      <c r="M1672" t="s">
        <v>2817</v>
      </c>
      <c r="N1672" t="s">
        <v>2879</v>
      </c>
      <c r="O1672">
        <v>288</v>
      </c>
      <c r="P1672">
        <v>370</v>
      </c>
    </row>
    <row r="1673" spans="1:16" x14ac:dyDescent="0.3">
      <c r="A1673" t="s">
        <v>2374</v>
      </c>
      <c r="B1673" s="45">
        <v>45417</v>
      </c>
      <c r="C1673" t="s">
        <v>422</v>
      </c>
      <c r="D1673" t="s">
        <v>295</v>
      </c>
      <c r="E1673" t="s">
        <v>158</v>
      </c>
      <c r="F1673">
        <v>6</v>
      </c>
      <c r="G1673">
        <v>2030</v>
      </c>
      <c r="H1673">
        <v>20.5</v>
      </c>
      <c r="I1673">
        <v>9683.1</v>
      </c>
      <c r="J1673" t="s">
        <v>87</v>
      </c>
      <c r="K1673" t="s">
        <v>94</v>
      </c>
      <c r="L1673" t="s">
        <v>94</v>
      </c>
      <c r="M1673" t="s">
        <v>2817</v>
      </c>
      <c r="N1673" t="s">
        <v>2862</v>
      </c>
      <c r="O1673">
        <v>1143</v>
      </c>
      <c r="P1673">
        <v>2030</v>
      </c>
    </row>
    <row r="1674" spans="1:16" x14ac:dyDescent="0.3">
      <c r="A1674" t="s">
        <v>2377</v>
      </c>
      <c r="B1674" s="45">
        <v>45588</v>
      </c>
      <c r="C1674" t="s">
        <v>528</v>
      </c>
      <c r="D1674" t="s">
        <v>110</v>
      </c>
      <c r="E1674" t="s">
        <v>297</v>
      </c>
      <c r="F1674">
        <v>1</v>
      </c>
      <c r="G1674">
        <v>370</v>
      </c>
      <c r="H1674">
        <v>27</v>
      </c>
      <c r="I1674">
        <v>270.10000000000002</v>
      </c>
      <c r="J1674" t="s">
        <v>93</v>
      </c>
      <c r="K1674" t="s">
        <v>112</v>
      </c>
      <c r="L1674" t="s">
        <v>112</v>
      </c>
      <c r="M1674" t="s">
        <v>2817</v>
      </c>
      <c r="N1674" t="s">
        <v>2862</v>
      </c>
      <c r="O1674">
        <v>288</v>
      </c>
      <c r="P1674">
        <v>370</v>
      </c>
    </row>
    <row r="1675" spans="1:16" x14ac:dyDescent="0.3">
      <c r="A1675" t="s">
        <v>2379</v>
      </c>
      <c r="B1675" s="45">
        <v>45322</v>
      </c>
      <c r="C1675" t="s">
        <v>592</v>
      </c>
      <c r="D1675" t="s">
        <v>110</v>
      </c>
      <c r="E1675" t="s">
        <v>154</v>
      </c>
      <c r="F1675">
        <v>6</v>
      </c>
      <c r="G1675">
        <v>370</v>
      </c>
      <c r="H1675">
        <v>18.7</v>
      </c>
      <c r="I1675">
        <v>1804.86</v>
      </c>
      <c r="J1675" t="s">
        <v>140</v>
      </c>
      <c r="K1675" t="s">
        <v>133</v>
      </c>
      <c r="L1675" t="s">
        <v>133</v>
      </c>
      <c r="M1675" t="s">
        <v>2817</v>
      </c>
      <c r="N1675" t="s">
        <v>2855</v>
      </c>
      <c r="O1675">
        <v>288</v>
      </c>
      <c r="P1675">
        <v>370</v>
      </c>
    </row>
    <row r="1676" spans="1:16" x14ac:dyDescent="0.3">
      <c r="A1676" t="s">
        <v>2402</v>
      </c>
      <c r="B1676" s="45">
        <v>45309</v>
      </c>
      <c r="C1676" t="s">
        <v>816</v>
      </c>
      <c r="D1676" t="s">
        <v>270</v>
      </c>
      <c r="E1676" t="s">
        <v>92</v>
      </c>
      <c r="F1676">
        <v>2</v>
      </c>
      <c r="G1676">
        <v>4610</v>
      </c>
      <c r="H1676">
        <v>10.4</v>
      </c>
      <c r="I1676">
        <v>8261.1200000000008</v>
      </c>
      <c r="J1676" t="s">
        <v>93</v>
      </c>
      <c r="K1676" t="s">
        <v>88</v>
      </c>
      <c r="L1676" t="s">
        <v>88</v>
      </c>
      <c r="M1676" t="s">
        <v>2817</v>
      </c>
      <c r="N1676" t="s">
        <v>2855</v>
      </c>
      <c r="O1676">
        <v>1850</v>
      </c>
      <c r="P1676">
        <v>4610</v>
      </c>
    </row>
    <row r="1677" spans="1:16" x14ac:dyDescent="0.3">
      <c r="A1677" t="s">
        <v>2405</v>
      </c>
      <c r="B1677" s="45">
        <v>45400</v>
      </c>
      <c r="C1677" t="s">
        <v>84</v>
      </c>
      <c r="D1677" t="s">
        <v>502</v>
      </c>
      <c r="E1677" t="s">
        <v>252</v>
      </c>
      <c r="F1677">
        <v>6</v>
      </c>
      <c r="G1677">
        <v>1090</v>
      </c>
      <c r="H1677">
        <v>28.3</v>
      </c>
      <c r="I1677">
        <v>4689.18</v>
      </c>
      <c r="J1677" t="s">
        <v>87</v>
      </c>
      <c r="K1677" t="s">
        <v>88</v>
      </c>
      <c r="L1677" t="s">
        <v>88</v>
      </c>
      <c r="M1677" t="s">
        <v>2817</v>
      </c>
      <c r="N1677" t="s">
        <v>2871</v>
      </c>
      <c r="O1677">
        <v>464</v>
      </c>
      <c r="P1677">
        <v>1090</v>
      </c>
    </row>
    <row r="1678" spans="1:16" x14ac:dyDescent="0.3">
      <c r="A1678" t="s">
        <v>2406</v>
      </c>
      <c r="B1678" s="45">
        <v>45625</v>
      </c>
      <c r="C1678" t="s">
        <v>420</v>
      </c>
      <c r="D1678" t="s">
        <v>110</v>
      </c>
      <c r="E1678" t="s">
        <v>148</v>
      </c>
      <c r="F1678">
        <v>9</v>
      </c>
      <c r="G1678">
        <v>370</v>
      </c>
      <c r="H1678">
        <v>13.8</v>
      </c>
      <c r="I1678">
        <v>2870.46</v>
      </c>
      <c r="J1678" t="s">
        <v>87</v>
      </c>
      <c r="K1678" t="s">
        <v>99</v>
      </c>
      <c r="L1678" t="s">
        <v>99</v>
      </c>
      <c r="M1678" t="s">
        <v>2817</v>
      </c>
      <c r="N1678" t="s">
        <v>2862</v>
      </c>
      <c r="O1678">
        <v>288</v>
      </c>
      <c r="P1678">
        <v>370</v>
      </c>
    </row>
    <row r="1679" spans="1:16" x14ac:dyDescent="0.3">
      <c r="A1679" t="s">
        <v>2408</v>
      </c>
      <c r="B1679" s="45">
        <v>45509</v>
      </c>
      <c r="C1679" t="s">
        <v>371</v>
      </c>
      <c r="D1679" t="s">
        <v>143</v>
      </c>
      <c r="E1679" t="s">
        <v>346</v>
      </c>
      <c r="F1679">
        <v>10</v>
      </c>
      <c r="G1679">
        <v>3250</v>
      </c>
      <c r="H1679">
        <v>20.3</v>
      </c>
      <c r="I1679">
        <v>25902.5</v>
      </c>
      <c r="J1679" t="s">
        <v>87</v>
      </c>
      <c r="K1679" t="s">
        <v>112</v>
      </c>
      <c r="L1679" t="s">
        <v>112</v>
      </c>
      <c r="M1679" t="s">
        <v>2817</v>
      </c>
      <c r="N1679" t="s">
        <v>2879</v>
      </c>
      <c r="O1679">
        <v>1556</v>
      </c>
      <c r="P1679">
        <v>3250</v>
      </c>
    </row>
    <row r="1680" spans="1:16" x14ac:dyDescent="0.3">
      <c r="A1680" t="s">
        <v>2409</v>
      </c>
      <c r="B1680" s="45">
        <v>45436</v>
      </c>
      <c r="C1680" t="s">
        <v>872</v>
      </c>
      <c r="D1680" t="s">
        <v>143</v>
      </c>
      <c r="E1680" t="s">
        <v>128</v>
      </c>
      <c r="F1680">
        <v>6</v>
      </c>
      <c r="G1680">
        <v>3250</v>
      </c>
      <c r="H1680">
        <v>25.8</v>
      </c>
      <c r="I1680">
        <v>14469</v>
      </c>
      <c r="J1680" t="s">
        <v>93</v>
      </c>
      <c r="K1680" t="s">
        <v>112</v>
      </c>
      <c r="L1680" t="s">
        <v>112</v>
      </c>
      <c r="M1680" t="s">
        <v>2817</v>
      </c>
      <c r="N1680" t="s">
        <v>2871</v>
      </c>
      <c r="O1680">
        <v>1556</v>
      </c>
      <c r="P1680">
        <v>3250</v>
      </c>
    </row>
    <row r="1681" spans="1:16" x14ac:dyDescent="0.3">
      <c r="A1681" t="s">
        <v>2412</v>
      </c>
      <c r="B1681" s="45">
        <v>45366</v>
      </c>
      <c r="C1681" t="s">
        <v>169</v>
      </c>
      <c r="D1681" t="s">
        <v>270</v>
      </c>
      <c r="E1681" t="s">
        <v>192</v>
      </c>
      <c r="F1681">
        <v>6</v>
      </c>
      <c r="G1681">
        <v>4610</v>
      </c>
      <c r="H1681">
        <v>13.5</v>
      </c>
      <c r="I1681">
        <v>23925.9</v>
      </c>
      <c r="J1681" t="s">
        <v>87</v>
      </c>
      <c r="K1681" t="s">
        <v>112</v>
      </c>
      <c r="L1681" t="s">
        <v>112</v>
      </c>
      <c r="M1681" t="s">
        <v>2817</v>
      </c>
      <c r="N1681" t="s">
        <v>2862</v>
      </c>
      <c r="O1681">
        <v>1850</v>
      </c>
      <c r="P1681">
        <v>4610</v>
      </c>
    </row>
    <row r="1682" spans="1:16" x14ac:dyDescent="0.3">
      <c r="A1682" t="s">
        <v>2413</v>
      </c>
      <c r="B1682" s="45">
        <v>45446</v>
      </c>
      <c r="C1682" t="s">
        <v>541</v>
      </c>
      <c r="D1682" t="s">
        <v>443</v>
      </c>
      <c r="E1682" t="s">
        <v>158</v>
      </c>
      <c r="F1682">
        <v>7</v>
      </c>
      <c r="G1682">
        <v>5080</v>
      </c>
      <c r="H1682">
        <v>25.4</v>
      </c>
      <c r="I1682">
        <v>26527.759999999998</v>
      </c>
      <c r="J1682" t="s">
        <v>87</v>
      </c>
      <c r="K1682" t="s">
        <v>94</v>
      </c>
      <c r="L1682" t="s">
        <v>94</v>
      </c>
      <c r="M1682" t="s">
        <v>2817</v>
      </c>
      <c r="N1682" t="s">
        <v>2871</v>
      </c>
      <c r="O1682">
        <v>2459</v>
      </c>
      <c r="P1682">
        <v>5080</v>
      </c>
    </row>
    <row r="1683" spans="1:16" x14ac:dyDescent="0.3">
      <c r="A1683" t="s">
        <v>2422</v>
      </c>
      <c r="B1683" s="45">
        <v>45411</v>
      </c>
      <c r="C1683" t="s">
        <v>1193</v>
      </c>
      <c r="D1683" t="s">
        <v>226</v>
      </c>
      <c r="E1683" t="s">
        <v>98</v>
      </c>
      <c r="F1683">
        <v>1</v>
      </c>
      <c r="G1683">
        <v>3730</v>
      </c>
      <c r="H1683">
        <v>15.3</v>
      </c>
      <c r="I1683">
        <v>3159.31</v>
      </c>
      <c r="J1683" t="s">
        <v>87</v>
      </c>
      <c r="K1683" t="s">
        <v>133</v>
      </c>
      <c r="L1683" t="s">
        <v>133</v>
      </c>
      <c r="M1683" t="s">
        <v>2817</v>
      </c>
      <c r="N1683" t="s">
        <v>2855</v>
      </c>
      <c r="O1683">
        <v>2135</v>
      </c>
      <c r="P1683">
        <v>3730</v>
      </c>
    </row>
    <row r="1684" spans="1:16" x14ac:dyDescent="0.3">
      <c r="A1684" t="s">
        <v>2425</v>
      </c>
      <c r="B1684" s="45">
        <v>45536</v>
      </c>
      <c r="C1684" t="s">
        <v>707</v>
      </c>
      <c r="D1684" t="s">
        <v>443</v>
      </c>
      <c r="E1684" t="s">
        <v>158</v>
      </c>
      <c r="F1684">
        <v>9</v>
      </c>
      <c r="G1684">
        <v>5080</v>
      </c>
      <c r="H1684">
        <v>19.899999999999999</v>
      </c>
      <c r="I1684">
        <v>36621.72</v>
      </c>
      <c r="J1684" t="s">
        <v>87</v>
      </c>
      <c r="K1684" t="s">
        <v>112</v>
      </c>
      <c r="L1684" t="s">
        <v>112</v>
      </c>
      <c r="M1684" t="s">
        <v>2817</v>
      </c>
      <c r="N1684" t="s">
        <v>2855</v>
      </c>
      <c r="O1684">
        <v>2459</v>
      </c>
      <c r="P1684">
        <v>5080</v>
      </c>
    </row>
    <row r="1685" spans="1:16" x14ac:dyDescent="0.3">
      <c r="A1685" t="s">
        <v>2429</v>
      </c>
      <c r="B1685" s="45">
        <v>45525</v>
      </c>
      <c r="C1685" t="s">
        <v>2430</v>
      </c>
      <c r="D1685" t="s">
        <v>110</v>
      </c>
      <c r="E1685" t="s">
        <v>273</v>
      </c>
      <c r="F1685">
        <v>6</v>
      </c>
      <c r="G1685">
        <v>370</v>
      </c>
      <c r="H1685">
        <v>17.8</v>
      </c>
      <c r="I1685">
        <v>1824.84</v>
      </c>
      <c r="J1685" t="s">
        <v>87</v>
      </c>
      <c r="K1685" t="s">
        <v>112</v>
      </c>
      <c r="L1685" t="s">
        <v>112</v>
      </c>
      <c r="M1685" t="s">
        <v>2817</v>
      </c>
      <c r="N1685" t="s">
        <v>2879</v>
      </c>
      <c r="O1685">
        <v>288</v>
      </c>
      <c r="P1685">
        <v>370</v>
      </c>
    </row>
    <row r="1686" spans="1:16" x14ac:dyDescent="0.3">
      <c r="A1686" t="s">
        <v>2434</v>
      </c>
      <c r="B1686" s="45">
        <v>45373</v>
      </c>
      <c r="C1686" t="s">
        <v>1036</v>
      </c>
      <c r="D1686" t="s">
        <v>270</v>
      </c>
      <c r="E1686" t="s">
        <v>148</v>
      </c>
      <c r="F1686">
        <v>5</v>
      </c>
      <c r="G1686">
        <v>4610</v>
      </c>
      <c r="H1686">
        <v>29.8</v>
      </c>
      <c r="I1686">
        <v>16181.1</v>
      </c>
      <c r="J1686" t="s">
        <v>140</v>
      </c>
      <c r="K1686" t="s">
        <v>112</v>
      </c>
      <c r="L1686" t="s">
        <v>112</v>
      </c>
      <c r="M1686" t="s">
        <v>2817</v>
      </c>
      <c r="N1686" t="s">
        <v>2855</v>
      </c>
      <c r="O1686">
        <v>1850</v>
      </c>
      <c r="P1686">
        <v>4610</v>
      </c>
    </row>
    <row r="1687" spans="1:16" x14ac:dyDescent="0.3">
      <c r="A1687" t="s">
        <v>2435</v>
      </c>
      <c r="B1687" s="45">
        <v>45497</v>
      </c>
      <c r="C1687" t="s">
        <v>490</v>
      </c>
      <c r="D1687" t="s">
        <v>110</v>
      </c>
      <c r="E1687" t="s">
        <v>148</v>
      </c>
      <c r="F1687">
        <v>6</v>
      </c>
      <c r="G1687">
        <v>370</v>
      </c>
      <c r="H1687">
        <v>17.899999999999999</v>
      </c>
      <c r="I1687">
        <v>1822.62</v>
      </c>
      <c r="J1687" t="s">
        <v>87</v>
      </c>
      <c r="K1687" t="s">
        <v>99</v>
      </c>
      <c r="L1687" t="s">
        <v>99</v>
      </c>
      <c r="M1687" t="s">
        <v>2817</v>
      </c>
      <c r="N1687" t="s">
        <v>2862</v>
      </c>
      <c r="O1687">
        <v>288</v>
      </c>
      <c r="P1687">
        <v>370</v>
      </c>
    </row>
    <row r="1688" spans="1:16" x14ac:dyDescent="0.3">
      <c r="A1688" t="s">
        <v>2456</v>
      </c>
      <c r="B1688" s="45">
        <v>45312</v>
      </c>
      <c r="C1688" t="s">
        <v>263</v>
      </c>
      <c r="D1688" t="s">
        <v>110</v>
      </c>
      <c r="E1688" t="s">
        <v>201</v>
      </c>
      <c r="F1688">
        <v>6</v>
      </c>
      <c r="G1688">
        <v>370</v>
      </c>
      <c r="H1688">
        <v>8.1</v>
      </c>
      <c r="I1688">
        <v>2040.18</v>
      </c>
      <c r="J1688" t="s">
        <v>140</v>
      </c>
      <c r="K1688" t="s">
        <v>133</v>
      </c>
      <c r="L1688" t="s">
        <v>133</v>
      </c>
      <c r="M1688" t="s">
        <v>2817</v>
      </c>
      <c r="N1688" t="s">
        <v>2871</v>
      </c>
      <c r="O1688">
        <v>288</v>
      </c>
      <c r="P1688">
        <v>370</v>
      </c>
    </row>
    <row r="1689" spans="1:16" x14ac:dyDescent="0.3">
      <c r="A1689" t="s">
        <v>2461</v>
      </c>
      <c r="B1689" s="45">
        <v>45449</v>
      </c>
      <c r="C1689" t="s">
        <v>615</v>
      </c>
      <c r="D1689" t="s">
        <v>443</v>
      </c>
      <c r="E1689" t="s">
        <v>303</v>
      </c>
      <c r="F1689">
        <v>5</v>
      </c>
      <c r="G1689">
        <v>5080</v>
      </c>
      <c r="H1689">
        <v>12.1</v>
      </c>
      <c r="I1689">
        <v>22326.6</v>
      </c>
      <c r="J1689" t="s">
        <v>87</v>
      </c>
      <c r="K1689" t="s">
        <v>112</v>
      </c>
      <c r="L1689" t="s">
        <v>112</v>
      </c>
      <c r="M1689" t="s">
        <v>2817</v>
      </c>
      <c r="N1689" t="s">
        <v>2862</v>
      </c>
      <c r="O1689">
        <v>2459</v>
      </c>
      <c r="P1689">
        <v>5080</v>
      </c>
    </row>
    <row r="1690" spans="1:16" x14ac:dyDescent="0.3">
      <c r="A1690" t="s">
        <v>2462</v>
      </c>
      <c r="B1690" s="45">
        <v>45338</v>
      </c>
      <c r="C1690" t="s">
        <v>797</v>
      </c>
      <c r="D1690" t="s">
        <v>270</v>
      </c>
      <c r="E1690" t="s">
        <v>252</v>
      </c>
      <c r="F1690">
        <v>10</v>
      </c>
      <c r="G1690">
        <v>4610</v>
      </c>
      <c r="H1690">
        <v>22.5</v>
      </c>
      <c r="I1690">
        <v>35727.5</v>
      </c>
      <c r="J1690" t="s">
        <v>87</v>
      </c>
      <c r="K1690" t="s">
        <v>99</v>
      </c>
      <c r="L1690" t="s">
        <v>99</v>
      </c>
      <c r="M1690" t="s">
        <v>2817</v>
      </c>
      <c r="N1690" t="s">
        <v>2871</v>
      </c>
      <c r="O1690">
        <v>1850</v>
      </c>
      <c r="P1690">
        <v>4610</v>
      </c>
    </row>
    <row r="1691" spans="1:16" x14ac:dyDescent="0.3">
      <c r="A1691" t="s">
        <v>2465</v>
      </c>
      <c r="B1691" s="45">
        <v>45325</v>
      </c>
      <c r="C1691" t="s">
        <v>684</v>
      </c>
      <c r="D1691" t="s">
        <v>110</v>
      </c>
      <c r="E1691" t="s">
        <v>139</v>
      </c>
      <c r="F1691">
        <v>10</v>
      </c>
      <c r="G1691">
        <v>370</v>
      </c>
      <c r="H1691">
        <v>29</v>
      </c>
      <c r="I1691">
        <v>2627</v>
      </c>
      <c r="J1691" t="s">
        <v>87</v>
      </c>
      <c r="K1691" t="s">
        <v>99</v>
      </c>
      <c r="L1691" t="s">
        <v>99</v>
      </c>
      <c r="M1691" t="s">
        <v>2817</v>
      </c>
      <c r="N1691" t="s">
        <v>2855</v>
      </c>
      <c r="O1691">
        <v>288</v>
      </c>
      <c r="P1691">
        <v>370</v>
      </c>
    </row>
    <row r="1692" spans="1:16" x14ac:dyDescent="0.3">
      <c r="A1692" t="s">
        <v>2480</v>
      </c>
      <c r="B1692" s="45">
        <v>45635</v>
      </c>
      <c r="C1692" t="s">
        <v>1006</v>
      </c>
      <c r="D1692" t="s">
        <v>295</v>
      </c>
      <c r="E1692" t="s">
        <v>103</v>
      </c>
      <c r="F1692">
        <v>10</v>
      </c>
      <c r="G1692">
        <v>2030</v>
      </c>
      <c r="H1692">
        <v>29.2</v>
      </c>
      <c r="I1692">
        <v>14372.4</v>
      </c>
      <c r="J1692" t="s">
        <v>87</v>
      </c>
      <c r="K1692" t="s">
        <v>117</v>
      </c>
      <c r="L1692" t="s">
        <v>117</v>
      </c>
      <c r="M1692" t="s">
        <v>2817</v>
      </c>
      <c r="N1692" t="s">
        <v>2871</v>
      </c>
      <c r="O1692">
        <v>1143</v>
      </c>
      <c r="P1692">
        <v>2030</v>
      </c>
    </row>
    <row r="1693" spans="1:16" x14ac:dyDescent="0.3">
      <c r="A1693" t="s">
        <v>2487</v>
      </c>
      <c r="B1693" s="45">
        <v>45500</v>
      </c>
      <c r="C1693" t="s">
        <v>231</v>
      </c>
      <c r="D1693" t="s">
        <v>270</v>
      </c>
      <c r="E1693" t="s">
        <v>116</v>
      </c>
      <c r="F1693">
        <v>9</v>
      </c>
      <c r="G1693">
        <v>4610</v>
      </c>
      <c r="H1693">
        <v>10</v>
      </c>
      <c r="I1693">
        <v>37341</v>
      </c>
      <c r="J1693" t="s">
        <v>87</v>
      </c>
      <c r="K1693" t="s">
        <v>117</v>
      </c>
      <c r="L1693" t="s">
        <v>117</v>
      </c>
      <c r="M1693" t="s">
        <v>2817</v>
      </c>
      <c r="N1693" t="s">
        <v>2862</v>
      </c>
      <c r="O1693">
        <v>1850</v>
      </c>
      <c r="P1693">
        <v>4610</v>
      </c>
    </row>
    <row r="1694" spans="1:16" x14ac:dyDescent="0.3">
      <c r="A1694" t="s">
        <v>2490</v>
      </c>
      <c r="B1694" s="45">
        <v>45645</v>
      </c>
      <c r="C1694" t="s">
        <v>166</v>
      </c>
      <c r="D1694" t="s">
        <v>502</v>
      </c>
      <c r="E1694" t="s">
        <v>103</v>
      </c>
      <c r="F1694">
        <v>10</v>
      </c>
      <c r="G1694">
        <v>1090</v>
      </c>
      <c r="H1694">
        <v>29.2</v>
      </c>
      <c r="I1694">
        <v>7717.2</v>
      </c>
      <c r="J1694" t="s">
        <v>140</v>
      </c>
      <c r="K1694" t="s">
        <v>133</v>
      </c>
      <c r="L1694" t="s">
        <v>133</v>
      </c>
      <c r="M1694" t="s">
        <v>2817</v>
      </c>
      <c r="N1694" t="s">
        <v>2879</v>
      </c>
      <c r="O1694">
        <v>464</v>
      </c>
      <c r="P1694">
        <v>1090</v>
      </c>
    </row>
    <row r="1695" spans="1:16" x14ac:dyDescent="0.3">
      <c r="A1695" t="s">
        <v>2494</v>
      </c>
      <c r="B1695" s="45">
        <v>45477</v>
      </c>
      <c r="C1695" t="s">
        <v>142</v>
      </c>
      <c r="D1695" t="s">
        <v>295</v>
      </c>
      <c r="E1695" t="s">
        <v>229</v>
      </c>
      <c r="F1695">
        <v>7</v>
      </c>
      <c r="G1695">
        <v>2030</v>
      </c>
      <c r="H1695">
        <v>5.3</v>
      </c>
      <c r="I1695">
        <v>13456.87</v>
      </c>
      <c r="J1695" t="s">
        <v>140</v>
      </c>
      <c r="K1695" t="s">
        <v>88</v>
      </c>
      <c r="L1695" t="s">
        <v>88</v>
      </c>
      <c r="M1695" t="s">
        <v>2817</v>
      </c>
      <c r="N1695" t="s">
        <v>2879</v>
      </c>
      <c r="O1695">
        <v>1143</v>
      </c>
      <c r="P1695">
        <v>2030</v>
      </c>
    </row>
    <row r="1696" spans="1:16" x14ac:dyDescent="0.3">
      <c r="A1696" t="s">
        <v>2496</v>
      </c>
      <c r="B1696" s="45">
        <v>45292</v>
      </c>
      <c r="C1696" t="s">
        <v>163</v>
      </c>
      <c r="D1696" t="s">
        <v>226</v>
      </c>
      <c r="E1696" t="s">
        <v>188</v>
      </c>
      <c r="F1696">
        <v>6</v>
      </c>
      <c r="G1696">
        <v>3730</v>
      </c>
      <c r="H1696">
        <v>13.8</v>
      </c>
      <c r="I1696">
        <v>19291.560000000001</v>
      </c>
      <c r="J1696" t="s">
        <v>87</v>
      </c>
      <c r="K1696" t="s">
        <v>94</v>
      </c>
      <c r="L1696" t="s">
        <v>94</v>
      </c>
      <c r="M1696" t="s">
        <v>2817</v>
      </c>
      <c r="N1696" t="s">
        <v>2871</v>
      </c>
      <c r="O1696">
        <v>2135</v>
      </c>
      <c r="P1696">
        <v>3730</v>
      </c>
    </row>
    <row r="1697" spans="1:16" x14ac:dyDescent="0.3">
      <c r="A1697" t="s">
        <v>2500</v>
      </c>
      <c r="B1697" s="45">
        <v>45325</v>
      </c>
      <c r="C1697" t="s">
        <v>635</v>
      </c>
      <c r="D1697" t="s">
        <v>443</v>
      </c>
      <c r="E1697" t="s">
        <v>154</v>
      </c>
      <c r="F1697">
        <v>6</v>
      </c>
      <c r="G1697">
        <v>5080</v>
      </c>
      <c r="H1697">
        <v>28.1</v>
      </c>
      <c r="I1697">
        <v>21915.119999999999</v>
      </c>
      <c r="J1697" t="s">
        <v>87</v>
      </c>
      <c r="K1697" t="s">
        <v>99</v>
      </c>
      <c r="L1697" t="s">
        <v>99</v>
      </c>
      <c r="M1697" t="s">
        <v>2817</v>
      </c>
      <c r="N1697" t="s">
        <v>2879</v>
      </c>
      <c r="O1697">
        <v>2459</v>
      </c>
      <c r="P1697">
        <v>5080</v>
      </c>
    </row>
    <row r="1698" spans="1:16" x14ac:dyDescent="0.3">
      <c r="A1698" t="s">
        <v>95</v>
      </c>
      <c r="B1698" s="45">
        <v>45371</v>
      </c>
      <c r="C1698" t="s">
        <v>96</v>
      </c>
      <c r="D1698" t="s">
        <v>97</v>
      </c>
      <c r="E1698" t="s">
        <v>98</v>
      </c>
      <c r="F1698">
        <v>8</v>
      </c>
      <c r="G1698">
        <v>470</v>
      </c>
      <c r="H1698">
        <v>3.3</v>
      </c>
      <c r="I1698">
        <v>3635.92</v>
      </c>
      <c r="J1698" t="s">
        <v>93</v>
      </c>
      <c r="K1698" t="s">
        <v>99</v>
      </c>
      <c r="L1698" t="s">
        <v>99</v>
      </c>
      <c r="M1698" t="s">
        <v>2839</v>
      </c>
      <c r="N1698" t="s">
        <v>2862</v>
      </c>
      <c r="O1698">
        <v>302</v>
      </c>
      <c r="P1698">
        <v>470</v>
      </c>
    </row>
    <row r="1699" spans="1:16" x14ac:dyDescent="0.3">
      <c r="A1699" t="s">
        <v>113</v>
      </c>
      <c r="B1699" s="45">
        <v>45455</v>
      </c>
      <c r="C1699" t="s">
        <v>114</v>
      </c>
      <c r="D1699" t="s">
        <v>115</v>
      </c>
      <c r="E1699" t="s">
        <v>116</v>
      </c>
      <c r="F1699">
        <v>3</v>
      </c>
      <c r="G1699">
        <v>960</v>
      </c>
      <c r="H1699">
        <v>5.8</v>
      </c>
      <c r="I1699">
        <v>2712.96</v>
      </c>
      <c r="J1699" t="s">
        <v>87</v>
      </c>
      <c r="K1699" t="s">
        <v>117</v>
      </c>
      <c r="L1699" t="s">
        <v>117</v>
      </c>
      <c r="M1699" t="s">
        <v>2839</v>
      </c>
      <c r="N1699" t="s">
        <v>2879</v>
      </c>
      <c r="O1699">
        <v>705</v>
      </c>
      <c r="P1699">
        <v>960</v>
      </c>
    </row>
    <row r="1700" spans="1:16" x14ac:dyDescent="0.3">
      <c r="A1700" t="s">
        <v>145</v>
      </c>
      <c r="B1700" s="45">
        <v>45365</v>
      </c>
      <c r="C1700" t="s">
        <v>146</v>
      </c>
      <c r="D1700" t="s">
        <v>147</v>
      </c>
      <c r="E1700" t="s">
        <v>148</v>
      </c>
      <c r="F1700">
        <v>1</v>
      </c>
      <c r="G1700">
        <v>190</v>
      </c>
      <c r="H1700">
        <v>20.7</v>
      </c>
      <c r="I1700">
        <v>150.66999999999999</v>
      </c>
      <c r="J1700" t="s">
        <v>87</v>
      </c>
      <c r="K1700" t="s">
        <v>88</v>
      </c>
      <c r="L1700" t="s">
        <v>88</v>
      </c>
      <c r="M1700" t="s">
        <v>2839</v>
      </c>
      <c r="N1700" t="s">
        <v>2855</v>
      </c>
      <c r="O1700">
        <v>147</v>
      </c>
      <c r="P1700">
        <v>190</v>
      </c>
    </row>
    <row r="1701" spans="1:16" x14ac:dyDescent="0.3">
      <c r="A1701" t="s">
        <v>149</v>
      </c>
      <c r="B1701" s="45">
        <v>45546</v>
      </c>
      <c r="C1701" t="s">
        <v>150</v>
      </c>
      <c r="D1701" t="s">
        <v>151</v>
      </c>
      <c r="E1701" t="s">
        <v>98</v>
      </c>
      <c r="F1701">
        <v>7</v>
      </c>
      <c r="G1701">
        <v>2400</v>
      </c>
      <c r="H1701">
        <v>10.199999999999999</v>
      </c>
      <c r="I1701">
        <v>15086.4</v>
      </c>
      <c r="J1701" t="s">
        <v>93</v>
      </c>
      <c r="K1701" t="s">
        <v>88</v>
      </c>
      <c r="L1701" t="s">
        <v>88</v>
      </c>
      <c r="M1701" t="s">
        <v>2839</v>
      </c>
      <c r="N1701" t="s">
        <v>2862</v>
      </c>
      <c r="O1701">
        <v>974</v>
      </c>
      <c r="P1701">
        <v>2400</v>
      </c>
    </row>
    <row r="1702" spans="1:16" x14ac:dyDescent="0.3">
      <c r="A1702" t="s">
        <v>159</v>
      </c>
      <c r="B1702" s="45">
        <v>45626</v>
      </c>
      <c r="C1702" t="s">
        <v>160</v>
      </c>
      <c r="D1702" t="s">
        <v>161</v>
      </c>
      <c r="E1702" t="s">
        <v>154</v>
      </c>
      <c r="F1702">
        <v>5</v>
      </c>
      <c r="G1702">
        <v>3450</v>
      </c>
      <c r="H1702">
        <v>7.3</v>
      </c>
      <c r="I1702">
        <v>15990.75</v>
      </c>
      <c r="J1702" t="s">
        <v>87</v>
      </c>
      <c r="K1702" t="s">
        <v>112</v>
      </c>
      <c r="L1702" t="s">
        <v>112</v>
      </c>
      <c r="M1702" t="s">
        <v>2839</v>
      </c>
      <c r="N1702" t="s">
        <v>2871</v>
      </c>
      <c r="O1702">
        <v>2467</v>
      </c>
      <c r="P1702">
        <v>3450</v>
      </c>
    </row>
    <row r="1703" spans="1:16" x14ac:dyDescent="0.3">
      <c r="A1703" t="s">
        <v>180</v>
      </c>
      <c r="B1703" s="45">
        <v>45570</v>
      </c>
      <c r="C1703" t="s">
        <v>181</v>
      </c>
      <c r="D1703" t="s">
        <v>182</v>
      </c>
      <c r="E1703" t="s">
        <v>121</v>
      </c>
      <c r="F1703">
        <v>2</v>
      </c>
      <c r="G1703">
        <v>1010</v>
      </c>
      <c r="H1703">
        <v>16.5</v>
      </c>
      <c r="I1703">
        <v>1686.7</v>
      </c>
      <c r="J1703" t="s">
        <v>140</v>
      </c>
      <c r="K1703" t="s">
        <v>99</v>
      </c>
      <c r="L1703" t="s">
        <v>99</v>
      </c>
      <c r="M1703" t="s">
        <v>2839</v>
      </c>
      <c r="N1703" t="s">
        <v>2871</v>
      </c>
      <c r="O1703">
        <v>516</v>
      </c>
      <c r="P1703">
        <v>1010</v>
      </c>
    </row>
    <row r="1704" spans="1:16" x14ac:dyDescent="0.3">
      <c r="A1704" t="s">
        <v>193</v>
      </c>
      <c r="B1704" s="45">
        <v>45367</v>
      </c>
      <c r="C1704" t="s">
        <v>194</v>
      </c>
      <c r="D1704" t="s">
        <v>195</v>
      </c>
      <c r="E1704" t="s">
        <v>92</v>
      </c>
      <c r="F1704">
        <v>3</v>
      </c>
      <c r="G1704">
        <v>2860</v>
      </c>
      <c r="H1704">
        <v>25.8</v>
      </c>
      <c r="I1704">
        <v>6366.36</v>
      </c>
      <c r="J1704" t="s">
        <v>87</v>
      </c>
      <c r="K1704" t="s">
        <v>88</v>
      </c>
      <c r="L1704" t="s">
        <v>88</v>
      </c>
      <c r="M1704" t="s">
        <v>2839</v>
      </c>
      <c r="N1704" t="s">
        <v>2855</v>
      </c>
      <c r="O1704">
        <v>2028</v>
      </c>
      <c r="P1704">
        <v>2860</v>
      </c>
    </row>
    <row r="1705" spans="1:16" x14ac:dyDescent="0.3">
      <c r="A1705" t="s">
        <v>213</v>
      </c>
      <c r="B1705" s="45">
        <v>45478</v>
      </c>
      <c r="C1705" t="s">
        <v>214</v>
      </c>
      <c r="D1705" t="s">
        <v>147</v>
      </c>
      <c r="E1705" t="s">
        <v>215</v>
      </c>
      <c r="F1705">
        <v>7</v>
      </c>
      <c r="G1705">
        <v>190</v>
      </c>
      <c r="H1705">
        <v>28.7</v>
      </c>
      <c r="I1705">
        <v>948.29</v>
      </c>
      <c r="J1705" t="s">
        <v>87</v>
      </c>
      <c r="K1705" t="s">
        <v>117</v>
      </c>
      <c r="L1705" t="s">
        <v>117</v>
      </c>
      <c r="M1705" t="s">
        <v>2839</v>
      </c>
      <c r="N1705" t="s">
        <v>2855</v>
      </c>
      <c r="O1705">
        <v>147</v>
      </c>
      <c r="P1705">
        <v>190</v>
      </c>
    </row>
    <row r="1706" spans="1:16" x14ac:dyDescent="0.3">
      <c r="A1706" t="s">
        <v>216</v>
      </c>
      <c r="B1706" s="45">
        <v>45355</v>
      </c>
      <c r="C1706" t="s">
        <v>217</v>
      </c>
      <c r="D1706" t="s">
        <v>151</v>
      </c>
      <c r="E1706" t="s">
        <v>188</v>
      </c>
      <c r="F1706">
        <v>6</v>
      </c>
      <c r="G1706">
        <v>2400</v>
      </c>
      <c r="H1706">
        <v>2.7</v>
      </c>
      <c r="I1706">
        <v>14011.2</v>
      </c>
      <c r="J1706" t="s">
        <v>87</v>
      </c>
      <c r="K1706" t="s">
        <v>94</v>
      </c>
      <c r="L1706" t="s">
        <v>94</v>
      </c>
      <c r="M1706" t="s">
        <v>2839</v>
      </c>
      <c r="N1706" t="s">
        <v>2862</v>
      </c>
      <c r="O1706">
        <v>974</v>
      </c>
      <c r="P1706">
        <v>2400</v>
      </c>
    </row>
    <row r="1707" spans="1:16" x14ac:dyDescent="0.3">
      <c r="A1707" t="s">
        <v>327</v>
      </c>
      <c r="B1707" s="45">
        <v>45600</v>
      </c>
      <c r="C1707" t="s">
        <v>328</v>
      </c>
      <c r="D1707" t="s">
        <v>97</v>
      </c>
      <c r="E1707" t="s">
        <v>201</v>
      </c>
      <c r="F1707">
        <v>2</v>
      </c>
      <c r="G1707">
        <v>470</v>
      </c>
      <c r="H1707">
        <v>5.4</v>
      </c>
      <c r="I1707">
        <v>889.24</v>
      </c>
      <c r="J1707" t="s">
        <v>87</v>
      </c>
      <c r="K1707" t="s">
        <v>94</v>
      </c>
      <c r="L1707" t="s">
        <v>94</v>
      </c>
      <c r="M1707" t="s">
        <v>2839</v>
      </c>
      <c r="N1707" t="s">
        <v>2879</v>
      </c>
      <c r="O1707">
        <v>302</v>
      </c>
      <c r="P1707">
        <v>470</v>
      </c>
    </row>
    <row r="1708" spans="1:16" x14ac:dyDescent="0.3">
      <c r="A1708" t="s">
        <v>339</v>
      </c>
      <c r="B1708" s="45">
        <v>45648</v>
      </c>
      <c r="C1708" t="s">
        <v>340</v>
      </c>
      <c r="D1708" t="s">
        <v>147</v>
      </c>
      <c r="E1708" t="s">
        <v>201</v>
      </c>
      <c r="F1708">
        <v>6</v>
      </c>
      <c r="G1708">
        <v>190</v>
      </c>
      <c r="H1708">
        <v>19.2</v>
      </c>
      <c r="I1708">
        <v>921.12</v>
      </c>
      <c r="J1708" t="s">
        <v>87</v>
      </c>
      <c r="K1708" t="s">
        <v>88</v>
      </c>
      <c r="L1708" t="s">
        <v>88</v>
      </c>
      <c r="M1708" t="s">
        <v>2839</v>
      </c>
      <c r="N1708" t="s">
        <v>2879</v>
      </c>
      <c r="O1708">
        <v>147</v>
      </c>
      <c r="P1708">
        <v>190</v>
      </c>
    </row>
    <row r="1709" spans="1:16" x14ac:dyDescent="0.3">
      <c r="A1709" t="s">
        <v>344</v>
      </c>
      <c r="B1709" s="45">
        <v>45414</v>
      </c>
      <c r="C1709" t="s">
        <v>345</v>
      </c>
      <c r="D1709" t="s">
        <v>182</v>
      </c>
      <c r="E1709" t="s">
        <v>346</v>
      </c>
      <c r="F1709">
        <v>5</v>
      </c>
      <c r="G1709">
        <v>1010</v>
      </c>
      <c r="H1709">
        <v>1.6</v>
      </c>
      <c r="I1709">
        <v>4969.2</v>
      </c>
      <c r="J1709" t="s">
        <v>87</v>
      </c>
      <c r="K1709" t="s">
        <v>94</v>
      </c>
      <c r="L1709" t="s">
        <v>94</v>
      </c>
      <c r="M1709" t="s">
        <v>2839</v>
      </c>
      <c r="N1709" t="s">
        <v>2862</v>
      </c>
      <c r="O1709">
        <v>516</v>
      </c>
      <c r="P1709">
        <v>1010</v>
      </c>
    </row>
    <row r="1710" spans="1:16" x14ac:dyDescent="0.3">
      <c r="A1710" t="s">
        <v>358</v>
      </c>
      <c r="B1710" s="45">
        <v>45329</v>
      </c>
      <c r="C1710" t="s">
        <v>359</v>
      </c>
      <c r="D1710" t="s">
        <v>360</v>
      </c>
      <c r="E1710" t="s">
        <v>92</v>
      </c>
      <c r="F1710">
        <v>4</v>
      </c>
      <c r="G1710">
        <v>5410</v>
      </c>
      <c r="H1710">
        <v>9.8000000000000007</v>
      </c>
      <c r="I1710">
        <v>19519.28</v>
      </c>
      <c r="J1710" t="s">
        <v>140</v>
      </c>
      <c r="K1710" t="s">
        <v>99</v>
      </c>
      <c r="L1710" t="s">
        <v>99</v>
      </c>
      <c r="M1710" t="s">
        <v>2839</v>
      </c>
      <c r="N1710" t="s">
        <v>2855</v>
      </c>
      <c r="O1710">
        <v>2265</v>
      </c>
      <c r="P1710">
        <v>5410</v>
      </c>
    </row>
    <row r="1711" spans="1:16" x14ac:dyDescent="0.3">
      <c r="A1711" t="s">
        <v>368</v>
      </c>
      <c r="B1711" s="45">
        <v>45322</v>
      </c>
      <c r="C1711" t="s">
        <v>369</v>
      </c>
      <c r="D1711" t="s">
        <v>182</v>
      </c>
      <c r="E1711" t="s">
        <v>343</v>
      </c>
      <c r="F1711">
        <v>1</v>
      </c>
      <c r="G1711">
        <v>1010</v>
      </c>
      <c r="H1711">
        <v>19.5</v>
      </c>
      <c r="I1711">
        <v>813.05</v>
      </c>
      <c r="J1711" t="s">
        <v>140</v>
      </c>
      <c r="K1711" t="s">
        <v>94</v>
      </c>
      <c r="L1711" t="s">
        <v>94</v>
      </c>
      <c r="M1711" t="s">
        <v>2839</v>
      </c>
      <c r="N1711" t="s">
        <v>2879</v>
      </c>
      <c r="O1711">
        <v>516</v>
      </c>
      <c r="P1711">
        <v>1010</v>
      </c>
    </row>
    <row r="1712" spans="1:16" x14ac:dyDescent="0.3">
      <c r="A1712" t="s">
        <v>400</v>
      </c>
      <c r="B1712" s="45">
        <v>45360</v>
      </c>
      <c r="C1712" t="s">
        <v>401</v>
      </c>
      <c r="D1712" t="s">
        <v>115</v>
      </c>
      <c r="E1712" t="s">
        <v>107</v>
      </c>
      <c r="F1712">
        <v>8</v>
      </c>
      <c r="G1712">
        <v>960</v>
      </c>
      <c r="H1712">
        <v>27.9</v>
      </c>
      <c r="I1712">
        <v>5537.28</v>
      </c>
      <c r="J1712" t="s">
        <v>87</v>
      </c>
      <c r="K1712" t="s">
        <v>94</v>
      </c>
      <c r="L1712" t="s">
        <v>94</v>
      </c>
      <c r="M1712" t="s">
        <v>2839</v>
      </c>
      <c r="N1712" t="s">
        <v>2855</v>
      </c>
      <c r="O1712">
        <v>705</v>
      </c>
      <c r="P1712">
        <v>960</v>
      </c>
    </row>
    <row r="1713" spans="1:16" x14ac:dyDescent="0.3">
      <c r="A1713" t="s">
        <v>428</v>
      </c>
      <c r="B1713" s="45">
        <v>45425</v>
      </c>
      <c r="C1713" t="s">
        <v>429</v>
      </c>
      <c r="D1713" t="s">
        <v>147</v>
      </c>
      <c r="E1713" t="s">
        <v>204</v>
      </c>
      <c r="F1713">
        <v>5</v>
      </c>
      <c r="G1713">
        <v>190</v>
      </c>
      <c r="H1713">
        <v>14.8</v>
      </c>
      <c r="I1713">
        <v>809.4</v>
      </c>
      <c r="J1713" t="s">
        <v>87</v>
      </c>
      <c r="K1713" t="s">
        <v>117</v>
      </c>
      <c r="L1713" t="s">
        <v>117</v>
      </c>
      <c r="M1713" t="s">
        <v>2839</v>
      </c>
      <c r="N1713" t="s">
        <v>2862</v>
      </c>
      <c r="O1713">
        <v>147</v>
      </c>
      <c r="P1713">
        <v>190</v>
      </c>
    </row>
    <row r="1714" spans="1:16" x14ac:dyDescent="0.3">
      <c r="A1714" t="s">
        <v>432</v>
      </c>
      <c r="B1714" s="45">
        <v>45328</v>
      </c>
      <c r="C1714" t="s">
        <v>166</v>
      </c>
      <c r="D1714" t="s">
        <v>360</v>
      </c>
      <c r="E1714" t="s">
        <v>215</v>
      </c>
      <c r="F1714">
        <v>8</v>
      </c>
      <c r="G1714">
        <v>5410</v>
      </c>
      <c r="H1714">
        <v>12.9</v>
      </c>
      <c r="I1714">
        <v>37696.879999999997</v>
      </c>
      <c r="J1714" t="s">
        <v>87</v>
      </c>
      <c r="K1714" t="s">
        <v>133</v>
      </c>
      <c r="L1714" t="s">
        <v>133</v>
      </c>
      <c r="M1714" t="s">
        <v>2839</v>
      </c>
      <c r="N1714" t="s">
        <v>2855</v>
      </c>
      <c r="O1714">
        <v>2265</v>
      </c>
      <c r="P1714">
        <v>5410</v>
      </c>
    </row>
    <row r="1715" spans="1:16" x14ac:dyDescent="0.3">
      <c r="A1715" t="s">
        <v>459</v>
      </c>
      <c r="B1715" s="45">
        <v>45601</v>
      </c>
      <c r="C1715" t="s">
        <v>460</v>
      </c>
      <c r="D1715" t="s">
        <v>461</v>
      </c>
      <c r="E1715" t="s">
        <v>285</v>
      </c>
      <c r="F1715">
        <v>4</v>
      </c>
      <c r="G1715">
        <v>3780</v>
      </c>
      <c r="H1715">
        <v>3.5</v>
      </c>
      <c r="I1715">
        <v>14590.8</v>
      </c>
      <c r="J1715" t="s">
        <v>140</v>
      </c>
      <c r="K1715" t="s">
        <v>88</v>
      </c>
      <c r="L1715" t="s">
        <v>88</v>
      </c>
      <c r="M1715" t="s">
        <v>2839</v>
      </c>
      <c r="N1715" t="s">
        <v>2871</v>
      </c>
      <c r="O1715">
        <v>1860</v>
      </c>
      <c r="P1715">
        <v>3780</v>
      </c>
    </row>
    <row r="1716" spans="1:16" x14ac:dyDescent="0.3">
      <c r="A1716" t="s">
        <v>476</v>
      </c>
      <c r="B1716" s="45">
        <v>45457</v>
      </c>
      <c r="C1716" t="s">
        <v>175</v>
      </c>
      <c r="D1716" t="s">
        <v>97</v>
      </c>
      <c r="E1716" t="s">
        <v>346</v>
      </c>
      <c r="F1716">
        <v>1</v>
      </c>
      <c r="G1716">
        <v>470</v>
      </c>
      <c r="H1716">
        <v>13.7</v>
      </c>
      <c r="I1716">
        <v>405.61</v>
      </c>
      <c r="J1716" t="s">
        <v>93</v>
      </c>
      <c r="K1716" t="s">
        <v>133</v>
      </c>
      <c r="L1716" t="s">
        <v>133</v>
      </c>
      <c r="M1716" t="s">
        <v>2839</v>
      </c>
      <c r="N1716" t="s">
        <v>2862</v>
      </c>
      <c r="O1716">
        <v>302</v>
      </c>
      <c r="P1716">
        <v>470</v>
      </c>
    </row>
    <row r="1717" spans="1:16" x14ac:dyDescent="0.3">
      <c r="A1717" t="s">
        <v>486</v>
      </c>
      <c r="B1717" s="45">
        <v>45546</v>
      </c>
      <c r="C1717" t="s">
        <v>487</v>
      </c>
      <c r="D1717" t="s">
        <v>97</v>
      </c>
      <c r="E1717" t="s">
        <v>303</v>
      </c>
      <c r="F1717">
        <v>9</v>
      </c>
      <c r="G1717">
        <v>470</v>
      </c>
      <c r="H1717">
        <v>23.6</v>
      </c>
      <c r="I1717">
        <v>3231.72</v>
      </c>
      <c r="J1717" t="s">
        <v>87</v>
      </c>
      <c r="K1717" t="s">
        <v>88</v>
      </c>
      <c r="L1717" t="s">
        <v>88</v>
      </c>
      <c r="M1717" t="s">
        <v>2839</v>
      </c>
      <c r="N1717" t="s">
        <v>2871</v>
      </c>
      <c r="O1717">
        <v>302</v>
      </c>
      <c r="P1717">
        <v>470</v>
      </c>
    </row>
    <row r="1718" spans="1:16" x14ac:dyDescent="0.3">
      <c r="A1718" t="s">
        <v>514</v>
      </c>
      <c r="B1718" s="45">
        <v>45617</v>
      </c>
      <c r="C1718" t="s">
        <v>153</v>
      </c>
      <c r="D1718" t="s">
        <v>515</v>
      </c>
      <c r="E1718" t="s">
        <v>170</v>
      </c>
      <c r="F1718">
        <v>7</v>
      </c>
      <c r="G1718">
        <v>6940</v>
      </c>
      <c r="H1718">
        <v>8.5</v>
      </c>
      <c r="I1718">
        <v>44450.7</v>
      </c>
      <c r="J1718" t="s">
        <v>87</v>
      </c>
      <c r="K1718" t="s">
        <v>117</v>
      </c>
      <c r="L1718" t="s">
        <v>117</v>
      </c>
      <c r="M1718" t="s">
        <v>2839</v>
      </c>
      <c r="N1718" t="s">
        <v>2879</v>
      </c>
      <c r="O1718">
        <v>2827</v>
      </c>
      <c r="P1718">
        <v>6940</v>
      </c>
    </row>
    <row r="1719" spans="1:16" x14ac:dyDescent="0.3">
      <c r="A1719" t="s">
        <v>519</v>
      </c>
      <c r="B1719" s="45">
        <v>45320</v>
      </c>
      <c r="C1719" t="s">
        <v>520</v>
      </c>
      <c r="D1719" t="s">
        <v>147</v>
      </c>
      <c r="E1719" t="s">
        <v>285</v>
      </c>
      <c r="F1719">
        <v>4</v>
      </c>
      <c r="G1719">
        <v>190</v>
      </c>
      <c r="H1719">
        <v>21.5</v>
      </c>
      <c r="I1719">
        <v>596.6</v>
      </c>
      <c r="J1719" t="s">
        <v>87</v>
      </c>
      <c r="K1719" t="s">
        <v>112</v>
      </c>
      <c r="L1719" t="s">
        <v>112</v>
      </c>
      <c r="M1719" t="s">
        <v>2839</v>
      </c>
      <c r="N1719" t="s">
        <v>2871</v>
      </c>
      <c r="O1719">
        <v>147</v>
      </c>
      <c r="P1719">
        <v>190</v>
      </c>
    </row>
    <row r="1720" spans="1:16" x14ac:dyDescent="0.3">
      <c r="A1720" t="s">
        <v>521</v>
      </c>
      <c r="B1720" s="45">
        <v>45355</v>
      </c>
      <c r="C1720" t="s">
        <v>522</v>
      </c>
      <c r="D1720" t="s">
        <v>195</v>
      </c>
      <c r="E1720" t="s">
        <v>98</v>
      </c>
      <c r="F1720">
        <v>1</v>
      </c>
      <c r="G1720">
        <v>2860</v>
      </c>
      <c r="H1720">
        <v>15.3</v>
      </c>
      <c r="I1720">
        <v>2422.42</v>
      </c>
      <c r="J1720" t="s">
        <v>87</v>
      </c>
      <c r="K1720" t="s">
        <v>99</v>
      </c>
      <c r="L1720" t="s">
        <v>99</v>
      </c>
      <c r="M1720" t="s">
        <v>2839</v>
      </c>
      <c r="N1720" t="s">
        <v>2862</v>
      </c>
      <c r="O1720">
        <v>2028</v>
      </c>
      <c r="P1720">
        <v>2860</v>
      </c>
    </row>
    <row r="1721" spans="1:16" x14ac:dyDescent="0.3">
      <c r="A1721" t="s">
        <v>542</v>
      </c>
      <c r="B1721" s="45">
        <v>45374</v>
      </c>
      <c r="C1721" t="s">
        <v>388</v>
      </c>
      <c r="D1721" t="s">
        <v>115</v>
      </c>
      <c r="E1721" t="s">
        <v>121</v>
      </c>
      <c r="F1721">
        <v>2</v>
      </c>
      <c r="G1721">
        <v>960</v>
      </c>
      <c r="H1721">
        <v>2.2000000000000002</v>
      </c>
      <c r="I1721">
        <v>1877.76</v>
      </c>
      <c r="J1721" t="s">
        <v>87</v>
      </c>
      <c r="K1721" t="s">
        <v>133</v>
      </c>
      <c r="L1721" t="s">
        <v>133</v>
      </c>
      <c r="M1721" t="s">
        <v>2839</v>
      </c>
      <c r="N1721" t="s">
        <v>2871</v>
      </c>
      <c r="O1721">
        <v>705</v>
      </c>
      <c r="P1721">
        <v>960</v>
      </c>
    </row>
    <row r="1722" spans="1:16" x14ac:dyDescent="0.3">
      <c r="A1722" t="s">
        <v>575</v>
      </c>
      <c r="B1722" s="45">
        <v>45498</v>
      </c>
      <c r="C1722" t="s">
        <v>289</v>
      </c>
      <c r="D1722" t="s">
        <v>182</v>
      </c>
      <c r="E1722" t="s">
        <v>111</v>
      </c>
      <c r="F1722">
        <v>1</v>
      </c>
      <c r="G1722">
        <v>1010</v>
      </c>
      <c r="H1722">
        <v>29.9</v>
      </c>
      <c r="I1722">
        <v>708.01</v>
      </c>
      <c r="J1722" t="s">
        <v>87</v>
      </c>
      <c r="K1722" t="s">
        <v>94</v>
      </c>
      <c r="L1722" t="s">
        <v>94</v>
      </c>
      <c r="M1722" t="s">
        <v>2839</v>
      </c>
      <c r="N1722" t="s">
        <v>2879</v>
      </c>
      <c r="O1722">
        <v>516</v>
      </c>
      <c r="P1722">
        <v>1010</v>
      </c>
    </row>
    <row r="1723" spans="1:16" x14ac:dyDescent="0.3">
      <c r="A1723" t="s">
        <v>576</v>
      </c>
      <c r="B1723" s="45">
        <v>45643</v>
      </c>
      <c r="C1723" t="s">
        <v>312</v>
      </c>
      <c r="D1723" t="s">
        <v>515</v>
      </c>
      <c r="E1723" t="s">
        <v>229</v>
      </c>
      <c r="F1723">
        <v>7</v>
      </c>
      <c r="G1723">
        <v>6940</v>
      </c>
      <c r="H1723">
        <v>25.8</v>
      </c>
      <c r="I1723">
        <v>36046.36</v>
      </c>
      <c r="J1723" t="s">
        <v>87</v>
      </c>
      <c r="K1723" t="s">
        <v>133</v>
      </c>
      <c r="L1723" t="s">
        <v>133</v>
      </c>
      <c r="M1723" t="s">
        <v>2839</v>
      </c>
      <c r="N1723" t="s">
        <v>2879</v>
      </c>
      <c r="O1723">
        <v>2827</v>
      </c>
      <c r="P1723">
        <v>6940</v>
      </c>
    </row>
    <row r="1724" spans="1:16" x14ac:dyDescent="0.3">
      <c r="A1724" t="s">
        <v>588</v>
      </c>
      <c r="B1724" s="45">
        <v>45326</v>
      </c>
      <c r="C1724" t="s">
        <v>589</v>
      </c>
      <c r="D1724" t="s">
        <v>195</v>
      </c>
      <c r="E1724" t="s">
        <v>343</v>
      </c>
      <c r="F1724">
        <v>3</v>
      </c>
      <c r="G1724">
        <v>2860</v>
      </c>
      <c r="H1724">
        <v>20.100000000000001</v>
      </c>
      <c r="I1724">
        <v>6855.42</v>
      </c>
      <c r="J1724" t="s">
        <v>87</v>
      </c>
      <c r="K1724" t="s">
        <v>94</v>
      </c>
      <c r="L1724" t="s">
        <v>94</v>
      </c>
      <c r="M1724" t="s">
        <v>2839</v>
      </c>
      <c r="N1724" t="s">
        <v>2879</v>
      </c>
      <c r="O1724">
        <v>2028</v>
      </c>
      <c r="P1724">
        <v>2860</v>
      </c>
    </row>
    <row r="1725" spans="1:16" x14ac:dyDescent="0.3">
      <c r="A1725" t="s">
        <v>596</v>
      </c>
      <c r="B1725" s="45">
        <v>45585</v>
      </c>
      <c r="C1725" t="s">
        <v>597</v>
      </c>
      <c r="D1725" t="s">
        <v>182</v>
      </c>
      <c r="E1725" t="s">
        <v>252</v>
      </c>
      <c r="F1725">
        <v>4</v>
      </c>
      <c r="G1725">
        <v>1010</v>
      </c>
      <c r="H1725">
        <v>29.5</v>
      </c>
      <c r="I1725">
        <v>2848.2</v>
      </c>
      <c r="J1725" t="s">
        <v>93</v>
      </c>
      <c r="K1725" t="s">
        <v>112</v>
      </c>
      <c r="L1725" t="s">
        <v>112</v>
      </c>
      <c r="M1725" t="s">
        <v>2839</v>
      </c>
      <c r="N1725" t="s">
        <v>2862</v>
      </c>
      <c r="O1725">
        <v>516</v>
      </c>
      <c r="P1725">
        <v>1010</v>
      </c>
    </row>
    <row r="1726" spans="1:16" x14ac:dyDescent="0.3">
      <c r="A1726" t="s">
        <v>612</v>
      </c>
      <c r="B1726" s="45">
        <v>45595</v>
      </c>
      <c r="C1726" t="s">
        <v>613</v>
      </c>
      <c r="D1726" t="s">
        <v>115</v>
      </c>
      <c r="E1726" t="s">
        <v>139</v>
      </c>
      <c r="F1726">
        <v>1</v>
      </c>
      <c r="G1726">
        <v>960</v>
      </c>
      <c r="H1726">
        <v>29.2</v>
      </c>
      <c r="I1726">
        <v>679.68</v>
      </c>
      <c r="J1726" t="s">
        <v>87</v>
      </c>
      <c r="K1726" t="s">
        <v>112</v>
      </c>
      <c r="L1726" t="s">
        <v>112</v>
      </c>
      <c r="M1726" t="s">
        <v>2839</v>
      </c>
      <c r="N1726" t="s">
        <v>2855</v>
      </c>
      <c r="O1726">
        <v>705</v>
      </c>
      <c r="P1726">
        <v>960</v>
      </c>
    </row>
    <row r="1727" spans="1:16" x14ac:dyDescent="0.3">
      <c r="A1727" t="s">
        <v>622</v>
      </c>
      <c r="B1727" s="45">
        <v>45522</v>
      </c>
      <c r="C1727" t="s">
        <v>305</v>
      </c>
      <c r="D1727" t="s">
        <v>151</v>
      </c>
      <c r="E1727" t="s">
        <v>204</v>
      </c>
      <c r="F1727">
        <v>4</v>
      </c>
      <c r="G1727">
        <v>2400</v>
      </c>
      <c r="H1727">
        <v>5.6</v>
      </c>
      <c r="I1727">
        <v>9062.4</v>
      </c>
      <c r="J1727" t="s">
        <v>87</v>
      </c>
      <c r="K1727" t="s">
        <v>133</v>
      </c>
      <c r="L1727" t="s">
        <v>133</v>
      </c>
      <c r="M1727" t="s">
        <v>2839</v>
      </c>
      <c r="N1727" t="s">
        <v>2862</v>
      </c>
      <c r="O1727">
        <v>974</v>
      </c>
      <c r="P1727">
        <v>2400</v>
      </c>
    </row>
    <row r="1728" spans="1:16" x14ac:dyDescent="0.3">
      <c r="A1728" t="s">
        <v>660</v>
      </c>
      <c r="B1728" s="45">
        <v>45389</v>
      </c>
      <c r="C1728" t="s">
        <v>604</v>
      </c>
      <c r="D1728" t="s">
        <v>182</v>
      </c>
      <c r="E1728" t="s">
        <v>170</v>
      </c>
      <c r="F1728">
        <v>10</v>
      </c>
      <c r="G1728">
        <v>1010</v>
      </c>
      <c r="H1728">
        <v>10.8</v>
      </c>
      <c r="I1728">
        <v>9009.2000000000007</v>
      </c>
      <c r="J1728" t="s">
        <v>87</v>
      </c>
      <c r="K1728" t="s">
        <v>117</v>
      </c>
      <c r="L1728" t="s">
        <v>117</v>
      </c>
      <c r="M1728" t="s">
        <v>2839</v>
      </c>
      <c r="N1728" t="s">
        <v>2879</v>
      </c>
      <c r="O1728">
        <v>516</v>
      </c>
      <c r="P1728">
        <v>1010</v>
      </c>
    </row>
    <row r="1729" spans="1:16" x14ac:dyDescent="0.3">
      <c r="A1729" t="s">
        <v>661</v>
      </c>
      <c r="B1729" s="45">
        <v>45619</v>
      </c>
      <c r="C1729" t="s">
        <v>662</v>
      </c>
      <c r="D1729" t="s">
        <v>515</v>
      </c>
      <c r="E1729" t="s">
        <v>103</v>
      </c>
      <c r="F1729">
        <v>8</v>
      </c>
      <c r="G1729">
        <v>6940</v>
      </c>
      <c r="H1729">
        <v>3.2</v>
      </c>
      <c r="I1729">
        <v>53743.360000000001</v>
      </c>
      <c r="J1729" t="s">
        <v>140</v>
      </c>
      <c r="K1729" t="s">
        <v>94</v>
      </c>
      <c r="L1729" t="s">
        <v>94</v>
      </c>
      <c r="M1729" t="s">
        <v>2839</v>
      </c>
      <c r="N1729" t="s">
        <v>2855</v>
      </c>
      <c r="O1729">
        <v>2827</v>
      </c>
      <c r="P1729">
        <v>6940</v>
      </c>
    </row>
    <row r="1730" spans="1:16" x14ac:dyDescent="0.3">
      <c r="A1730" t="s">
        <v>666</v>
      </c>
      <c r="B1730" s="45">
        <v>45405</v>
      </c>
      <c r="C1730" t="s">
        <v>223</v>
      </c>
      <c r="D1730" t="s">
        <v>461</v>
      </c>
      <c r="E1730" t="s">
        <v>111</v>
      </c>
      <c r="F1730">
        <v>8</v>
      </c>
      <c r="G1730">
        <v>3780</v>
      </c>
      <c r="H1730">
        <v>13</v>
      </c>
      <c r="I1730">
        <v>26308.799999999999</v>
      </c>
      <c r="J1730" t="s">
        <v>87</v>
      </c>
      <c r="K1730" t="s">
        <v>99</v>
      </c>
      <c r="L1730" t="s">
        <v>99</v>
      </c>
      <c r="M1730" t="s">
        <v>2839</v>
      </c>
      <c r="N1730" t="s">
        <v>2879</v>
      </c>
      <c r="O1730">
        <v>1860</v>
      </c>
      <c r="P1730">
        <v>3780</v>
      </c>
    </row>
    <row r="1731" spans="1:16" x14ac:dyDescent="0.3">
      <c r="A1731" t="s">
        <v>674</v>
      </c>
      <c r="B1731" s="45">
        <v>45415</v>
      </c>
      <c r="C1731" t="s">
        <v>169</v>
      </c>
      <c r="D1731" t="s">
        <v>461</v>
      </c>
      <c r="E1731" t="s">
        <v>192</v>
      </c>
      <c r="F1731">
        <v>6</v>
      </c>
      <c r="G1731">
        <v>3780</v>
      </c>
      <c r="H1731">
        <v>20.9</v>
      </c>
      <c r="I1731">
        <v>17939.88</v>
      </c>
      <c r="J1731" t="s">
        <v>144</v>
      </c>
      <c r="K1731" t="s">
        <v>112</v>
      </c>
      <c r="L1731" t="s">
        <v>112</v>
      </c>
      <c r="M1731" t="s">
        <v>2839</v>
      </c>
      <c r="N1731" t="s">
        <v>2871</v>
      </c>
      <c r="O1731">
        <v>1860</v>
      </c>
      <c r="P1731">
        <v>3780</v>
      </c>
    </row>
    <row r="1732" spans="1:16" x14ac:dyDescent="0.3">
      <c r="A1732" t="s">
        <v>695</v>
      </c>
      <c r="B1732" s="45">
        <v>45592</v>
      </c>
      <c r="C1732" t="s">
        <v>210</v>
      </c>
      <c r="D1732" t="s">
        <v>182</v>
      </c>
      <c r="E1732" t="s">
        <v>252</v>
      </c>
      <c r="F1732">
        <v>6</v>
      </c>
      <c r="G1732">
        <v>1010</v>
      </c>
      <c r="H1732">
        <v>12.9</v>
      </c>
      <c r="I1732">
        <v>5278.26</v>
      </c>
      <c r="J1732" t="s">
        <v>87</v>
      </c>
      <c r="K1732" t="s">
        <v>99</v>
      </c>
      <c r="L1732" t="s">
        <v>99</v>
      </c>
      <c r="M1732" t="s">
        <v>2839</v>
      </c>
      <c r="N1732" t="s">
        <v>2862</v>
      </c>
      <c r="O1732">
        <v>516</v>
      </c>
      <c r="P1732">
        <v>1010</v>
      </c>
    </row>
    <row r="1733" spans="1:16" x14ac:dyDescent="0.3">
      <c r="A1733" t="s">
        <v>702</v>
      </c>
      <c r="B1733" s="45">
        <v>45500</v>
      </c>
      <c r="C1733" t="s">
        <v>703</v>
      </c>
      <c r="D1733" t="s">
        <v>151</v>
      </c>
      <c r="E1733" t="s">
        <v>325</v>
      </c>
      <c r="F1733">
        <v>2</v>
      </c>
      <c r="G1733">
        <v>2400</v>
      </c>
      <c r="H1733">
        <v>13</v>
      </c>
      <c r="I1733">
        <v>4176</v>
      </c>
      <c r="J1733" t="s">
        <v>87</v>
      </c>
      <c r="K1733" t="s">
        <v>88</v>
      </c>
      <c r="L1733" t="s">
        <v>88</v>
      </c>
      <c r="M1733" t="s">
        <v>2839</v>
      </c>
      <c r="N1733" t="s">
        <v>2862</v>
      </c>
      <c r="O1733">
        <v>974</v>
      </c>
      <c r="P1733">
        <v>2400</v>
      </c>
    </row>
    <row r="1734" spans="1:16" x14ac:dyDescent="0.3">
      <c r="A1734" t="s">
        <v>704</v>
      </c>
      <c r="B1734" s="45">
        <v>45407</v>
      </c>
      <c r="C1734" t="s">
        <v>705</v>
      </c>
      <c r="D1734" t="s">
        <v>515</v>
      </c>
      <c r="E1734" t="s">
        <v>103</v>
      </c>
      <c r="F1734">
        <v>9</v>
      </c>
      <c r="G1734">
        <v>6940</v>
      </c>
      <c r="H1734">
        <v>26.2</v>
      </c>
      <c r="I1734">
        <v>46095.48</v>
      </c>
      <c r="J1734" t="s">
        <v>87</v>
      </c>
      <c r="K1734" t="s">
        <v>99</v>
      </c>
      <c r="L1734" t="s">
        <v>99</v>
      </c>
      <c r="M1734" t="s">
        <v>2839</v>
      </c>
      <c r="N1734" t="s">
        <v>2855</v>
      </c>
      <c r="O1734">
        <v>2827</v>
      </c>
      <c r="P1734">
        <v>6940</v>
      </c>
    </row>
    <row r="1735" spans="1:16" x14ac:dyDescent="0.3">
      <c r="A1735" t="s">
        <v>730</v>
      </c>
      <c r="B1735" s="45">
        <v>45600</v>
      </c>
      <c r="C1735" t="s">
        <v>673</v>
      </c>
      <c r="D1735" t="s">
        <v>182</v>
      </c>
      <c r="E1735" t="s">
        <v>188</v>
      </c>
      <c r="F1735">
        <v>2</v>
      </c>
      <c r="G1735">
        <v>1010</v>
      </c>
      <c r="H1735">
        <v>29.2</v>
      </c>
      <c r="I1735">
        <v>1430.16</v>
      </c>
      <c r="J1735" t="s">
        <v>87</v>
      </c>
      <c r="K1735" t="s">
        <v>112</v>
      </c>
      <c r="L1735" t="s">
        <v>112</v>
      </c>
      <c r="M1735" t="s">
        <v>2839</v>
      </c>
      <c r="N1735" t="s">
        <v>2862</v>
      </c>
      <c r="O1735">
        <v>516</v>
      </c>
      <c r="P1735">
        <v>1010</v>
      </c>
    </row>
    <row r="1736" spans="1:16" x14ac:dyDescent="0.3">
      <c r="A1736" t="s">
        <v>732</v>
      </c>
      <c r="B1736" s="45">
        <v>45414</v>
      </c>
      <c r="C1736" t="s">
        <v>413</v>
      </c>
      <c r="D1736" t="s">
        <v>161</v>
      </c>
      <c r="E1736" t="s">
        <v>132</v>
      </c>
      <c r="F1736">
        <v>8</v>
      </c>
      <c r="G1736">
        <v>3450</v>
      </c>
      <c r="H1736">
        <v>20.399999999999999</v>
      </c>
      <c r="I1736">
        <v>21969.599999999999</v>
      </c>
      <c r="J1736" t="s">
        <v>87</v>
      </c>
      <c r="K1736" t="s">
        <v>88</v>
      </c>
      <c r="L1736" t="s">
        <v>88</v>
      </c>
      <c r="M1736" t="s">
        <v>2839</v>
      </c>
      <c r="N1736" t="s">
        <v>2862</v>
      </c>
      <c r="O1736">
        <v>2467</v>
      </c>
      <c r="P1736">
        <v>3450</v>
      </c>
    </row>
    <row r="1737" spans="1:16" x14ac:dyDescent="0.3">
      <c r="A1737" t="s">
        <v>733</v>
      </c>
      <c r="B1737" s="45">
        <v>45553</v>
      </c>
      <c r="C1737" t="s">
        <v>371</v>
      </c>
      <c r="D1737" t="s">
        <v>515</v>
      </c>
      <c r="E1737" t="s">
        <v>188</v>
      </c>
      <c r="F1737">
        <v>8</v>
      </c>
      <c r="G1737">
        <v>6940</v>
      </c>
      <c r="H1737">
        <v>19.399999999999999</v>
      </c>
      <c r="I1737">
        <v>44749.120000000003</v>
      </c>
      <c r="J1737" t="s">
        <v>87</v>
      </c>
      <c r="K1737" t="s">
        <v>112</v>
      </c>
      <c r="L1737" t="s">
        <v>112</v>
      </c>
      <c r="M1737" t="s">
        <v>2839</v>
      </c>
      <c r="N1737" t="s">
        <v>2862</v>
      </c>
      <c r="O1737">
        <v>2827</v>
      </c>
      <c r="P1737">
        <v>6940</v>
      </c>
    </row>
    <row r="1738" spans="1:16" x14ac:dyDescent="0.3">
      <c r="A1738" t="s">
        <v>737</v>
      </c>
      <c r="B1738" s="45">
        <v>45626</v>
      </c>
      <c r="C1738" t="s">
        <v>738</v>
      </c>
      <c r="D1738" t="s">
        <v>360</v>
      </c>
      <c r="E1738" t="s">
        <v>116</v>
      </c>
      <c r="F1738">
        <v>6</v>
      </c>
      <c r="G1738">
        <v>5410</v>
      </c>
      <c r="H1738">
        <v>29.4</v>
      </c>
      <c r="I1738">
        <v>22916.76</v>
      </c>
      <c r="J1738" t="s">
        <v>87</v>
      </c>
      <c r="K1738" t="s">
        <v>88</v>
      </c>
      <c r="L1738" t="s">
        <v>88</v>
      </c>
      <c r="M1738" t="s">
        <v>2839</v>
      </c>
      <c r="N1738" t="s">
        <v>2879</v>
      </c>
      <c r="O1738">
        <v>2265</v>
      </c>
      <c r="P1738">
        <v>5410</v>
      </c>
    </row>
    <row r="1739" spans="1:16" x14ac:dyDescent="0.3">
      <c r="A1739" t="s">
        <v>753</v>
      </c>
      <c r="B1739" s="45">
        <v>45607</v>
      </c>
      <c r="C1739" t="s">
        <v>208</v>
      </c>
      <c r="D1739" t="s">
        <v>195</v>
      </c>
      <c r="E1739" t="s">
        <v>158</v>
      </c>
      <c r="F1739">
        <v>9</v>
      </c>
      <c r="G1739">
        <v>2860</v>
      </c>
      <c r="H1739">
        <v>12.9</v>
      </c>
      <c r="I1739">
        <v>22419.54</v>
      </c>
      <c r="J1739" t="s">
        <v>87</v>
      </c>
      <c r="K1739" t="s">
        <v>133</v>
      </c>
      <c r="L1739" t="s">
        <v>133</v>
      </c>
      <c r="M1739" t="s">
        <v>2839</v>
      </c>
      <c r="N1739" t="s">
        <v>2871</v>
      </c>
      <c r="O1739">
        <v>2028</v>
      </c>
      <c r="P1739">
        <v>2860</v>
      </c>
    </row>
    <row r="1740" spans="1:16" x14ac:dyDescent="0.3">
      <c r="A1740" t="s">
        <v>766</v>
      </c>
      <c r="B1740" s="45">
        <v>45623</v>
      </c>
      <c r="C1740" t="s">
        <v>680</v>
      </c>
      <c r="D1740" t="s">
        <v>147</v>
      </c>
      <c r="E1740" t="s">
        <v>86</v>
      </c>
      <c r="F1740">
        <v>2</v>
      </c>
      <c r="G1740">
        <v>190</v>
      </c>
      <c r="H1740">
        <v>4.8</v>
      </c>
      <c r="I1740">
        <v>361.76</v>
      </c>
      <c r="J1740" t="s">
        <v>87</v>
      </c>
      <c r="K1740" t="s">
        <v>94</v>
      </c>
      <c r="L1740" t="s">
        <v>94</v>
      </c>
      <c r="M1740" t="s">
        <v>2839</v>
      </c>
      <c r="N1740" t="s">
        <v>2855</v>
      </c>
      <c r="O1740">
        <v>147</v>
      </c>
      <c r="P1740">
        <v>190</v>
      </c>
    </row>
    <row r="1741" spans="1:16" x14ac:dyDescent="0.3">
      <c r="A1741" t="s">
        <v>775</v>
      </c>
      <c r="B1741" s="45">
        <v>45340</v>
      </c>
      <c r="C1741" t="s">
        <v>328</v>
      </c>
      <c r="D1741" t="s">
        <v>97</v>
      </c>
      <c r="E1741" t="s">
        <v>103</v>
      </c>
      <c r="F1741">
        <v>8</v>
      </c>
      <c r="G1741">
        <v>470</v>
      </c>
      <c r="H1741">
        <v>9.3000000000000007</v>
      </c>
      <c r="I1741">
        <v>3410.32</v>
      </c>
      <c r="J1741" t="s">
        <v>87</v>
      </c>
      <c r="K1741" t="s">
        <v>94</v>
      </c>
      <c r="L1741" t="s">
        <v>94</v>
      </c>
      <c r="M1741" t="s">
        <v>2839</v>
      </c>
      <c r="N1741" t="s">
        <v>2855</v>
      </c>
      <c r="O1741">
        <v>302</v>
      </c>
      <c r="P1741">
        <v>470</v>
      </c>
    </row>
    <row r="1742" spans="1:16" x14ac:dyDescent="0.3">
      <c r="A1742" t="s">
        <v>793</v>
      </c>
      <c r="B1742" s="45">
        <v>45440</v>
      </c>
      <c r="C1742" t="s">
        <v>208</v>
      </c>
      <c r="D1742" t="s">
        <v>515</v>
      </c>
      <c r="E1742" t="s">
        <v>121</v>
      </c>
      <c r="F1742">
        <v>1</v>
      </c>
      <c r="G1742">
        <v>6940</v>
      </c>
      <c r="H1742">
        <v>9.6999999999999993</v>
      </c>
      <c r="I1742">
        <v>6266.82</v>
      </c>
      <c r="J1742" t="s">
        <v>87</v>
      </c>
      <c r="K1742" t="s">
        <v>133</v>
      </c>
      <c r="L1742" t="s">
        <v>133</v>
      </c>
      <c r="M1742" t="s">
        <v>2839</v>
      </c>
      <c r="N1742" t="s">
        <v>2871</v>
      </c>
      <c r="O1742">
        <v>2827</v>
      </c>
      <c r="P1742">
        <v>6940</v>
      </c>
    </row>
    <row r="1743" spans="1:16" x14ac:dyDescent="0.3">
      <c r="A1743" t="s">
        <v>800</v>
      </c>
      <c r="B1743" s="45">
        <v>45629</v>
      </c>
      <c r="C1743" t="s">
        <v>233</v>
      </c>
      <c r="D1743" t="s">
        <v>97</v>
      </c>
      <c r="E1743" t="s">
        <v>201</v>
      </c>
      <c r="F1743">
        <v>2</v>
      </c>
      <c r="G1743">
        <v>470</v>
      </c>
      <c r="H1743">
        <v>26.5</v>
      </c>
      <c r="I1743">
        <v>690.9</v>
      </c>
      <c r="J1743" t="s">
        <v>93</v>
      </c>
      <c r="K1743" t="s">
        <v>88</v>
      </c>
      <c r="L1743" t="s">
        <v>88</v>
      </c>
      <c r="M1743" t="s">
        <v>2839</v>
      </c>
      <c r="N1743" t="s">
        <v>2879</v>
      </c>
      <c r="O1743">
        <v>302</v>
      </c>
      <c r="P1743">
        <v>470</v>
      </c>
    </row>
    <row r="1744" spans="1:16" x14ac:dyDescent="0.3">
      <c r="A1744" t="s">
        <v>803</v>
      </c>
      <c r="B1744" s="45">
        <v>45432</v>
      </c>
      <c r="C1744" t="s">
        <v>119</v>
      </c>
      <c r="D1744" t="s">
        <v>515</v>
      </c>
      <c r="E1744" t="s">
        <v>238</v>
      </c>
      <c r="F1744">
        <v>10</v>
      </c>
      <c r="G1744">
        <v>6940</v>
      </c>
      <c r="H1744">
        <v>1.9</v>
      </c>
      <c r="I1744">
        <v>68081.399999999994</v>
      </c>
      <c r="J1744" t="s">
        <v>87</v>
      </c>
      <c r="K1744" t="s">
        <v>117</v>
      </c>
      <c r="L1744" t="s">
        <v>117</v>
      </c>
      <c r="M1744" t="s">
        <v>2839</v>
      </c>
      <c r="N1744" t="s">
        <v>2871</v>
      </c>
      <c r="O1744">
        <v>2827</v>
      </c>
      <c r="P1744">
        <v>6940</v>
      </c>
    </row>
    <row r="1745" spans="1:16" x14ac:dyDescent="0.3">
      <c r="A1745" t="s">
        <v>815</v>
      </c>
      <c r="B1745" s="45">
        <v>45407</v>
      </c>
      <c r="C1745" t="s">
        <v>816</v>
      </c>
      <c r="D1745" t="s">
        <v>195</v>
      </c>
      <c r="E1745" t="s">
        <v>285</v>
      </c>
      <c r="F1745">
        <v>9</v>
      </c>
      <c r="G1745">
        <v>2860</v>
      </c>
      <c r="H1745">
        <v>10.1</v>
      </c>
      <c r="I1745">
        <v>23140.26</v>
      </c>
      <c r="J1745" t="s">
        <v>144</v>
      </c>
      <c r="K1745" t="s">
        <v>88</v>
      </c>
      <c r="L1745" t="s">
        <v>88</v>
      </c>
      <c r="M1745" t="s">
        <v>2839</v>
      </c>
      <c r="N1745" t="s">
        <v>2871</v>
      </c>
      <c r="O1745">
        <v>2028</v>
      </c>
      <c r="P1745">
        <v>2860</v>
      </c>
    </row>
    <row r="1746" spans="1:16" x14ac:dyDescent="0.3">
      <c r="A1746" t="s">
        <v>826</v>
      </c>
      <c r="B1746" s="45">
        <v>45644</v>
      </c>
      <c r="C1746" t="s">
        <v>530</v>
      </c>
      <c r="D1746" t="s">
        <v>461</v>
      </c>
      <c r="E1746" t="s">
        <v>107</v>
      </c>
      <c r="F1746">
        <v>5</v>
      </c>
      <c r="G1746">
        <v>3780</v>
      </c>
      <c r="H1746">
        <v>15.2</v>
      </c>
      <c r="I1746">
        <v>16027.2</v>
      </c>
      <c r="J1746" t="s">
        <v>87</v>
      </c>
      <c r="K1746" t="s">
        <v>99</v>
      </c>
      <c r="L1746" t="s">
        <v>99</v>
      </c>
      <c r="M1746" t="s">
        <v>2839</v>
      </c>
      <c r="N1746" t="s">
        <v>2855</v>
      </c>
      <c r="O1746">
        <v>1860</v>
      </c>
      <c r="P1746">
        <v>3780</v>
      </c>
    </row>
    <row r="1747" spans="1:16" x14ac:dyDescent="0.3">
      <c r="A1747" t="s">
        <v>834</v>
      </c>
      <c r="B1747" s="45">
        <v>45615</v>
      </c>
      <c r="C1747" t="s">
        <v>835</v>
      </c>
      <c r="D1747" t="s">
        <v>182</v>
      </c>
      <c r="E1747" t="s">
        <v>285</v>
      </c>
      <c r="F1747">
        <v>9</v>
      </c>
      <c r="G1747">
        <v>1010</v>
      </c>
      <c r="H1747">
        <v>3.6</v>
      </c>
      <c r="I1747">
        <v>8762.76</v>
      </c>
      <c r="J1747" t="s">
        <v>87</v>
      </c>
      <c r="K1747" t="s">
        <v>117</v>
      </c>
      <c r="L1747" t="s">
        <v>117</v>
      </c>
      <c r="M1747" t="s">
        <v>2839</v>
      </c>
      <c r="N1747" t="s">
        <v>2871</v>
      </c>
      <c r="O1747">
        <v>516</v>
      </c>
      <c r="P1747">
        <v>1010</v>
      </c>
    </row>
    <row r="1748" spans="1:16" x14ac:dyDescent="0.3">
      <c r="A1748" t="s">
        <v>842</v>
      </c>
      <c r="B1748" s="45">
        <v>45562</v>
      </c>
      <c r="C1748" t="s">
        <v>119</v>
      </c>
      <c r="D1748" t="s">
        <v>515</v>
      </c>
      <c r="E1748" t="s">
        <v>92</v>
      </c>
      <c r="F1748">
        <v>10</v>
      </c>
      <c r="G1748">
        <v>6940</v>
      </c>
      <c r="H1748">
        <v>21.8</v>
      </c>
      <c r="I1748">
        <v>54270.8</v>
      </c>
      <c r="J1748" t="s">
        <v>93</v>
      </c>
      <c r="K1748" t="s">
        <v>117</v>
      </c>
      <c r="L1748" t="s">
        <v>117</v>
      </c>
      <c r="M1748" t="s">
        <v>2839</v>
      </c>
      <c r="N1748" t="s">
        <v>2855</v>
      </c>
      <c r="O1748">
        <v>2827</v>
      </c>
      <c r="P1748">
        <v>6940</v>
      </c>
    </row>
    <row r="1749" spans="1:16" x14ac:dyDescent="0.3">
      <c r="A1749" t="s">
        <v>858</v>
      </c>
      <c r="B1749" s="45">
        <v>45561</v>
      </c>
      <c r="C1749" t="s">
        <v>662</v>
      </c>
      <c r="D1749" t="s">
        <v>182</v>
      </c>
      <c r="E1749" t="s">
        <v>86</v>
      </c>
      <c r="F1749">
        <v>8</v>
      </c>
      <c r="G1749">
        <v>1010</v>
      </c>
      <c r="H1749">
        <v>25.4</v>
      </c>
      <c r="I1749">
        <v>6027.68</v>
      </c>
      <c r="J1749" t="s">
        <v>87</v>
      </c>
      <c r="K1749" t="s">
        <v>94</v>
      </c>
      <c r="L1749" t="s">
        <v>94</v>
      </c>
      <c r="M1749" t="s">
        <v>2839</v>
      </c>
      <c r="N1749" t="s">
        <v>2855</v>
      </c>
      <c r="O1749">
        <v>516</v>
      </c>
      <c r="P1749">
        <v>1010</v>
      </c>
    </row>
    <row r="1750" spans="1:16" x14ac:dyDescent="0.3">
      <c r="A1750" t="s">
        <v>867</v>
      </c>
      <c r="B1750" s="45">
        <v>45649</v>
      </c>
      <c r="C1750" t="s">
        <v>868</v>
      </c>
      <c r="D1750" t="s">
        <v>360</v>
      </c>
      <c r="E1750" t="s">
        <v>188</v>
      </c>
      <c r="F1750">
        <v>10</v>
      </c>
      <c r="G1750">
        <v>5410</v>
      </c>
      <c r="H1750">
        <v>26.1</v>
      </c>
      <c r="I1750">
        <v>39979.9</v>
      </c>
      <c r="J1750" t="s">
        <v>87</v>
      </c>
      <c r="K1750" t="s">
        <v>99</v>
      </c>
      <c r="L1750" t="s">
        <v>99</v>
      </c>
      <c r="M1750" t="s">
        <v>2839</v>
      </c>
      <c r="N1750" t="s">
        <v>2862</v>
      </c>
      <c r="O1750">
        <v>2265</v>
      </c>
      <c r="P1750">
        <v>5410</v>
      </c>
    </row>
    <row r="1751" spans="1:16" x14ac:dyDescent="0.3">
      <c r="A1751" t="s">
        <v>871</v>
      </c>
      <c r="B1751" s="45">
        <v>45647</v>
      </c>
      <c r="C1751" t="s">
        <v>872</v>
      </c>
      <c r="D1751" t="s">
        <v>182</v>
      </c>
      <c r="E1751" t="s">
        <v>86</v>
      </c>
      <c r="F1751">
        <v>10</v>
      </c>
      <c r="G1751">
        <v>1010</v>
      </c>
      <c r="H1751">
        <v>10</v>
      </c>
      <c r="I1751">
        <v>9090</v>
      </c>
      <c r="J1751" t="s">
        <v>87</v>
      </c>
      <c r="K1751" t="s">
        <v>112</v>
      </c>
      <c r="L1751" t="s">
        <v>112</v>
      </c>
      <c r="M1751" t="s">
        <v>2839</v>
      </c>
      <c r="N1751" t="s">
        <v>2855</v>
      </c>
      <c r="O1751">
        <v>516</v>
      </c>
      <c r="P1751">
        <v>1010</v>
      </c>
    </row>
    <row r="1752" spans="1:16" x14ac:dyDescent="0.3">
      <c r="A1752" t="s">
        <v>879</v>
      </c>
      <c r="B1752" s="45">
        <v>45505</v>
      </c>
      <c r="C1752" t="s">
        <v>539</v>
      </c>
      <c r="D1752" t="s">
        <v>360</v>
      </c>
      <c r="E1752" t="s">
        <v>238</v>
      </c>
      <c r="F1752">
        <v>10</v>
      </c>
      <c r="G1752">
        <v>5410</v>
      </c>
      <c r="H1752">
        <v>29.8</v>
      </c>
      <c r="I1752">
        <v>37978.199999999997</v>
      </c>
      <c r="J1752" t="s">
        <v>87</v>
      </c>
      <c r="K1752" t="s">
        <v>133</v>
      </c>
      <c r="L1752" t="s">
        <v>133</v>
      </c>
      <c r="M1752" t="s">
        <v>2839</v>
      </c>
      <c r="N1752" t="s">
        <v>2871</v>
      </c>
      <c r="O1752">
        <v>2265</v>
      </c>
      <c r="P1752">
        <v>5410</v>
      </c>
    </row>
    <row r="1753" spans="1:16" x14ac:dyDescent="0.3">
      <c r="A1753" t="s">
        <v>890</v>
      </c>
      <c r="B1753" s="45">
        <v>45302</v>
      </c>
      <c r="C1753" t="s">
        <v>615</v>
      </c>
      <c r="D1753" t="s">
        <v>161</v>
      </c>
      <c r="E1753" t="s">
        <v>92</v>
      </c>
      <c r="F1753">
        <v>8</v>
      </c>
      <c r="G1753">
        <v>3450</v>
      </c>
      <c r="H1753">
        <v>20.399999999999999</v>
      </c>
      <c r="I1753">
        <v>21969.599999999999</v>
      </c>
      <c r="J1753" t="s">
        <v>87</v>
      </c>
      <c r="K1753" t="s">
        <v>112</v>
      </c>
      <c r="L1753" t="s">
        <v>112</v>
      </c>
      <c r="M1753" t="s">
        <v>2839</v>
      </c>
      <c r="N1753" t="s">
        <v>2855</v>
      </c>
      <c r="O1753">
        <v>2467</v>
      </c>
      <c r="P1753">
        <v>3450</v>
      </c>
    </row>
    <row r="1754" spans="1:16" x14ac:dyDescent="0.3">
      <c r="A1754" t="s">
        <v>891</v>
      </c>
      <c r="B1754" s="45">
        <v>45427</v>
      </c>
      <c r="C1754" t="s">
        <v>482</v>
      </c>
      <c r="D1754" t="s">
        <v>360</v>
      </c>
      <c r="E1754" t="s">
        <v>346</v>
      </c>
      <c r="F1754">
        <v>2</v>
      </c>
      <c r="G1754">
        <v>5410</v>
      </c>
      <c r="H1754">
        <v>7.2</v>
      </c>
      <c r="I1754">
        <v>10040.959999999999</v>
      </c>
      <c r="J1754" t="s">
        <v>87</v>
      </c>
      <c r="K1754" t="s">
        <v>133</v>
      </c>
      <c r="L1754" t="s">
        <v>133</v>
      </c>
      <c r="M1754" t="s">
        <v>2839</v>
      </c>
      <c r="N1754" t="s">
        <v>2862</v>
      </c>
      <c r="O1754">
        <v>2265</v>
      </c>
      <c r="P1754">
        <v>5410</v>
      </c>
    </row>
    <row r="1755" spans="1:16" x14ac:dyDescent="0.3">
      <c r="A1755" t="s">
        <v>899</v>
      </c>
      <c r="B1755" s="45">
        <v>45541</v>
      </c>
      <c r="C1755" t="s">
        <v>900</v>
      </c>
      <c r="D1755" t="s">
        <v>97</v>
      </c>
      <c r="E1755" t="s">
        <v>192</v>
      </c>
      <c r="F1755">
        <v>2</v>
      </c>
      <c r="G1755">
        <v>470</v>
      </c>
      <c r="H1755">
        <v>28.8</v>
      </c>
      <c r="I1755">
        <v>669.28</v>
      </c>
      <c r="J1755" t="s">
        <v>140</v>
      </c>
      <c r="K1755" t="s">
        <v>117</v>
      </c>
      <c r="L1755" t="s">
        <v>117</v>
      </c>
      <c r="M1755" t="s">
        <v>2839</v>
      </c>
      <c r="N1755" t="s">
        <v>2871</v>
      </c>
      <c r="O1755">
        <v>302</v>
      </c>
      <c r="P1755">
        <v>470</v>
      </c>
    </row>
    <row r="1756" spans="1:16" x14ac:dyDescent="0.3">
      <c r="A1756" t="s">
        <v>903</v>
      </c>
      <c r="B1756" s="45">
        <v>45631</v>
      </c>
      <c r="C1756" t="s">
        <v>390</v>
      </c>
      <c r="D1756" t="s">
        <v>182</v>
      </c>
      <c r="E1756" t="s">
        <v>154</v>
      </c>
      <c r="F1756">
        <v>2</v>
      </c>
      <c r="G1756">
        <v>1010</v>
      </c>
      <c r="H1756">
        <v>5.2</v>
      </c>
      <c r="I1756">
        <v>1914.96</v>
      </c>
      <c r="J1756" t="s">
        <v>140</v>
      </c>
      <c r="K1756" t="s">
        <v>88</v>
      </c>
      <c r="L1756" t="s">
        <v>88</v>
      </c>
      <c r="M1756" t="s">
        <v>2839</v>
      </c>
      <c r="N1756" t="s">
        <v>2871</v>
      </c>
      <c r="O1756">
        <v>516</v>
      </c>
      <c r="P1756">
        <v>1010</v>
      </c>
    </row>
    <row r="1757" spans="1:16" x14ac:dyDescent="0.3">
      <c r="A1757" t="s">
        <v>912</v>
      </c>
      <c r="B1757" s="45">
        <v>45521</v>
      </c>
      <c r="C1757" t="s">
        <v>217</v>
      </c>
      <c r="D1757" t="s">
        <v>151</v>
      </c>
      <c r="E1757" t="s">
        <v>204</v>
      </c>
      <c r="F1757">
        <v>1</v>
      </c>
      <c r="G1757">
        <v>2400</v>
      </c>
      <c r="H1757">
        <v>24.5</v>
      </c>
      <c r="I1757">
        <v>1812</v>
      </c>
      <c r="J1757" t="s">
        <v>87</v>
      </c>
      <c r="K1757" t="s">
        <v>94</v>
      </c>
      <c r="L1757" t="s">
        <v>94</v>
      </c>
      <c r="M1757" t="s">
        <v>2839</v>
      </c>
      <c r="N1757" t="s">
        <v>2862</v>
      </c>
      <c r="O1757">
        <v>974</v>
      </c>
      <c r="P1757">
        <v>2400</v>
      </c>
    </row>
    <row r="1758" spans="1:16" x14ac:dyDescent="0.3">
      <c r="A1758" t="s">
        <v>914</v>
      </c>
      <c r="B1758" s="45">
        <v>45404</v>
      </c>
      <c r="C1758" t="s">
        <v>795</v>
      </c>
      <c r="D1758" t="s">
        <v>461</v>
      </c>
      <c r="E1758" t="s">
        <v>188</v>
      </c>
      <c r="F1758">
        <v>6</v>
      </c>
      <c r="G1758">
        <v>3780</v>
      </c>
      <c r="H1758">
        <v>15.9</v>
      </c>
      <c r="I1758">
        <v>19073.88</v>
      </c>
      <c r="J1758" t="s">
        <v>87</v>
      </c>
      <c r="K1758" t="s">
        <v>94</v>
      </c>
      <c r="L1758" t="s">
        <v>94</v>
      </c>
      <c r="M1758" t="s">
        <v>2839</v>
      </c>
      <c r="N1758" t="s">
        <v>2862</v>
      </c>
      <c r="O1758">
        <v>1860</v>
      </c>
      <c r="P1758">
        <v>3780</v>
      </c>
    </row>
    <row r="1759" spans="1:16" x14ac:dyDescent="0.3">
      <c r="A1759" t="s">
        <v>925</v>
      </c>
      <c r="B1759" s="45">
        <v>45472</v>
      </c>
      <c r="C1759" t="s">
        <v>507</v>
      </c>
      <c r="D1759" t="s">
        <v>115</v>
      </c>
      <c r="E1759" t="s">
        <v>111</v>
      </c>
      <c r="F1759">
        <v>9</v>
      </c>
      <c r="G1759">
        <v>960</v>
      </c>
      <c r="H1759">
        <v>14</v>
      </c>
      <c r="I1759">
        <v>7430.4</v>
      </c>
      <c r="J1759" t="s">
        <v>144</v>
      </c>
      <c r="K1759" t="s">
        <v>88</v>
      </c>
      <c r="L1759" t="s">
        <v>88</v>
      </c>
      <c r="M1759" t="s">
        <v>2839</v>
      </c>
      <c r="N1759" t="s">
        <v>2879</v>
      </c>
      <c r="O1759">
        <v>705</v>
      </c>
      <c r="P1759">
        <v>960</v>
      </c>
    </row>
    <row r="1760" spans="1:16" x14ac:dyDescent="0.3">
      <c r="A1760" t="s">
        <v>931</v>
      </c>
      <c r="B1760" s="45">
        <v>45298</v>
      </c>
      <c r="C1760" t="s">
        <v>759</v>
      </c>
      <c r="D1760" t="s">
        <v>115</v>
      </c>
      <c r="E1760" t="s">
        <v>116</v>
      </c>
      <c r="F1760">
        <v>5</v>
      </c>
      <c r="G1760">
        <v>960</v>
      </c>
      <c r="H1760">
        <v>15</v>
      </c>
      <c r="I1760">
        <v>4080</v>
      </c>
      <c r="J1760" t="s">
        <v>140</v>
      </c>
      <c r="K1760" t="s">
        <v>117</v>
      </c>
      <c r="L1760" t="s">
        <v>117</v>
      </c>
      <c r="M1760" t="s">
        <v>2839</v>
      </c>
      <c r="N1760" t="s">
        <v>2879</v>
      </c>
      <c r="O1760">
        <v>705</v>
      </c>
      <c r="P1760">
        <v>960</v>
      </c>
    </row>
    <row r="1761" spans="1:16" x14ac:dyDescent="0.3">
      <c r="A1761" t="s">
        <v>932</v>
      </c>
      <c r="B1761" s="45">
        <v>45577</v>
      </c>
      <c r="C1761" t="s">
        <v>272</v>
      </c>
      <c r="D1761" t="s">
        <v>461</v>
      </c>
      <c r="E1761" t="s">
        <v>325</v>
      </c>
      <c r="F1761">
        <v>10</v>
      </c>
      <c r="G1761">
        <v>3780</v>
      </c>
      <c r="H1761">
        <v>24.1</v>
      </c>
      <c r="I1761">
        <v>28690.2</v>
      </c>
      <c r="J1761" t="s">
        <v>144</v>
      </c>
      <c r="K1761" t="s">
        <v>94</v>
      </c>
      <c r="L1761" t="s">
        <v>94</v>
      </c>
      <c r="M1761" t="s">
        <v>2839</v>
      </c>
      <c r="N1761" t="s">
        <v>2862</v>
      </c>
      <c r="O1761">
        <v>1860</v>
      </c>
      <c r="P1761">
        <v>3780</v>
      </c>
    </row>
    <row r="1762" spans="1:16" x14ac:dyDescent="0.3">
      <c r="A1762" t="s">
        <v>936</v>
      </c>
      <c r="B1762" s="45">
        <v>45638</v>
      </c>
      <c r="C1762" t="s">
        <v>359</v>
      </c>
      <c r="D1762" t="s">
        <v>151</v>
      </c>
      <c r="E1762" t="s">
        <v>111</v>
      </c>
      <c r="F1762">
        <v>4</v>
      </c>
      <c r="G1762">
        <v>2400</v>
      </c>
      <c r="H1762">
        <v>19.100000000000001</v>
      </c>
      <c r="I1762">
        <v>7766.4</v>
      </c>
      <c r="J1762" t="s">
        <v>87</v>
      </c>
      <c r="K1762" t="s">
        <v>99</v>
      </c>
      <c r="L1762" t="s">
        <v>99</v>
      </c>
      <c r="M1762" t="s">
        <v>2839</v>
      </c>
      <c r="N1762" t="s">
        <v>2879</v>
      </c>
      <c r="O1762">
        <v>974</v>
      </c>
      <c r="P1762">
        <v>2400</v>
      </c>
    </row>
    <row r="1763" spans="1:16" x14ac:dyDescent="0.3">
      <c r="A1763" t="s">
        <v>950</v>
      </c>
      <c r="B1763" s="45">
        <v>45484</v>
      </c>
      <c r="C1763" t="s">
        <v>757</v>
      </c>
      <c r="D1763" t="s">
        <v>195</v>
      </c>
      <c r="E1763" t="s">
        <v>229</v>
      </c>
      <c r="F1763">
        <v>6</v>
      </c>
      <c r="G1763">
        <v>2860</v>
      </c>
      <c r="H1763">
        <v>28.9</v>
      </c>
      <c r="I1763">
        <v>12200.76</v>
      </c>
      <c r="J1763" t="s">
        <v>87</v>
      </c>
      <c r="K1763" t="s">
        <v>117</v>
      </c>
      <c r="L1763" t="s">
        <v>117</v>
      </c>
      <c r="M1763" t="s">
        <v>2839</v>
      </c>
      <c r="N1763" t="s">
        <v>2879</v>
      </c>
      <c r="O1763">
        <v>2028</v>
      </c>
      <c r="P1763">
        <v>2860</v>
      </c>
    </row>
    <row r="1764" spans="1:16" x14ac:dyDescent="0.3">
      <c r="A1764" t="s">
        <v>954</v>
      </c>
      <c r="B1764" s="45">
        <v>45495</v>
      </c>
      <c r="C1764" t="s">
        <v>544</v>
      </c>
      <c r="D1764" t="s">
        <v>147</v>
      </c>
      <c r="E1764" t="s">
        <v>229</v>
      </c>
      <c r="F1764">
        <v>8</v>
      </c>
      <c r="G1764">
        <v>190</v>
      </c>
      <c r="H1764">
        <v>18</v>
      </c>
      <c r="I1764">
        <v>1246.4000000000001</v>
      </c>
      <c r="J1764" t="s">
        <v>93</v>
      </c>
      <c r="K1764" t="s">
        <v>133</v>
      </c>
      <c r="L1764" t="s">
        <v>133</v>
      </c>
      <c r="M1764" t="s">
        <v>2839</v>
      </c>
      <c r="N1764" t="s">
        <v>2879</v>
      </c>
      <c r="O1764">
        <v>147</v>
      </c>
      <c r="P1764">
        <v>190</v>
      </c>
    </row>
    <row r="1765" spans="1:16" x14ac:dyDescent="0.3">
      <c r="A1765" t="s">
        <v>962</v>
      </c>
      <c r="B1765" s="45">
        <v>45561</v>
      </c>
      <c r="C1765" t="s">
        <v>963</v>
      </c>
      <c r="D1765" t="s">
        <v>97</v>
      </c>
      <c r="E1765" t="s">
        <v>252</v>
      </c>
      <c r="F1765">
        <v>9</v>
      </c>
      <c r="G1765">
        <v>470</v>
      </c>
      <c r="H1765">
        <v>3.6</v>
      </c>
      <c r="I1765">
        <v>4077.72</v>
      </c>
      <c r="J1765" t="s">
        <v>87</v>
      </c>
      <c r="K1765" t="s">
        <v>94</v>
      </c>
      <c r="L1765" t="s">
        <v>94</v>
      </c>
      <c r="M1765" t="s">
        <v>2839</v>
      </c>
      <c r="N1765" t="s">
        <v>2862</v>
      </c>
      <c r="O1765">
        <v>302</v>
      </c>
      <c r="P1765">
        <v>470</v>
      </c>
    </row>
    <row r="1766" spans="1:16" x14ac:dyDescent="0.3">
      <c r="A1766" t="s">
        <v>964</v>
      </c>
      <c r="B1766" s="45">
        <v>45634</v>
      </c>
      <c r="C1766" t="s">
        <v>643</v>
      </c>
      <c r="D1766" t="s">
        <v>360</v>
      </c>
      <c r="E1766" t="s">
        <v>343</v>
      </c>
      <c r="F1766">
        <v>4</v>
      </c>
      <c r="G1766">
        <v>5410</v>
      </c>
      <c r="H1766">
        <v>11.3</v>
      </c>
      <c r="I1766">
        <v>19194.68</v>
      </c>
      <c r="J1766" t="s">
        <v>144</v>
      </c>
      <c r="K1766" t="s">
        <v>112</v>
      </c>
      <c r="L1766" t="s">
        <v>112</v>
      </c>
      <c r="M1766" t="s">
        <v>2839</v>
      </c>
      <c r="N1766" t="s">
        <v>2879</v>
      </c>
      <c r="O1766">
        <v>2265</v>
      </c>
      <c r="P1766">
        <v>5410</v>
      </c>
    </row>
    <row r="1767" spans="1:16" x14ac:dyDescent="0.3">
      <c r="A1767" t="s">
        <v>976</v>
      </c>
      <c r="B1767" s="45">
        <v>45434</v>
      </c>
      <c r="C1767" t="s">
        <v>977</v>
      </c>
      <c r="D1767" t="s">
        <v>97</v>
      </c>
      <c r="E1767" t="s">
        <v>128</v>
      </c>
      <c r="F1767">
        <v>2</v>
      </c>
      <c r="G1767">
        <v>470</v>
      </c>
      <c r="H1767">
        <v>9.6999999999999993</v>
      </c>
      <c r="I1767">
        <v>848.82</v>
      </c>
      <c r="J1767" t="s">
        <v>87</v>
      </c>
      <c r="K1767" t="s">
        <v>88</v>
      </c>
      <c r="L1767" t="s">
        <v>88</v>
      </c>
      <c r="M1767" t="s">
        <v>2839</v>
      </c>
      <c r="N1767" t="s">
        <v>2879</v>
      </c>
      <c r="O1767">
        <v>302</v>
      </c>
      <c r="P1767">
        <v>470</v>
      </c>
    </row>
    <row r="1768" spans="1:16" x14ac:dyDescent="0.3">
      <c r="A1768" t="s">
        <v>981</v>
      </c>
      <c r="B1768" s="45">
        <v>45303</v>
      </c>
      <c r="C1768" t="s">
        <v>567</v>
      </c>
      <c r="D1768" t="s">
        <v>360</v>
      </c>
      <c r="E1768" t="s">
        <v>98</v>
      </c>
      <c r="F1768">
        <v>8</v>
      </c>
      <c r="G1768">
        <v>5410</v>
      </c>
      <c r="H1768">
        <v>11.2</v>
      </c>
      <c r="I1768">
        <v>38432.639999999999</v>
      </c>
      <c r="J1768" t="s">
        <v>87</v>
      </c>
      <c r="K1768" t="s">
        <v>117</v>
      </c>
      <c r="L1768" t="s">
        <v>117</v>
      </c>
      <c r="M1768" t="s">
        <v>2839</v>
      </c>
      <c r="N1768" t="s">
        <v>2862</v>
      </c>
      <c r="O1768">
        <v>2265</v>
      </c>
      <c r="P1768">
        <v>5410</v>
      </c>
    </row>
    <row r="1769" spans="1:16" x14ac:dyDescent="0.3">
      <c r="A1769" t="s">
        <v>984</v>
      </c>
      <c r="B1769" s="45">
        <v>45421</v>
      </c>
      <c r="C1769" t="s">
        <v>870</v>
      </c>
      <c r="D1769" t="s">
        <v>151</v>
      </c>
      <c r="E1769" t="s">
        <v>343</v>
      </c>
      <c r="F1769">
        <v>9</v>
      </c>
      <c r="G1769">
        <v>2400</v>
      </c>
      <c r="H1769">
        <v>5</v>
      </c>
      <c r="I1769">
        <v>20520</v>
      </c>
      <c r="J1769" t="s">
        <v>87</v>
      </c>
      <c r="K1769" t="s">
        <v>117</v>
      </c>
      <c r="L1769" t="s">
        <v>117</v>
      </c>
      <c r="M1769" t="s">
        <v>2839</v>
      </c>
      <c r="N1769" t="s">
        <v>2879</v>
      </c>
      <c r="O1769">
        <v>974</v>
      </c>
      <c r="P1769">
        <v>2400</v>
      </c>
    </row>
    <row r="1770" spans="1:16" x14ac:dyDescent="0.3">
      <c r="A1770" t="s">
        <v>988</v>
      </c>
      <c r="B1770" s="45">
        <v>45379</v>
      </c>
      <c r="C1770" t="s">
        <v>638</v>
      </c>
      <c r="D1770" t="s">
        <v>147</v>
      </c>
      <c r="E1770" t="s">
        <v>86</v>
      </c>
      <c r="F1770">
        <v>3</v>
      </c>
      <c r="G1770">
        <v>190</v>
      </c>
      <c r="H1770">
        <v>17.899999999999999</v>
      </c>
      <c r="I1770">
        <v>467.97</v>
      </c>
      <c r="J1770" t="s">
        <v>93</v>
      </c>
      <c r="K1770" t="s">
        <v>99</v>
      </c>
      <c r="L1770" t="s">
        <v>99</v>
      </c>
      <c r="M1770" t="s">
        <v>2839</v>
      </c>
      <c r="N1770" t="s">
        <v>2855</v>
      </c>
      <c r="O1770">
        <v>147</v>
      </c>
      <c r="P1770">
        <v>190</v>
      </c>
    </row>
    <row r="1771" spans="1:16" x14ac:dyDescent="0.3">
      <c r="A1771" t="s">
        <v>991</v>
      </c>
      <c r="B1771" s="45">
        <v>45610</v>
      </c>
      <c r="C1771" t="s">
        <v>190</v>
      </c>
      <c r="D1771" t="s">
        <v>195</v>
      </c>
      <c r="E1771" t="s">
        <v>303</v>
      </c>
      <c r="F1771">
        <v>5</v>
      </c>
      <c r="G1771">
        <v>2860</v>
      </c>
      <c r="H1771">
        <v>26.8</v>
      </c>
      <c r="I1771">
        <v>10467.6</v>
      </c>
      <c r="J1771" t="s">
        <v>87</v>
      </c>
      <c r="K1771" t="s">
        <v>133</v>
      </c>
      <c r="L1771" t="s">
        <v>133</v>
      </c>
      <c r="M1771" t="s">
        <v>2839</v>
      </c>
      <c r="N1771" t="s">
        <v>2871</v>
      </c>
      <c r="O1771">
        <v>2028</v>
      </c>
      <c r="P1771">
        <v>2860</v>
      </c>
    </row>
    <row r="1772" spans="1:16" x14ac:dyDescent="0.3">
      <c r="A1772" t="s">
        <v>992</v>
      </c>
      <c r="B1772" s="45">
        <v>45638</v>
      </c>
      <c r="C1772" t="s">
        <v>910</v>
      </c>
      <c r="D1772" t="s">
        <v>151</v>
      </c>
      <c r="E1772" t="s">
        <v>154</v>
      </c>
      <c r="F1772">
        <v>6</v>
      </c>
      <c r="G1772">
        <v>2400</v>
      </c>
      <c r="H1772">
        <v>19.2</v>
      </c>
      <c r="I1772">
        <v>11635.2</v>
      </c>
      <c r="J1772" t="s">
        <v>140</v>
      </c>
      <c r="K1772" t="s">
        <v>99</v>
      </c>
      <c r="L1772" t="s">
        <v>99</v>
      </c>
      <c r="M1772" t="s">
        <v>2839</v>
      </c>
      <c r="N1772" t="s">
        <v>2871</v>
      </c>
      <c r="O1772">
        <v>974</v>
      </c>
      <c r="P1772">
        <v>2400</v>
      </c>
    </row>
    <row r="1773" spans="1:16" x14ac:dyDescent="0.3">
      <c r="A1773" t="s">
        <v>995</v>
      </c>
      <c r="B1773" s="45">
        <v>45532</v>
      </c>
      <c r="C1773" t="s">
        <v>959</v>
      </c>
      <c r="D1773" t="s">
        <v>115</v>
      </c>
      <c r="E1773" t="s">
        <v>107</v>
      </c>
      <c r="F1773">
        <v>7</v>
      </c>
      <c r="G1773">
        <v>960</v>
      </c>
      <c r="H1773">
        <v>16.600000000000001</v>
      </c>
      <c r="I1773">
        <v>5604.48</v>
      </c>
      <c r="J1773" t="s">
        <v>87</v>
      </c>
      <c r="K1773" t="s">
        <v>112</v>
      </c>
      <c r="L1773" t="s">
        <v>112</v>
      </c>
      <c r="M1773" t="s">
        <v>2839</v>
      </c>
      <c r="N1773" t="s">
        <v>2855</v>
      </c>
      <c r="O1773">
        <v>705</v>
      </c>
      <c r="P1773">
        <v>960</v>
      </c>
    </row>
    <row r="1774" spans="1:16" x14ac:dyDescent="0.3">
      <c r="A1774" t="s">
        <v>1001</v>
      </c>
      <c r="B1774" s="45">
        <v>45370</v>
      </c>
      <c r="C1774" t="s">
        <v>697</v>
      </c>
      <c r="D1774" t="s">
        <v>182</v>
      </c>
      <c r="E1774" t="s">
        <v>192</v>
      </c>
      <c r="F1774">
        <v>2</v>
      </c>
      <c r="G1774">
        <v>1010</v>
      </c>
      <c r="H1774">
        <v>28</v>
      </c>
      <c r="I1774">
        <v>1454.4</v>
      </c>
      <c r="J1774" t="s">
        <v>87</v>
      </c>
      <c r="K1774" t="s">
        <v>133</v>
      </c>
      <c r="L1774" t="s">
        <v>133</v>
      </c>
      <c r="M1774" t="s">
        <v>2839</v>
      </c>
      <c r="N1774" t="s">
        <v>2871</v>
      </c>
      <c r="O1774">
        <v>516</v>
      </c>
      <c r="P1774">
        <v>1010</v>
      </c>
    </row>
    <row r="1775" spans="1:16" x14ac:dyDescent="0.3">
      <c r="A1775" t="s">
        <v>1004</v>
      </c>
      <c r="B1775" s="45">
        <v>45337</v>
      </c>
      <c r="C1775" t="s">
        <v>555</v>
      </c>
      <c r="D1775" t="s">
        <v>515</v>
      </c>
      <c r="E1775" t="s">
        <v>201</v>
      </c>
      <c r="F1775">
        <v>3</v>
      </c>
      <c r="G1775">
        <v>6940</v>
      </c>
      <c r="H1775">
        <v>10.7</v>
      </c>
      <c r="I1775">
        <v>18592.259999999998</v>
      </c>
      <c r="J1775" t="s">
        <v>140</v>
      </c>
      <c r="K1775" t="s">
        <v>112</v>
      </c>
      <c r="L1775" t="s">
        <v>112</v>
      </c>
      <c r="M1775" t="s">
        <v>2839</v>
      </c>
      <c r="N1775" t="s">
        <v>2879</v>
      </c>
      <c r="O1775">
        <v>2827</v>
      </c>
      <c r="P1775">
        <v>6940</v>
      </c>
    </row>
    <row r="1776" spans="1:16" x14ac:dyDescent="0.3">
      <c r="A1776" t="s">
        <v>1015</v>
      </c>
      <c r="B1776" s="45">
        <v>45470</v>
      </c>
      <c r="C1776" t="s">
        <v>1016</v>
      </c>
      <c r="D1776" t="s">
        <v>515</v>
      </c>
      <c r="E1776" t="s">
        <v>128</v>
      </c>
      <c r="F1776">
        <v>1</v>
      </c>
      <c r="G1776">
        <v>6940</v>
      </c>
      <c r="H1776">
        <v>15</v>
      </c>
      <c r="I1776">
        <v>5899</v>
      </c>
      <c r="J1776" t="s">
        <v>140</v>
      </c>
      <c r="K1776" t="s">
        <v>117</v>
      </c>
      <c r="L1776" t="s">
        <v>117</v>
      </c>
      <c r="M1776" t="s">
        <v>2839</v>
      </c>
      <c r="N1776" t="s">
        <v>2879</v>
      </c>
      <c r="O1776">
        <v>2827</v>
      </c>
      <c r="P1776">
        <v>6940</v>
      </c>
    </row>
    <row r="1777" spans="1:16" x14ac:dyDescent="0.3">
      <c r="A1777" t="s">
        <v>1020</v>
      </c>
      <c r="B1777" s="45">
        <v>45304</v>
      </c>
      <c r="C1777" t="s">
        <v>263</v>
      </c>
      <c r="D1777" t="s">
        <v>182</v>
      </c>
      <c r="E1777" t="s">
        <v>346</v>
      </c>
      <c r="F1777">
        <v>8</v>
      </c>
      <c r="G1777">
        <v>1010</v>
      </c>
      <c r="H1777">
        <v>13.7</v>
      </c>
      <c r="I1777">
        <v>6973.04</v>
      </c>
      <c r="J1777" t="s">
        <v>140</v>
      </c>
      <c r="K1777" t="s">
        <v>133</v>
      </c>
      <c r="L1777" t="s">
        <v>133</v>
      </c>
      <c r="M1777" t="s">
        <v>2839</v>
      </c>
      <c r="N1777" t="s">
        <v>2862</v>
      </c>
      <c r="O1777">
        <v>516</v>
      </c>
      <c r="P1777">
        <v>1010</v>
      </c>
    </row>
    <row r="1778" spans="1:16" x14ac:dyDescent="0.3">
      <c r="A1778" t="s">
        <v>1022</v>
      </c>
      <c r="B1778" s="45">
        <v>45633</v>
      </c>
      <c r="C1778" t="s">
        <v>983</v>
      </c>
      <c r="D1778" t="s">
        <v>97</v>
      </c>
      <c r="E1778" t="s">
        <v>303</v>
      </c>
      <c r="F1778">
        <v>10</v>
      </c>
      <c r="G1778">
        <v>470</v>
      </c>
      <c r="H1778">
        <v>2.1</v>
      </c>
      <c r="I1778">
        <v>4601.3</v>
      </c>
      <c r="J1778" t="s">
        <v>87</v>
      </c>
      <c r="K1778" t="s">
        <v>117</v>
      </c>
      <c r="L1778" t="s">
        <v>117</v>
      </c>
      <c r="M1778" t="s">
        <v>2839</v>
      </c>
      <c r="N1778" t="s">
        <v>2871</v>
      </c>
      <c r="O1778">
        <v>302</v>
      </c>
      <c r="P1778">
        <v>470</v>
      </c>
    </row>
    <row r="1779" spans="1:16" x14ac:dyDescent="0.3">
      <c r="A1779" t="s">
        <v>1028</v>
      </c>
      <c r="B1779" s="45">
        <v>45589</v>
      </c>
      <c r="C1779" t="s">
        <v>101</v>
      </c>
      <c r="D1779" t="s">
        <v>195</v>
      </c>
      <c r="E1779" t="s">
        <v>285</v>
      </c>
      <c r="F1779">
        <v>1</v>
      </c>
      <c r="G1779">
        <v>2860</v>
      </c>
      <c r="H1779">
        <v>10.4</v>
      </c>
      <c r="I1779">
        <v>2562.56</v>
      </c>
      <c r="J1779" t="s">
        <v>140</v>
      </c>
      <c r="K1779" t="s">
        <v>99</v>
      </c>
      <c r="L1779" t="s">
        <v>99</v>
      </c>
      <c r="M1779" t="s">
        <v>2839</v>
      </c>
      <c r="N1779" t="s">
        <v>2871</v>
      </c>
      <c r="O1779">
        <v>2028</v>
      </c>
      <c r="P1779">
        <v>2860</v>
      </c>
    </row>
    <row r="1780" spans="1:16" x14ac:dyDescent="0.3">
      <c r="A1780" t="s">
        <v>1042</v>
      </c>
      <c r="B1780" s="45">
        <v>45607</v>
      </c>
      <c r="C1780" t="s">
        <v>194</v>
      </c>
      <c r="D1780" t="s">
        <v>461</v>
      </c>
      <c r="E1780" t="s">
        <v>252</v>
      </c>
      <c r="F1780">
        <v>6</v>
      </c>
      <c r="G1780">
        <v>3780</v>
      </c>
      <c r="H1780">
        <v>12.7</v>
      </c>
      <c r="I1780">
        <v>19799.64</v>
      </c>
      <c r="J1780" t="s">
        <v>87</v>
      </c>
      <c r="K1780" t="s">
        <v>88</v>
      </c>
      <c r="L1780" t="s">
        <v>88</v>
      </c>
      <c r="M1780" t="s">
        <v>2839</v>
      </c>
      <c r="N1780" t="s">
        <v>2862</v>
      </c>
      <c r="O1780">
        <v>1860</v>
      </c>
      <c r="P1780">
        <v>3780</v>
      </c>
    </row>
    <row r="1781" spans="1:16" x14ac:dyDescent="0.3">
      <c r="A1781" t="s">
        <v>1045</v>
      </c>
      <c r="B1781" s="45">
        <v>45572</v>
      </c>
      <c r="C1781" t="s">
        <v>403</v>
      </c>
      <c r="D1781" t="s">
        <v>515</v>
      </c>
      <c r="E1781" t="s">
        <v>128</v>
      </c>
      <c r="F1781">
        <v>9</v>
      </c>
      <c r="G1781">
        <v>6940</v>
      </c>
      <c r="H1781">
        <v>8</v>
      </c>
      <c r="I1781">
        <v>57463.199999999997</v>
      </c>
      <c r="J1781" t="s">
        <v>87</v>
      </c>
      <c r="K1781" t="s">
        <v>117</v>
      </c>
      <c r="L1781" t="s">
        <v>117</v>
      </c>
      <c r="M1781" t="s">
        <v>2839</v>
      </c>
      <c r="N1781" t="s">
        <v>2879</v>
      </c>
      <c r="O1781">
        <v>2827</v>
      </c>
      <c r="P1781">
        <v>6940</v>
      </c>
    </row>
    <row r="1782" spans="1:16" x14ac:dyDescent="0.3">
      <c r="A1782" t="s">
        <v>1049</v>
      </c>
      <c r="B1782" s="45">
        <v>45425</v>
      </c>
      <c r="C1782" t="s">
        <v>856</v>
      </c>
      <c r="D1782" t="s">
        <v>115</v>
      </c>
      <c r="E1782" t="s">
        <v>192</v>
      </c>
      <c r="F1782">
        <v>4</v>
      </c>
      <c r="G1782">
        <v>960</v>
      </c>
      <c r="H1782">
        <v>21.7</v>
      </c>
      <c r="I1782">
        <v>3006.72</v>
      </c>
      <c r="J1782" t="s">
        <v>87</v>
      </c>
      <c r="K1782" t="s">
        <v>88</v>
      </c>
      <c r="L1782" t="s">
        <v>88</v>
      </c>
      <c r="M1782" t="s">
        <v>2839</v>
      </c>
      <c r="N1782" t="s">
        <v>2871</v>
      </c>
      <c r="O1782">
        <v>705</v>
      </c>
      <c r="P1782">
        <v>960</v>
      </c>
    </row>
    <row r="1783" spans="1:16" x14ac:dyDescent="0.3">
      <c r="A1783" t="s">
        <v>1056</v>
      </c>
      <c r="B1783" s="45">
        <v>45441</v>
      </c>
      <c r="C1783" t="s">
        <v>828</v>
      </c>
      <c r="D1783" t="s">
        <v>115</v>
      </c>
      <c r="E1783" t="s">
        <v>188</v>
      </c>
      <c r="F1783">
        <v>2</v>
      </c>
      <c r="G1783">
        <v>960</v>
      </c>
      <c r="H1783">
        <v>3.7</v>
      </c>
      <c r="I1783">
        <v>1848.96</v>
      </c>
      <c r="J1783" t="s">
        <v>87</v>
      </c>
      <c r="K1783" t="s">
        <v>133</v>
      </c>
      <c r="L1783" t="s">
        <v>133</v>
      </c>
      <c r="M1783" t="s">
        <v>2839</v>
      </c>
      <c r="N1783" t="s">
        <v>2862</v>
      </c>
      <c r="O1783">
        <v>705</v>
      </c>
      <c r="P1783">
        <v>960</v>
      </c>
    </row>
    <row r="1784" spans="1:16" x14ac:dyDescent="0.3">
      <c r="A1784" t="s">
        <v>1069</v>
      </c>
      <c r="B1784" s="45">
        <v>45392</v>
      </c>
      <c r="C1784" t="s">
        <v>697</v>
      </c>
      <c r="D1784" t="s">
        <v>97</v>
      </c>
      <c r="E1784" t="s">
        <v>303</v>
      </c>
      <c r="F1784">
        <v>8</v>
      </c>
      <c r="G1784">
        <v>470</v>
      </c>
      <c r="H1784">
        <v>2.4</v>
      </c>
      <c r="I1784">
        <v>3669.76</v>
      </c>
      <c r="J1784" t="s">
        <v>87</v>
      </c>
      <c r="K1784" t="s">
        <v>133</v>
      </c>
      <c r="L1784" t="s">
        <v>133</v>
      </c>
      <c r="M1784" t="s">
        <v>2839</v>
      </c>
      <c r="N1784" t="s">
        <v>2871</v>
      </c>
      <c r="O1784">
        <v>302</v>
      </c>
      <c r="P1784">
        <v>470</v>
      </c>
    </row>
    <row r="1785" spans="1:16" x14ac:dyDescent="0.3">
      <c r="A1785" t="s">
        <v>1071</v>
      </c>
      <c r="B1785" s="45">
        <v>45297</v>
      </c>
      <c r="C1785" t="s">
        <v>1072</v>
      </c>
      <c r="D1785" t="s">
        <v>115</v>
      </c>
      <c r="E1785" t="s">
        <v>116</v>
      </c>
      <c r="F1785">
        <v>4</v>
      </c>
      <c r="G1785">
        <v>960</v>
      </c>
      <c r="H1785">
        <v>28.8</v>
      </c>
      <c r="I1785">
        <v>2734.08</v>
      </c>
      <c r="J1785" t="s">
        <v>93</v>
      </c>
      <c r="K1785" t="s">
        <v>112</v>
      </c>
      <c r="L1785" t="s">
        <v>112</v>
      </c>
      <c r="M1785" t="s">
        <v>2839</v>
      </c>
      <c r="N1785" t="s">
        <v>2879</v>
      </c>
      <c r="O1785">
        <v>705</v>
      </c>
      <c r="P1785">
        <v>960</v>
      </c>
    </row>
    <row r="1786" spans="1:16" x14ac:dyDescent="0.3">
      <c r="A1786" t="s">
        <v>1078</v>
      </c>
      <c r="B1786" s="45">
        <v>45574</v>
      </c>
      <c r="C1786" t="s">
        <v>816</v>
      </c>
      <c r="D1786" t="s">
        <v>151</v>
      </c>
      <c r="E1786" t="s">
        <v>215</v>
      </c>
      <c r="F1786">
        <v>5</v>
      </c>
      <c r="G1786">
        <v>2400</v>
      </c>
      <c r="H1786">
        <v>16.100000000000001</v>
      </c>
      <c r="I1786">
        <v>10068</v>
      </c>
      <c r="J1786" t="s">
        <v>87</v>
      </c>
      <c r="K1786" t="s">
        <v>88</v>
      </c>
      <c r="L1786" t="s">
        <v>88</v>
      </c>
      <c r="M1786" t="s">
        <v>2839</v>
      </c>
      <c r="N1786" t="s">
        <v>2855</v>
      </c>
      <c r="O1786">
        <v>974</v>
      </c>
      <c r="P1786">
        <v>2400</v>
      </c>
    </row>
    <row r="1787" spans="1:16" x14ac:dyDescent="0.3">
      <c r="A1787" t="s">
        <v>1081</v>
      </c>
      <c r="B1787" s="45">
        <v>45307</v>
      </c>
      <c r="C1787" t="s">
        <v>469</v>
      </c>
      <c r="D1787" t="s">
        <v>515</v>
      </c>
      <c r="E1787" t="s">
        <v>303</v>
      </c>
      <c r="F1787">
        <v>5</v>
      </c>
      <c r="G1787">
        <v>6940</v>
      </c>
      <c r="H1787">
        <v>16.2</v>
      </c>
      <c r="I1787">
        <v>29078.6</v>
      </c>
      <c r="J1787" t="s">
        <v>87</v>
      </c>
      <c r="K1787" t="s">
        <v>117</v>
      </c>
      <c r="L1787" t="s">
        <v>117</v>
      </c>
      <c r="M1787" t="s">
        <v>2839</v>
      </c>
      <c r="N1787" t="s">
        <v>2871</v>
      </c>
      <c r="O1787">
        <v>2827</v>
      </c>
      <c r="P1787">
        <v>6940</v>
      </c>
    </row>
    <row r="1788" spans="1:16" x14ac:dyDescent="0.3">
      <c r="A1788" t="s">
        <v>1082</v>
      </c>
      <c r="B1788" s="45">
        <v>45586</v>
      </c>
      <c r="C1788" t="s">
        <v>199</v>
      </c>
      <c r="D1788" t="s">
        <v>515</v>
      </c>
      <c r="E1788" t="s">
        <v>204</v>
      </c>
      <c r="F1788">
        <v>4</v>
      </c>
      <c r="G1788">
        <v>6940</v>
      </c>
      <c r="H1788">
        <v>15.1</v>
      </c>
      <c r="I1788">
        <v>23568.240000000002</v>
      </c>
      <c r="J1788" t="s">
        <v>87</v>
      </c>
      <c r="K1788" t="s">
        <v>133</v>
      </c>
      <c r="L1788" t="s">
        <v>133</v>
      </c>
      <c r="M1788" t="s">
        <v>2839</v>
      </c>
      <c r="N1788" t="s">
        <v>2862</v>
      </c>
      <c r="O1788">
        <v>2827</v>
      </c>
      <c r="P1788">
        <v>6940</v>
      </c>
    </row>
    <row r="1789" spans="1:16" x14ac:dyDescent="0.3">
      <c r="A1789" t="s">
        <v>1083</v>
      </c>
      <c r="B1789" s="45">
        <v>45587</v>
      </c>
      <c r="C1789" t="s">
        <v>340</v>
      </c>
      <c r="D1789" t="s">
        <v>182</v>
      </c>
      <c r="E1789" t="s">
        <v>103</v>
      </c>
      <c r="F1789">
        <v>1</v>
      </c>
      <c r="G1789">
        <v>1010</v>
      </c>
      <c r="H1789">
        <v>1.7</v>
      </c>
      <c r="I1789">
        <v>992.83</v>
      </c>
      <c r="J1789" t="s">
        <v>87</v>
      </c>
      <c r="K1789" t="s">
        <v>88</v>
      </c>
      <c r="L1789" t="s">
        <v>88</v>
      </c>
      <c r="M1789" t="s">
        <v>2839</v>
      </c>
      <c r="N1789" t="s">
        <v>2855</v>
      </c>
      <c r="O1789">
        <v>516</v>
      </c>
      <c r="P1789">
        <v>1010</v>
      </c>
    </row>
    <row r="1790" spans="1:16" x14ac:dyDescent="0.3">
      <c r="A1790" t="s">
        <v>1091</v>
      </c>
      <c r="B1790" s="45">
        <v>45634</v>
      </c>
      <c r="C1790" t="s">
        <v>219</v>
      </c>
      <c r="D1790" t="s">
        <v>182</v>
      </c>
      <c r="E1790" t="s">
        <v>92</v>
      </c>
      <c r="F1790">
        <v>10</v>
      </c>
      <c r="G1790">
        <v>1010</v>
      </c>
      <c r="H1790">
        <v>28.9</v>
      </c>
      <c r="I1790">
        <v>7181.1</v>
      </c>
      <c r="J1790" t="s">
        <v>87</v>
      </c>
      <c r="K1790" t="s">
        <v>99</v>
      </c>
      <c r="L1790" t="s">
        <v>99</v>
      </c>
      <c r="M1790" t="s">
        <v>2839</v>
      </c>
      <c r="N1790" t="s">
        <v>2855</v>
      </c>
      <c r="O1790">
        <v>516</v>
      </c>
      <c r="P1790">
        <v>1010</v>
      </c>
    </row>
    <row r="1791" spans="1:16" x14ac:dyDescent="0.3">
      <c r="A1791" t="s">
        <v>1102</v>
      </c>
      <c r="B1791" s="45">
        <v>45614</v>
      </c>
      <c r="C1791" t="s">
        <v>266</v>
      </c>
      <c r="D1791" t="s">
        <v>161</v>
      </c>
      <c r="E1791" t="s">
        <v>188</v>
      </c>
      <c r="F1791">
        <v>10</v>
      </c>
      <c r="G1791">
        <v>3450</v>
      </c>
      <c r="H1791">
        <v>25.1</v>
      </c>
      <c r="I1791">
        <v>25840.5</v>
      </c>
      <c r="J1791" t="s">
        <v>87</v>
      </c>
      <c r="K1791" t="s">
        <v>99</v>
      </c>
      <c r="L1791" t="s">
        <v>99</v>
      </c>
      <c r="M1791" t="s">
        <v>2839</v>
      </c>
      <c r="N1791" t="s">
        <v>2862</v>
      </c>
      <c r="O1791">
        <v>2467</v>
      </c>
      <c r="P1791">
        <v>3450</v>
      </c>
    </row>
    <row r="1792" spans="1:16" x14ac:dyDescent="0.3">
      <c r="A1792" t="s">
        <v>1105</v>
      </c>
      <c r="B1792" s="45">
        <v>45294</v>
      </c>
      <c r="C1792" t="s">
        <v>178</v>
      </c>
      <c r="D1792" t="s">
        <v>115</v>
      </c>
      <c r="E1792" t="s">
        <v>158</v>
      </c>
      <c r="F1792">
        <v>3</v>
      </c>
      <c r="G1792">
        <v>960</v>
      </c>
      <c r="H1792">
        <v>6.6</v>
      </c>
      <c r="I1792">
        <v>2689.92</v>
      </c>
      <c r="J1792" t="s">
        <v>140</v>
      </c>
      <c r="K1792" t="s">
        <v>94</v>
      </c>
      <c r="L1792" t="s">
        <v>94</v>
      </c>
      <c r="M1792" t="s">
        <v>2839</v>
      </c>
      <c r="N1792" t="s">
        <v>2871</v>
      </c>
      <c r="O1792">
        <v>705</v>
      </c>
      <c r="P1792">
        <v>960</v>
      </c>
    </row>
    <row r="1793" spans="1:16" x14ac:dyDescent="0.3">
      <c r="A1793" t="s">
        <v>1116</v>
      </c>
      <c r="B1793" s="45">
        <v>45381</v>
      </c>
      <c r="C1793" t="s">
        <v>905</v>
      </c>
      <c r="D1793" t="s">
        <v>115</v>
      </c>
      <c r="E1793" t="s">
        <v>201</v>
      </c>
      <c r="F1793">
        <v>2</v>
      </c>
      <c r="G1793">
        <v>960</v>
      </c>
      <c r="H1793">
        <v>8.1999999999999993</v>
      </c>
      <c r="I1793">
        <v>1762.56</v>
      </c>
      <c r="J1793" t="s">
        <v>140</v>
      </c>
      <c r="K1793" t="s">
        <v>112</v>
      </c>
      <c r="L1793" t="s">
        <v>112</v>
      </c>
      <c r="M1793" t="s">
        <v>2839</v>
      </c>
      <c r="N1793" t="s">
        <v>2879</v>
      </c>
      <c r="O1793">
        <v>705</v>
      </c>
      <c r="P1793">
        <v>960</v>
      </c>
    </row>
    <row r="1794" spans="1:16" x14ac:dyDescent="0.3">
      <c r="A1794" t="s">
        <v>1117</v>
      </c>
      <c r="B1794" s="45">
        <v>45401</v>
      </c>
      <c r="C1794" t="s">
        <v>628</v>
      </c>
      <c r="D1794" t="s">
        <v>461</v>
      </c>
      <c r="E1794" t="s">
        <v>201</v>
      </c>
      <c r="F1794">
        <v>9</v>
      </c>
      <c r="G1794">
        <v>3780</v>
      </c>
      <c r="H1794">
        <v>28.4</v>
      </c>
      <c r="I1794">
        <v>24358.32</v>
      </c>
      <c r="J1794" t="s">
        <v>93</v>
      </c>
      <c r="K1794" t="s">
        <v>133</v>
      </c>
      <c r="L1794" t="s">
        <v>133</v>
      </c>
      <c r="M1794" t="s">
        <v>2839</v>
      </c>
      <c r="N1794" t="s">
        <v>2879</v>
      </c>
      <c r="O1794">
        <v>1860</v>
      </c>
      <c r="P1794">
        <v>3780</v>
      </c>
    </row>
    <row r="1795" spans="1:16" x14ac:dyDescent="0.3">
      <c r="A1795" t="s">
        <v>1125</v>
      </c>
      <c r="B1795" s="45">
        <v>45532</v>
      </c>
      <c r="C1795" t="s">
        <v>518</v>
      </c>
      <c r="D1795" t="s">
        <v>115</v>
      </c>
      <c r="E1795" t="s">
        <v>204</v>
      </c>
      <c r="F1795">
        <v>3</v>
      </c>
      <c r="G1795">
        <v>960</v>
      </c>
      <c r="H1795">
        <v>17.8</v>
      </c>
      <c r="I1795">
        <v>2367.36</v>
      </c>
      <c r="J1795" t="s">
        <v>87</v>
      </c>
      <c r="K1795" t="s">
        <v>88</v>
      </c>
      <c r="L1795" t="s">
        <v>88</v>
      </c>
      <c r="M1795" t="s">
        <v>2839</v>
      </c>
      <c r="N1795" t="s">
        <v>2862</v>
      </c>
      <c r="O1795">
        <v>705</v>
      </c>
      <c r="P1795">
        <v>960</v>
      </c>
    </row>
    <row r="1796" spans="1:16" x14ac:dyDescent="0.3">
      <c r="A1796" t="s">
        <v>1127</v>
      </c>
      <c r="B1796" s="45">
        <v>45622</v>
      </c>
      <c r="C1796" t="s">
        <v>1006</v>
      </c>
      <c r="D1796" t="s">
        <v>515</v>
      </c>
      <c r="E1796" t="s">
        <v>170</v>
      </c>
      <c r="F1796">
        <v>5</v>
      </c>
      <c r="G1796">
        <v>6940</v>
      </c>
      <c r="H1796">
        <v>2.9</v>
      </c>
      <c r="I1796">
        <v>33693.699999999997</v>
      </c>
      <c r="J1796" t="s">
        <v>87</v>
      </c>
      <c r="K1796" t="s">
        <v>117</v>
      </c>
      <c r="L1796" t="s">
        <v>117</v>
      </c>
      <c r="M1796" t="s">
        <v>2839</v>
      </c>
      <c r="N1796" t="s">
        <v>2879</v>
      </c>
      <c r="O1796">
        <v>2827</v>
      </c>
      <c r="P1796">
        <v>6940</v>
      </c>
    </row>
    <row r="1797" spans="1:16" x14ac:dyDescent="0.3">
      <c r="A1797" t="s">
        <v>1141</v>
      </c>
      <c r="B1797" s="45">
        <v>45494</v>
      </c>
      <c r="C1797" t="s">
        <v>837</v>
      </c>
      <c r="D1797" t="s">
        <v>151</v>
      </c>
      <c r="E1797" t="s">
        <v>170</v>
      </c>
      <c r="F1797">
        <v>2</v>
      </c>
      <c r="G1797">
        <v>2400</v>
      </c>
      <c r="H1797">
        <v>29.1</v>
      </c>
      <c r="I1797">
        <v>3403.2</v>
      </c>
      <c r="J1797" t="s">
        <v>87</v>
      </c>
      <c r="K1797" t="s">
        <v>117</v>
      </c>
      <c r="L1797" t="s">
        <v>117</v>
      </c>
      <c r="M1797" t="s">
        <v>2839</v>
      </c>
      <c r="N1797" t="s">
        <v>2879</v>
      </c>
      <c r="O1797">
        <v>974</v>
      </c>
      <c r="P1797">
        <v>2400</v>
      </c>
    </row>
    <row r="1798" spans="1:16" x14ac:dyDescent="0.3">
      <c r="A1798" t="s">
        <v>1144</v>
      </c>
      <c r="B1798" s="45">
        <v>45572</v>
      </c>
      <c r="C1798" t="s">
        <v>717</v>
      </c>
      <c r="D1798" t="s">
        <v>515</v>
      </c>
      <c r="E1798" t="s">
        <v>343</v>
      </c>
      <c r="F1798">
        <v>6</v>
      </c>
      <c r="G1798">
        <v>6940</v>
      </c>
      <c r="H1798">
        <v>25.7</v>
      </c>
      <c r="I1798">
        <v>30938.52</v>
      </c>
      <c r="J1798" t="s">
        <v>87</v>
      </c>
      <c r="K1798" t="s">
        <v>94</v>
      </c>
      <c r="L1798" t="s">
        <v>94</v>
      </c>
      <c r="M1798" t="s">
        <v>2839</v>
      </c>
      <c r="N1798" t="s">
        <v>2879</v>
      </c>
      <c r="O1798">
        <v>2827</v>
      </c>
      <c r="P1798">
        <v>6940</v>
      </c>
    </row>
    <row r="1799" spans="1:16" x14ac:dyDescent="0.3">
      <c r="A1799" t="s">
        <v>1159</v>
      </c>
      <c r="B1799" s="45">
        <v>45426</v>
      </c>
      <c r="C1799" t="s">
        <v>305</v>
      </c>
      <c r="D1799" t="s">
        <v>151</v>
      </c>
      <c r="E1799" t="s">
        <v>204</v>
      </c>
      <c r="F1799">
        <v>9</v>
      </c>
      <c r="G1799">
        <v>2400</v>
      </c>
      <c r="H1799">
        <v>18.5</v>
      </c>
      <c r="I1799">
        <v>17604</v>
      </c>
      <c r="J1799" t="s">
        <v>87</v>
      </c>
      <c r="K1799" t="s">
        <v>133</v>
      </c>
      <c r="L1799" t="s">
        <v>133</v>
      </c>
      <c r="M1799" t="s">
        <v>2839</v>
      </c>
      <c r="N1799" t="s">
        <v>2862</v>
      </c>
      <c r="O1799">
        <v>974</v>
      </c>
      <c r="P1799">
        <v>2400</v>
      </c>
    </row>
    <row r="1800" spans="1:16" x14ac:dyDescent="0.3">
      <c r="A1800" t="s">
        <v>1163</v>
      </c>
      <c r="B1800" s="45">
        <v>45297</v>
      </c>
      <c r="C1800" t="s">
        <v>835</v>
      </c>
      <c r="D1800" t="s">
        <v>461</v>
      </c>
      <c r="E1800" t="s">
        <v>103</v>
      </c>
      <c r="F1800">
        <v>6</v>
      </c>
      <c r="G1800">
        <v>3780</v>
      </c>
      <c r="H1800">
        <v>27.8</v>
      </c>
      <c r="I1800">
        <v>16374.96</v>
      </c>
      <c r="J1800" t="s">
        <v>87</v>
      </c>
      <c r="K1800" t="s">
        <v>117</v>
      </c>
      <c r="L1800" t="s">
        <v>117</v>
      </c>
      <c r="M1800" t="s">
        <v>2839</v>
      </c>
      <c r="N1800" t="s">
        <v>2855</v>
      </c>
      <c r="O1800">
        <v>1860</v>
      </c>
      <c r="P1800">
        <v>3780</v>
      </c>
    </row>
    <row r="1801" spans="1:16" x14ac:dyDescent="0.3">
      <c r="A1801" t="s">
        <v>1165</v>
      </c>
      <c r="B1801" s="45">
        <v>45409</v>
      </c>
      <c r="C1801" t="s">
        <v>390</v>
      </c>
      <c r="D1801" t="s">
        <v>182</v>
      </c>
      <c r="E1801" t="s">
        <v>98</v>
      </c>
      <c r="F1801">
        <v>10</v>
      </c>
      <c r="G1801">
        <v>1010</v>
      </c>
      <c r="H1801">
        <v>0.1</v>
      </c>
      <c r="I1801">
        <v>10089.9</v>
      </c>
      <c r="J1801" t="s">
        <v>93</v>
      </c>
      <c r="K1801" t="s">
        <v>88</v>
      </c>
      <c r="L1801" t="s">
        <v>88</v>
      </c>
      <c r="M1801" t="s">
        <v>2839</v>
      </c>
      <c r="N1801" t="s">
        <v>2862</v>
      </c>
      <c r="O1801">
        <v>516</v>
      </c>
      <c r="P1801">
        <v>1010</v>
      </c>
    </row>
    <row r="1802" spans="1:16" x14ac:dyDescent="0.3">
      <c r="A1802" t="s">
        <v>1166</v>
      </c>
      <c r="B1802" s="45">
        <v>45406</v>
      </c>
      <c r="C1802" t="s">
        <v>150</v>
      </c>
      <c r="D1802" t="s">
        <v>97</v>
      </c>
      <c r="E1802" t="s">
        <v>188</v>
      </c>
      <c r="F1802">
        <v>3</v>
      </c>
      <c r="G1802">
        <v>470</v>
      </c>
      <c r="H1802">
        <v>1.1000000000000001</v>
      </c>
      <c r="I1802">
        <v>1394.49</v>
      </c>
      <c r="J1802" t="s">
        <v>87</v>
      </c>
      <c r="K1802" t="s">
        <v>88</v>
      </c>
      <c r="L1802" t="s">
        <v>88</v>
      </c>
      <c r="M1802" t="s">
        <v>2839</v>
      </c>
      <c r="N1802" t="s">
        <v>2862</v>
      </c>
      <c r="O1802">
        <v>302</v>
      </c>
      <c r="P1802">
        <v>470</v>
      </c>
    </row>
    <row r="1803" spans="1:16" x14ac:dyDescent="0.3">
      <c r="A1803" t="s">
        <v>1169</v>
      </c>
      <c r="B1803" s="45">
        <v>45530</v>
      </c>
      <c r="C1803" t="s">
        <v>1047</v>
      </c>
      <c r="D1803" t="s">
        <v>161</v>
      </c>
      <c r="E1803" t="s">
        <v>107</v>
      </c>
      <c r="F1803">
        <v>6</v>
      </c>
      <c r="G1803">
        <v>3450</v>
      </c>
      <c r="H1803">
        <v>6.6</v>
      </c>
      <c r="I1803">
        <v>19333.8</v>
      </c>
      <c r="J1803" t="s">
        <v>144</v>
      </c>
      <c r="K1803" t="s">
        <v>133</v>
      </c>
      <c r="L1803" t="s">
        <v>133</v>
      </c>
      <c r="M1803" t="s">
        <v>2839</v>
      </c>
      <c r="N1803" t="s">
        <v>2855</v>
      </c>
      <c r="O1803">
        <v>2467</v>
      </c>
      <c r="P1803">
        <v>3450</v>
      </c>
    </row>
    <row r="1804" spans="1:16" x14ac:dyDescent="0.3">
      <c r="A1804" t="s">
        <v>1173</v>
      </c>
      <c r="B1804" s="45">
        <v>45610</v>
      </c>
      <c r="C1804" t="s">
        <v>883</v>
      </c>
      <c r="D1804" t="s">
        <v>360</v>
      </c>
      <c r="E1804" t="s">
        <v>86</v>
      </c>
      <c r="F1804">
        <v>2</v>
      </c>
      <c r="G1804">
        <v>5410</v>
      </c>
      <c r="H1804">
        <v>0.9</v>
      </c>
      <c r="I1804">
        <v>10722.62</v>
      </c>
      <c r="J1804" t="s">
        <v>93</v>
      </c>
      <c r="K1804" t="s">
        <v>133</v>
      </c>
      <c r="L1804" t="s">
        <v>133</v>
      </c>
      <c r="M1804" t="s">
        <v>2839</v>
      </c>
      <c r="N1804" t="s">
        <v>2855</v>
      </c>
      <c r="O1804">
        <v>2265</v>
      </c>
      <c r="P1804">
        <v>5410</v>
      </c>
    </row>
    <row r="1805" spans="1:16" x14ac:dyDescent="0.3">
      <c r="A1805" t="s">
        <v>1181</v>
      </c>
      <c r="B1805" s="45">
        <v>45592</v>
      </c>
      <c r="C1805" t="s">
        <v>369</v>
      </c>
      <c r="D1805" t="s">
        <v>115</v>
      </c>
      <c r="E1805" t="s">
        <v>139</v>
      </c>
      <c r="F1805">
        <v>9</v>
      </c>
      <c r="G1805">
        <v>960</v>
      </c>
      <c r="H1805">
        <v>1.9</v>
      </c>
      <c r="I1805">
        <v>8475.84</v>
      </c>
      <c r="J1805" t="s">
        <v>87</v>
      </c>
      <c r="K1805" t="s">
        <v>94</v>
      </c>
      <c r="L1805" t="s">
        <v>94</v>
      </c>
      <c r="M1805" t="s">
        <v>2839</v>
      </c>
      <c r="N1805" t="s">
        <v>2855</v>
      </c>
      <c r="O1805">
        <v>705</v>
      </c>
      <c r="P1805">
        <v>960</v>
      </c>
    </row>
    <row r="1806" spans="1:16" x14ac:dyDescent="0.3">
      <c r="A1806" t="s">
        <v>1183</v>
      </c>
      <c r="B1806" s="45">
        <v>45616</v>
      </c>
      <c r="C1806" t="s">
        <v>841</v>
      </c>
      <c r="D1806" t="s">
        <v>360</v>
      </c>
      <c r="E1806" t="s">
        <v>132</v>
      </c>
      <c r="F1806">
        <v>3</v>
      </c>
      <c r="G1806">
        <v>5410</v>
      </c>
      <c r="H1806">
        <v>15.5</v>
      </c>
      <c r="I1806">
        <v>13714.35</v>
      </c>
      <c r="J1806" t="s">
        <v>87</v>
      </c>
      <c r="K1806" t="s">
        <v>117</v>
      </c>
      <c r="L1806" t="s">
        <v>117</v>
      </c>
      <c r="M1806" t="s">
        <v>2839</v>
      </c>
      <c r="N1806" t="s">
        <v>2862</v>
      </c>
      <c r="O1806">
        <v>2265</v>
      </c>
      <c r="P1806">
        <v>5410</v>
      </c>
    </row>
    <row r="1807" spans="1:16" x14ac:dyDescent="0.3">
      <c r="A1807" t="s">
        <v>1209</v>
      </c>
      <c r="B1807" s="45">
        <v>45293</v>
      </c>
      <c r="C1807" t="s">
        <v>580</v>
      </c>
      <c r="D1807" t="s">
        <v>195</v>
      </c>
      <c r="E1807" t="s">
        <v>98</v>
      </c>
      <c r="F1807">
        <v>7</v>
      </c>
      <c r="G1807">
        <v>2860</v>
      </c>
      <c r="H1807">
        <v>23.2</v>
      </c>
      <c r="I1807">
        <v>15375.36</v>
      </c>
      <c r="J1807" t="s">
        <v>87</v>
      </c>
      <c r="K1807" t="s">
        <v>88</v>
      </c>
      <c r="L1807" t="s">
        <v>88</v>
      </c>
      <c r="M1807" t="s">
        <v>2839</v>
      </c>
      <c r="N1807" t="s">
        <v>2862</v>
      </c>
      <c r="O1807">
        <v>2028</v>
      </c>
      <c r="P1807">
        <v>2860</v>
      </c>
    </row>
    <row r="1808" spans="1:16" x14ac:dyDescent="0.3">
      <c r="A1808" t="s">
        <v>1227</v>
      </c>
      <c r="B1808" s="45">
        <v>45369</v>
      </c>
      <c r="C1808" t="s">
        <v>507</v>
      </c>
      <c r="D1808" t="s">
        <v>151</v>
      </c>
      <c r="E1808" t="s">
        <v>215</v>
      </c>
      <c r="F1808">
        <v>8</v>
      </c>
      <c r="G1808">
        <v>2400</v>
      </c>
      <c r="H1808">
        <v>10</v>
      </c>
      <c r="I1808">
        <v>17280</v>
      </c>
      <c r="J1808" t="s">
        <v>93</v>
      </c>
      <c r="K1808" t="s">
        <v>88</v>
      </c>
      <c r="L1808" t="s">
        <v>88</v>
      </c>
      <c r="M1808" t="s">
        <v>2839</v>
      </c>
      <c r="N1808" t="s">
        <v>2855</v>
      </c>
      <c r="O1808">
        <v>974</v>
      </c>
      <c r="P1808">
        <v>2400</v>
      </c>
    </row>
    <row r="1809" spans="1:16" x14ac:dyDescent="0.3">
      <c r="A1809" t="s">
        <v>1237</v>
      </c>
      <c r="B1809" s="45">
        <v>45334</v>
      </c>
      <c r="C1809" t="s">
        <v>729</v>
      </c>
      <c r="D1809" t="s">
        <v>115</v>
      </c>
      <c r="E1809" t="s">
        <v>303</v>
      </c>
      <c r="F1809">
        <v>8</v>
      </c>
      <c r="G1809">
        <v>960</v>
      </c>
      <c r="H1809">
        <v>8.6999999999999993</v>
      </c>
      <c r="I1809">
        <v>7011.84</v>
      </c>
      <c r="J1809" t="s">
        <v>87</v>
      </c>
      <c r="K1809" t="s">
        <v>112</v>
      </c>
      <c r="L1809" t="s">
        <v>112</v>
      </c>
      <c r="M1809" t="s">
        <v>2839</v>
      </c>
      <c r="N1809" t="s">
        <v>2871</v>
      </c>
      <c r="O1809">
        <v>705</v>
      </c>
      <c r="P1809">
        <v>960</v>
      </c>
    </row>
    <row r="1810" spans="1:16" x14ac:dyDescent="0.3">
      <c r="A1810" t="s">
        <v>1244</v>
      </c>
      <c r="B1810" s="45">
        <v>45467</v>
      </c>
      <c r="C1810" t="s">
        <v>429</v>
      </c>
      <c r="D1810" t="s">
        <v>97</v>
      </c>
      <c r="E1810" t="s">
        <v>148</v>
      </c>
      <c r="F1810">
        <v>8</v>
      </c>
      <c r="G1810">
        <v>470</v>
      </c>
      <c r="H1810">
        <v>25.2</v>
      </c>
      <c r="I1810">
        <v>2812.48</v>
      </c>
      <c r="J1810" t="s">
        <v>87</v>
      </c>
      <c r="K1810" t="s">
        <v>117</v>
      </c>
      <c r="L1810" t="s">
        <v>117</v>
      </c>
      <c r="M1810" t="s">
        <v>2839</v>
      </c>
      <c r="N1810" t="s">
        <v>2855</v>
      </c>
      <c r="O1810">
        <v>302</v>
      </c>
      <c r="P1810">
        <v>470</v>
      </c>
    </row>
    <row r="1811" spans="1:16" x14ac:dyDescent="0.3">
      <c r="A1811" t="s">
        <v>1246</v>
      </c>
      <c r="B1811" s="45">
        <v>45645</v>
      </c>
      <c r="C1811" t="s">
        <v>84</v>
      </c>
      <c r="D1811" t="s">
        <v>182</v>
      </c>
      <c r="E1811" t="s">
        <v>121</v>
      </c>
      <c r="F1811">
        <v>2</v>
      </c>
      <c r="G1811">
        <v>1010</v>
      </c>
      <c r="H1811">
        <v>16.100000000000001</v>
      </c>
      <c r="I1811">
        <v>1694.78</v>
      </c>
      <c r="J1811" t="s">
        <v>87</v>
      </c>
      <c r="K1811" t="s">
        <v>88</v>
      </c>
      <c r="L1811" t="s">
        <v>88</v>
      </c>
      <c r="M1811" t="s">
        <v>2839</v>
      </c>
      <c r="N1811" t="s">
        <v>2871</v>
      </c>
      <c r="O1811">
        <v>516</v>
      </c>
      <c r="P1811">
        <v>1010</v>
      </c>
    </row>
    <row r="1812" spans="1:16" x14ac:dyDescent="0.3">
      <c r="A1812" t="s">
        <v>1255</v>
      </c>
      <c r="B1812" s="45">
        <v>45505</v>
      </c>
      <c r="C1812" t="s">
        <v>156</v>
      </c>
      <c r="D1812" t="s">
        <v>161</v>
      </c>
      <c r="E1812" t="s">
        <v>188</v>
      </c>
      <c r="F1812">
        <v>2</v>
      </c>
      <c r="G1812">
        <v>3450</v>
      </c>
      <c r="H1812">
        <v>17.600000000000001</v>
      </c>
      <c r="I1812">
        <v>5685.6</v>
      </c>
      <c r="J1812" t="s">
        <v>93</v>
      </c>
      <c r="K1812" t="s">
        <v>133</v>
      </c>
      <c r="L1812" t="s">
        <v>133</v>
      </c>
      <c r="M1812" t="s">
        <v>2839</v>
      </c>
      <c r="N1812" t="s">
        <v>2862</v>
      </c>
      <c r="O1812">
        <v>2467</v>
      </c>
      <c r="P1812">
        <v>3450</v>
      </c>
    </row>
    <row r="1813" spans="1:16" x14ac:dyDescent="0.3">
      <c r="A1813" t="s">
        <v>1274</v>
      </c>
      <c r="B1813" s="45">
        <v>45368</v>
      </c>
      <c r="C1813" t="s">
        <v>1065</v>
      </c>
      <c r="D1813" t="s">
        <v>161</v>
      </c>
      <c r="E1813" t="s">
        <v>346</v>
      </c>
      <c r="F1813">
        <v>8</v>
      </c>
      <c r="G1813">
        <v>3450</v>
      </c>
      <c r="H1813">
        <v>23.7</v>
      </c>
      <c r="I1813">
        <v>21058.799999999999</v>
      </c>
      <c r="J1813" t="s">
        <v>87</v>
      </c>
      <c r="K1813" t="s">
        <v>94</v>
      </c>
      <c r="L1813" t="s">
        <v>94</v>
      </c>
      <c r="M1813" t="s">
        <v>2839</v>
      </c>
      <c r="N1813" t="s">
        <v>2862</v>
      </c>
      <c r="O1813">
        <v>2467</v>
      </c>
      <c r="P1813">
        <v>3450</v>
      </c>
    </row>
    <row r="1814" spans="1:16" x14ac:dyDescent="0.3">
      <c r="A1814" t="s">
        <v>1278</v>
      </c>
      <c r="B1814" s="45">
        <v>45392</v>
      </c>
      <c r="C1814" t="s">
        <v>160</v>
      </c>
      <c r="D1814" t="s">
        <v>182</v>
      </c>
      <c r="E1814" t="s">
        <v>325</v>
      </c>
      <c r="F1814">
        <v>10</v>
      </c>
      <c r="G1814">
        <v>1010</v>
      </c>
      <c r="H1814">
        <v>28.4</v>
      </c>
      <c r="I1814">
        <v>7231.6</v>
      </c>
      <c r="J1814" t="s">
        <v>87</v>
      </c>
      <c r="K1814" t="s">
        <v>112</v>
      </c>
      <c r="L1814" t="s">
        <v>112</v>
      </c>
      <c r="M1814" t="s">
        <v>2839</v>
      </c>
      <c r="N1814" t="s">
        <v>2862</v>
      </c>
      <c r="O1814">
        <v>516</v>
      </c>
      <c r="P1814">
        <v>1010</v>
      </c>
    </row>
    <row r="1815" spans="1:16" x14ac:dyDescent="0.3">
      <c r="A1815" t="s">
        <v>1285</v>
      </c>
      <c r="B1815" s="45">
        <v>45293</v>
      </c>
      <c r="C1815" t="s">
        <v>757</v>
      </c>
      <c r="D1815" t="s">
        <v>151</v>
      </c>
      <c r="E1815" t="s">
        <v>98</v>
      </c>
      <c r="F1815">
        <v>7</v>
      </c>
      <c r="G1815">
        <v>2400</v>
      </c>
      <c r="H1815">
        <v>29.4</v>
      </c>
      <c r="I1815">
        <v>11860.8</v>
      </c>
      <c r="J1815" t="s">
        <v>87</v>
      </c>
      <c r="K1815" t="s">
        <v>117</v>
      </c>
      <c r="L1815" t="s">
        <v>117</v>
      </c>
      <c r="M1815" t="s">
        <v>2839</v>
      </c>
      <c r="N1815" t="s">
        <v>2862</v>
      </c>
      <c r="O1815">
        <v>974</v>
      </c>
      <c r="P1815">
        <v>2400</v>
      </c>
    </row>
    <row r="1816" spans="1:16" x14ac:dyDescent="0.3">
      <c r="A1816" t="s">
        <v>1288</v>
      </c>
      <c r="B1816" s="45">
        <v>45299</v>
      </c>
      <c r="C1816" t="s">
        <v>615</v>
      </c>
      <c r="D1816" t="s">
        <v>360</v>
      </c>
      <c r="E1816" t="s">
        <v>107</v>
      </c>
      <c r="F1816">
        <v>3</v>
      </c>
      <c r="G1816">
        <v>5410</v>
      </c>
      <c r="H1816">
        <v>0.2</v>
      </c>
      <c r="I1816">
        <v>16197.54</v>
      </c>
      <c r="J1816" t="s">
        <v>87</v>
      </c>
      <c r="K1816" t="s">
        <v>112</v>
      </c>
      <c r="L1816" t="s">
        <v>112</v>
      </c>
      <c r="M1816" t="s">
        <v>2839</v>
      </c>
      <c r="N1816" t="s">
        <v>2855</v>
      </c>
      <c r="O1816">
        <v>2265</v>
      </c>
      <c r="P1816">
        <v>5410</v>
      </c>
    </row>
    <row r="1817" spans="1:16" x14ac:dyDescent="0.3">
      <c r="A1817" t="s">
        <v>1295</v>
      </c>
      <c r="B1817" s="45">
        <v>45362</v>
      </c>
      <c r="C1817" t="s">
        <v>905</v>
      </c>
      <c r="D1817" t="s">
        <v>151</v>
      </c>
      <c r="E1817" t="s">
        <v>229</v>
      </c>
      <c r="F1817">
        <v>9</v>
      </c>
      <c r="G1817">
        <v>2400</v>
      </c>
      <c r="H1817">
        <v>8.4</v>
      </c>
      <c r="I1817">
        <v>19785.599999999999</v>
      </c>
      <c r="J1817" t="s">
        <v>87</v>
      </c>
      <c r="K1817" t="s">
        <v>112</v>
      </c>
      <c r="L1817" t="s">
        <v>112</v>
      </c>
      <c r="M1817" t="s">
        <v>2839</v>
      </c>
      <c r="N1817" t="s">
        <v>2879</v>
      </c>
      <c r="O1817">
        <v>974</v>
      </c>
      <c r="P1817">
        <v>2400</v>
      </c>
    </row>
    <row r="1818" spans="1:16" x14ac:dyDescent="0.3">
      <c r="A1818" t="s">
        <v>1304</v>
      </c>
      <c r="B1818" s="45">
        <v>45419</v>
      </c>
      <c r="C1818" t="s">
        <v>643</v>
      </c>
      <c r="D1818" t="s">
        <v>151</v>
      </c>
      <c r="E1818" t="s">
        <v>107</v>
      </c>
      <c r="F1818">
        <v>5</v>
      </c>
      <c r="G1818">
        <v>2400</v>
      </c>
      <c r="H1818">
        <v>15</v>
      </c>
      <c r="I1818">
        <v>10200</v>
      </c>
      <c r="J1818" t="s">
        <v>87</v>
      </c>
      <c r="K1818" t="s">
        <v>112</v>
      </c>
      <c r="L1818" t="s">
        <v>112</v>
      </c>
      <c r="M1818" t="s">
        <v>2839</v>
      </c>
      <c r="N1818" t="s">
        <v>2855</v>
      </c>
      <c r="O1818">
        <v>974</v>
      </c>
      <c r="P1818">
        <v>2400</v>
      </c>
    </row>
    <row r="1819" spans="1:16" x14ac:dyDescent="0.3">
      <c r="A1819" t="s">
        <v>1314</v>
      </c>
      <c r="B1819" s="45">
        <v>45368</v>
      </c>
      <c r="C1819" t="s">
        <v>948</v>
      </c>
      <c r="D1819" t="s">
        <v>151</v>
      </c>
      <c r="E1819" t="s">
        <v>86</v>
      </c>
      <c r="F1819">
        <v>3</v>
      </c>
      <c r="G1819">
        <v>2400</v>
      </c>
      <c r="H1819">
        <v>28.6</v>
      </c>
      <c r="I1819">
        <v>5140.8</v>
      </c>
      <c r="J1819" t="s">
        <v>87</v>
      </c>
      <c r="K1819" t="s">
        <v>88</v>
      </c>
      <c r="L1819" t="s">
        <v>88</v>
      </c>
      <c r="M1819" t="s">
        <v>2839</v>
      </c>
      <c r="N1819" t="s">
        <v>2855</v>
      </c>
      <c r="O1819">
        <v>974</v>
      </c>
      <c r="P1819">
        <v>2400</v>
      </c>
    </row>
    <row r="1820" spans="1:16" x14ac:dyDescent="0.3">
      <c r="A1820" t="s">
        <v>1321</v>
      </c>
      <c r="B1820" s="45">
        <v>45614</v>
      </c>
      <c r="C1820" t="s">
        <v>990</v>
      </c>
      <c r="D1820" t="s">
        <v>161</v>
      </c>
      <c r="E1820" t="s">
        <v>343</v>
      </c>
      <c r="F1820">
        <v>8</v>
      </c>
      <c r="G1820">
        <v>3450</v>
      </c>
      <c r="H1820">
        <v>20.9</v>
      </c>
      <c r="I1820">
        <v>21831.599999999999</v>
      </c>
      <c r="J1820" t="s">
        <v>87</v>
      </c>
      <c r="K1820" t="s">
        <v>117</v>
      </c>
      <c r="L1820" t="s">
        <v>117</v>
      </c>
      <c r="M1820" t="s">
        <v>2839</v>
      </c>
      <c r="N1820" t="s">
        <v>2879</v>
      </c>
      <c r="O1820">
        <v>2467</v>
      </c>
      <c r="P1820">
        <v>3450</v>
      </c>
    </row>
    <row r="1821" spans="1:16" x14ac:dyDescent="0.3">
      <c r="A1821" t="s">
        <v>1325</v>
      </c>
      <c r="B1821" s="45">
        <v>45369</v>
      </c>
      <c r="C1821" t="s">
        <v>163</v>
      </c>
      <c r="D1821" t="s">
        <v>195</v>
      </c>
      <c r="E1821" t="s">
        <v>139</v>
      </c>
      <c r="F1821">
        <v>7</v>
      </c>
      <c r="G1821">
        <v>2860</v>
      </c>
      <c r="H1821">
        <v>28.1</v>
      </c>
      <c r="I1821">
        <v>14394.38</v>
      </c>
      <c r="J1821" t="s">
        <v>93</v>
      </c>
      <c r="K1821" t="s">
        <v>94</v>
      </c>
      <c r="L1821" t="s">
        <v>94</v>
      </c>
      <c r="M1821" t="s">
        <v>2839</v>
      </c>
      <c r="N1821" t="s">
        <v>2855</v>
      </c>
      <c r="O1821">
        <v>2028</v>
      </c>
      <c r="P1821">
        <v>2860</v>
      </c>
    </row>
    <row r="1822" spans="1:16" x14ac:dyDescent="0.3">
      <c r="A1822" t="s">
        <v>1329</v>
      </c>
      <c r="B1822" s="45">
        <v>45419</v>
      </c>
      <c r="C1822" t="s">
        <v>178</v>
      </c>
      <c r="D1822" t="s">
        <v>360</v>
      </c>
      <c r="E1822" t="s">
        <v>132</v>
      </c>
      <c r="F1822">
        <v>2</v>
      </c>
      <c r="G1822">
        <v>5410</v>
      </c>
      <c r="H1822">
        <v>14.8</v>
      </c>
      <c r="I1822">
        <v>9218.64</v>
      </c>
      <c r="J1822" t="s">
        <v>93</v>
      </c>
      <c r="K1822" t="s">
        <v>94</v>
      </c>
      <c r="L1822" t="s">
        <v>94</v>
      </c>
      <c r="M1822" t="s">
        <v>2839</v>
      </c>
      <c r="N1822" t="s">
        <v>2862</v>
      </c>
      <c r="O1822">
        <v>2265</v>
      </c>
      <c r="P1822">
        <v>5410</v>
      </c>
    </row>
    <row r="1823" spans="1:16" x14ac:dyDescent="0.3">
      <c r="A1823" t="s">
        <v>1340</v>
      </c>
      <c r="B1823" s="45">
        <v>45302</v>
      </c>
      <c r="C1823" t="s">
        <v>142</v>
      </c>
      <c r="D1823" t="s">
        <v>461</v>
      </c>
      <c r="E1823" t="s">
        <v>229</v>
      </c>
      <c r="F1823">
        <v>5</v>
      </c>
      <c r="G1823">
        <v>3780</v>
      </c>
      <c r="H1823">
        <v>3.9</v>
      </c>
      <c r="I1823">
        <v>18162.900000000001</v>
      </c>
      <c r="J1823" t="s">
        <v>87</v>
      </c>
      <c r="K1823" t="s">
        <v>88</v>
      </c>
      <c r="L1823" t="s">
        <v>88</v>
      </c>
      <c r="M1823" t="s">
        <v>2839</v>
      </c>
      <c r="N1823" t="s">
        <v>2879</v>
      </c>
      <c r="O1823">
        <v>1860</v>
      </c>
      <c r="P1823">
        <v>3780</v>
      </c>
    </row>
    <row r="1824" spans="1:16" x14ac:dyDescent="0.3">
      <c r="A1824" t="s">
        <v>1343</v>
      </c>
      <c r="B1824" s="45">
        <v>45588</v>
      </c>
      <c r="C1824" t="s">
        <v>294</v>
      </c>
      <c r="D1824" t="s">
        <v>151</v>
      </c>
      <c r="E1824" t="s">
        <v>252</v>
      </c>
      <c r="F1824">
        <v>2</v>
      </c>
      <c r="G1824">
        <v>2400</v>
      </c>
      <c r="H1824">
        <v>17.100000000000001</v>
      </c>
      <c r="I1824">
        <v>3979.2</v>
      </c>
      <c r="J1824" t="s">
        <v>93</v>
      </c>
      <c r="K1824" t="s">
        <v>133</v>
      </c>
      <c r="L1824" t="s">
        <v>133</v>
      </c>
      <c r="M1824" t="s">
        <v>2839</v>
      </c>
      <c r="N1824" t="s">
        <v>2862</v>
      </c>
      <c r="O1824">
        <v>974</v>
      </c>
      <c r="P1824">
        <v>2400</v>
      </c>
    </row>
    <row r="1825" spans="1:16" x14ac:dyDescent="0.3">
      <c r="A1825" t="s">
        <v>1368</v>
      </c>
      <c r="B1825" s="45">
        <v>45498</v>
      </c>
      <c r="C1825" t="s">
        <v>546</v>
      </c>
      <c r="D1825" t="s">
        <v>147</v>
      </c>
      <c r="E1825" t="s">
        <v>92</v>
      </c>
      <c r="F1825">
        <v>8</v>
      </c>
      <c r="G1825">
        <v>190</v>
      </c>
      <c r="H1825">
        <v>10.199999999999999</v>
      </c>
      <c r="I1825">
        <v>1364.96</v>
      </c>
      <c r="J1825" t="s">
        <v>87</v>
      </c>
      <c r="K1825" t="s">
        <v>99</v>
      </c>
      <c r="L1825" t="s">
        <v>99</v>
      </c>
      <c r="M1825" t="s">
        <v>2839</v>
      </c>
      <c r="N1825" t="s">
        <v>2855</v>
      </c>
      <c r="O1825">
        <v>147</v>
      </c>
      <c r="P1825">
        <v>190</v>
      </c>
    </row>
    <row r="1826" spans="1:16" x14ac:dyDescent="0.3">
      <c r="A1826" t="s">
        <v>1370</v>
      </c>
      <c r="B1826" s="45">
        <v>45484</v>
      </c>
      <c r="C1826" t="s">
        <v>597</v>
      </c>
      <c r="D1826" t="s">
        <v>115</v>
      </c>
      <c r="E1826" t="s">
        <v>192</v>
      </c>
      <c r="F1826">
        <v>6</v>
      </c>
      <c r="G1826">
        <v>960</v>
      </c>
      <c r="H1826">
        <v>1.9</v>
      </c>
      <c r="I1826">
        <v>5650.56</v>
      </c>
      <c r="J1826" t="s">
        <v>87</v>
      </c>
      <c r="K1826" t="s">
        <v>112</v>
      </c>
      <c r="L1826" t="s">
        <v>112</v>
      </c>
      <c r="M1826" t="s">
        <v>2839</v>
      </c>
      <c r="N1826" t="s">
        <v>2871</v>
      </c>
      <c r="O1826">
        <v>705</v>
      </c>
      <c r="P1826">
        <v>960</v>
      </c>
    </row>
    <row r="1827" spans="1:16" x14ac:dyDescent="0.3">
      <c r="A1827" t="s">
        <v>1387</v>
      </c>
      <c r="B1827" s="45">
        <v>45499</v>
      </c>
      <c r="C1827" t="s">
        <v>228</v>
      </c>
      <c r="D1827" t="s">
        <v>147</v>
      </c>
      <c r="E1827" t="s">
        <v>285</v>
      </c>
      <c r="F1827">
        <v>6</v>
      </c>
      <c r="G1827">
        <v>190</v>
      </c>
      <c r="H1827">
        <v>17.100000000000001</v>
      </c>
      <c r="I1827">
        <v>945.06</v>
      </c>
      <c r="J1827" t="s">
        <v>140</v>
      </c>
      <c r="K1827" t="s">
        <v>112</v>
      </c>
      <c r="L1827" t="s">
        <v>112</v>
      </c>
      <c r="M1827" t="s">
        <v>2839</v>
      </c>
      <c r="N1827" t="s">
        <v>2871</v>
      </c>
      <c r="O1827">
        <v>147</v>
      </c>
      <c r="P1827">
        <v>190</v>
      </c>
    </row>
    <row r="1828" spans="1:16" x14ac:dyDescent="0.3">
      <c r="A1828" t="s">
        <v>1394</v>
      </c>
      <c r="B1828" s="45">
        <v>45379</v>
      </c>
      <c r="C1828" t="s">
        <v>299</v>
      </c>
      <c r="D1828" t="s">
        <v>115</v>
      </c>
      <c r="E1828" t="s">
        <v>154</v>
      </c>
      <c r="F1828">
        <v>2</v>
      </c>
      <c r="G1828">
        <v>960</v>
      </c>
      <c r="H1828">
        <v>1.4</v>
      </c>
      <c r="I1828">
        <v>1893.12</v>
      </c>
      <c r="J1828" t="s">
        <v>87</v>
      </c>
      <c r="K1828" t="s">
        <v>133</v>
      </c>
      <c r="L1828" t="s">
        <v>133</v>
      </c>
      <c r="M1828" t="s">
        <v>2839</v>
      </c>
      <c r="N1828" t="s">
        <v>2871</v>
      </c>
      <c r="O1828">
        <v>705</v>
      </c>
      <c r="P1828">
        <v>960</v>
      </c>
    </row>
    <row r="1829" spans="1:16" x14ac:dyDescent="0.3">
      <c r="A1829" t="s">
        <v>1402</v>
      </c>
      <c r="B1829" s="45">
        <v>45473</v>
      </c>
      <c r="C1829" t="s">
        <v>190</v>
      </c>
      <c r="D1829" t="s">
        <v>147</v>
      </c>
      <c r="E1829" t="s">
        <v>111</v>
      </c>
      <c r="F1829">
        <v>6</v>
      </c>
      <c r="G1829">
        <v>190</v>
      </c>
      <c r="H1829">
        <v>14.6</v>
      </c>
      <c r="I1829">
        <v>973.56</v>
      </c>
      <c r="J1829" t="s">
        <v>87</v>
      </c>
      <c r="K1829" t="s">
        <v>133</v>
      </c>
      <c r="L1829" t="s">
        <v>133</v>
      </c>
      <c r="M1829" t="s">
        <v>2839</v>
      </c>
      <c r="N1829" t="s">
        <v>2879</v>
      </c>
      <c r="O1829">
        <v>147</v>
      </c>
      <c r="P1829">
        <v>190</v>
      </c>
    </row>
    <row r="1830" spans="1:16" x14ac:dyDescent="0.3">
      <c r="A1830" t="s">
        <v>1411</v>
      </c>
      <c r="B1830" s="45">
        <v>45554</v>
      </c>
      <c r="C1830" t="s">
        <v>305</v>
      </c>
      <c r="D1830" t="s">
        <v>360</v>
      </c>
      <c r="E1830" t="s">
        <v>201</v>
      </c>
      <c r="F1830">
        <v>3</v>
      </c>
      <c r="G1830">
        <v>5410</v>
      </c>
      <c r="H1830">
        <v>10</v>
      </c>
      <c r="I1830">
        <v>14607</v>
      </c>
      <c r="J1830" t="s">
        <v>87</v>
      </c>
      <c r="K1830" t="s">
        <v>133</v>
      </c>
      <c r="L1830" t="s">
        <v>133</v>
      </c>
      <c r="M1830" t="s">
        <v>2839</v>
      </c>
      <c r="N1830" t="s">
        <v>2879</v>
      </c>
      <c r="O1830">
        <v>2265</v>
      </c>
      <c r="P1830">
        <v>5410</v>
      </c>
    </row>
    <row r="1831" spans="1:16" x14ac:dyDescent="0.3">
      <c r="A1831" t="s">
        <v>1414</v>
      </c>
      <c r="B1831" s="45">
        <v>45442</v>
      </c>
      <c r="C1831" t="s">
        <v>266</v>
      </c>
      <c r="D1831" t="s">
        <v>97</v>
      </c>
      <c r="E1831" t="s">
        <v>201</v>
      </c>
      <c r="F1831">
        <v>6</v>
      </c>
      <c r="G1831">
        <v>470</v>
      </c>
      <c r="H1831">
        <v>2.4</v>
      </c>
      <c r="I1831">
        <v>2752.32</v>
      </c>
      <c r="J1831" t="s">
        <v>93</v>
      </c>
      <c r="K1831" t="s">
        <v>99</v>
      </c>
      <c r="L1831" t="s">
        <v>99</v>
      </c>
      <c r="M1831" t="s">
        <v>2839</v>
      </c>
      <c r="N1831" t="s">
        <v>2879</v>
      </c>
      <c r="O1831">
        <v>302</v>
      </c>
      <c r="P1831">
        <v>470</v>
      </c>
    </row>
    <row r="1832" spans="1:16" x14ac:dyDescent="0.3">
      <c r="A1832" t="s">
        <v>1415</v>
      </c>
      <c r="B1832" s="45">
        <v>45371</v>
      </c>
      <c r="C1832" t="s">
        <v>759</v>
      </c>
      <c r="D1832" t="s">
        <v>97</v>
      </c>
      <c r="E1832" t="s">
        <v>111</v>
      </c>
      <c r="F1832">
        <v>3</v>
      </c>
      <c r="G1832">
        <v>470</v>
      </c>
      <c r="H1832">
        <v>6.3</v>
      </c>
      <c r="I1832">
        <v>1321.17</v>
      </c>
      <c r="J1832" t="s">
        <v>87</v>
      </c>
      <c r="K1832" t="s">
        <v>117</v>
      </c>
      <c r="L1832" t="s">
        <v>117</v>
      </c>
      <c r="M1832" t="s">
        <v>2839</v>
      </c>
      <c r="N1832" t="s">
        <v>2879</v>
      </c>
      <c r="O1832">
        <v>302</v>
      </c>
      <c r="P1832">
        <v>470</v>
      </c>
    </row>
    <row r="1833" spans="1:16" x14ac:dyDescent="0.3">
      <c r="A1833" t="s">
        <v>1416</v>
      </c>
      <c r="B1833" s="45">
        <v>45540</v>
      </c>
      <c r="C1833" t="s">
        <v>1308</v>
      </c>
      <c r="D1833" t="s">
        <v>461</v>
      </c>
      <c r="E1833" t="s">
        <v>139</v>
      </c>
      <c r="F1833">
        <v>3</v>
      </c>
      <c r="G1833">
        <v>3780</v>
      </c>
      <c r="H1833">
        <v>19.399999999999999</v>
      </c>
      <c r="I1833">
        <v>9140.0400000000009</v>
      </c>
      <c r="J1833" t="s">
        <v>93</v>
      </c>
      <c r="K1833" t="s">
        <v>94</v>
      </c>
      <c r="L1833" t="s">
        <v>94</v>
      </c>
      <c r="M1833" t="s">
        <v>2839</v>
      </c>
      <c r="N1833" t="s">
        <v>2855</v>
      </c>
      <c r="O1833">
        <v>1860</v>
      </c>
      <c r="P1833">
        <v>3780</v>
      </c>
    </row>
    <row r="1834" spans="1:16" x14ac:dyDescent="0.3">
      <c r="A1834" t="s">
        <v>1417</v>
      </c>
      <c r="B1834" s="45">
        <v>45392</v>
      </c>
      <c r="C1834" t="s">
        <v>126</v>
      </c>
      <c r="D1834" t="s">
        <v>515</v>
      </c>
      <c r="E1834" t="s">
        <v>121</v>
      </c>
      <c r="F1834">
        <v>5</v>
      </c>
      <c r="G1834">
        <v>6940</v>
      </c>
      <c r="H1834">
        <v>12.6</v>
      </c>
      <c r="I1834">
        <v>30327.8</v>
      </c>
      <c r="J1834" t="s">
        <v>87</v>
      </c>
      <c r="K1834" t="s">
        <v>88</v>
      </c>
      <c r="L1834" t="s">
        <v>88</v>
      </c>
      <c r="M1834" t="s">
        <v>2839</v>
      </c>
      <c r="N1834" t="s">
        <v>2871</v>
      </c>
      <c r="O1834">
        <v>2827</v>
      </c>
      <c r="P1834">
        <v>6940</v>
      </c>
    </row>
    <row r="1835" spans="1:16" x14ac:dyDescent="0.3">
      <c r="A1835" t="s">
        <v>1419</v>
      </c>
      <c r="B1835" s="45">
        <v>45516</v>
      </c>
      <c r="C1835" t="s">
        <v>841</v>
      </c>
      <c r="D1835" t="s">
        <v>360</v>
      </c>
      <c r="E1835" t="s">
        <v>98</v>
      </c>
      <c r="F1835">
        <v>8</v>
      </c>
      <c r="G1835">
        <v>5410</v>
      </c>
      <c r="H1835">
        <v>28.4</v>
      </c>
      <c r="I1835">
        <v>30988.48</v>
      </c>
      <c r="J1835" t="s">
        <v>93</v>
      </c>
      <c r="K1835" t="s">
        <v>117</v>
      </c>
      <c r="L1835" t="s">
        <v>117</v>
      </c>
      <c r="M1835" t="s">
        <v>2839</v>
      </c>
      <c r="N1835" t="s">
        <v>2862</v>
      </c>
      <c r="O1835">
        <v>2265</v>
      </c>
      <c r="P1835">
        <v>5410</v>
      </c>
    </row>
    <row r="1836" spans="1:16" x14ac:dyDescent="0.3">
      <c r="A1836" t="s">
        <v>1421</v>
      </c>
      <c r="B1836" s="45">
        <v>45610</v>
      </c>
      <c r="C1836" t="s">
        <v>615</v>
      </c>
      <c r="D1836" t="s">
        <v>515</v>
      </c>
      <c r="E1836" t="s">
        <v>215</v>
      </c>
      <c r="F1836">
        <v>5</v>
      </c>
      <c r="G1836">
        <v>6940</v>
      </c>
      <c r="H1836">
        <v>1.5</v>
      </c>
      <c r="I1836">
        <v>34179.5</v>
      </c>
      <c r="J1836" t="s">
        <v>87</v>
      </c>
      <c r="K1836" t="s">
        <v>112</v>
      </c>
      <c r="L1836" t="s">
        <v>112</v>
      </c>
      <c r="M1836" t="s">
        <v>2839</v>
      </c>
      <c r="N1836" t="s">
        <v>2855</v>
      </c>
      <c r="O1836">
        <v>2827</v>
      </c>
      <c r="P1836">
        <v>6940</v>
      </c>
    </row>
    <row r="1837" spans="1:16" x14ac:dyDescent="0.3">
      <c r="A1837" t="s">
        <v>1433</v>
      </c>
      <c r="B1837" s="45">
        <v>45575</v>
      </c>
      <c r="C1837" t="s">
        <v>597</v>
      </c>
      <c r="D1837" t="s">
        <v>161</v>
      </c>
      <c r="E1837" t="s">
        <v>346</v>
      </c>
      <c r="F1837">
        <v>3</v>
      </c>
      <c r="G1837">
        <v>3450</v>
      </c>
      <c r="H1837">
        <v>4.7</v>
      </c>
      <c r="I1837">
        <v>9863.5499999999993</v>
      </c>
      <c r="J1837" t="s">
        <v>93</v>
      </c>
      <c r="K1837" t="s">
        <v>112</v>
      </c>
      <c r="L1837" t="s">
        <v>112</v>
      </c>
      <c r="M1837" t="s">
        <v>2839</v>
      </c>
      <c r="N1837" t="s">
        <v>2862</v>
      </c>
      <c r="O1837">
        <v>2467</v>
      </c>
      <c r="P1837">
        <v>3450</v>
      </c>
    </row>
    <row r="1838" spans="1:16" x14ac:dyDescent="0.3">
      <c r="A1838" t="s">
        <v>1448</v>
      </c>
      <c r="B1838" s="45">
        <v>45521</v>
      </c>
      <c r="C1838" t="s">
        <v>902</v>
      </c>
      <c r="D1838" t="s">
        <v>115</v>
      </c>
      <c r="E1838" t="s">
        <v>346</v>
      </c>
      <c r="F1838">
        <v>8</v>
      </c>
      <c r="G1838">
        <v>960</v>
      </c>
      <c r="H1838">
        <v>1.3</v>
      </c>
      <c r="I1838">
        <v>7580.16</v>
      </c>
      <c r="J1838" t="s">
        <v>140</v>
      </c>
      <c r="K1838" t="s">
        <v>112</v>
      </c>
      <c r="L1838" t="s">
        <v>112</v>
      </c>
      <c r="M1838" t="s">
        <v>2839</v>
      </c>
      <c r="N1838" t="s">
        <v>2862</v>
      </c>
      <c r="O1838">
        <v>705</v>
      </c>
      <c r="P1838">
        <v>960</v>
      </c>
    </row>
    <row r="1839" spans="1:16" x14ac:dyDescent="0.3">
      <c r="A1839" t="s">
        <v>1453</v>
      </c>
      <c r="B1839" s="45">
        <v>45423</v>
      </c>
      <c r="C1839" t="s">
        <v>130</v>
      </c>
      <c r="D1839" t="s">
        <v>360</v>
      </c>
      <c r="E1839" t="s">
        <v>92</v>
      </c>
      <c r="F1839">
        <v>4</v>
      </c>
      <c r="G1839">
        <v>5410</v>
      </c>
      <c r="H1839">
        <v>18.7</v>
      </c>
      <c r="I1839">
        <v>17593.32</v>
      </c>
      <c r="J1839" t="s">
        <v>87</v>
      </c>
      <c r="K1839" t="s">
        <v>133</v>
      </c>
      <c r="L1839" t="s">
        <v>133</v>
      </c>
      <c r="M1839" t="s">
        <v>2839</v>
      </c>
      <c r="N1839" t="s">
        <v>2855</v>
      </c>
      <c r="O1839">
        <v>2265</v>
      </c>
      <c r="P1839">
        <v>5410</v>
      </c>
    </row>
    <row r="1840" spans="1:16" x14ac:dyDescent="0.3">
      <c r="A1840" t="s">
        <v>1459</v>
      </c>
      <c r="B1840" s="45">
        <v>45519</v>
      </c>
      <c r="C1840" t="s">
        <v>528</v>
      </c>
      <c r="D1840" t="s">
        <v>115</v>
      </c>
      <c r="E1840" t="s">
        <v>285</v>
      </c>
      <c r="F1840">
        <v>4</v>
      </c>
      <c r="G1840">
        <v>960</v>
      </c>
      <c r="H1840">
        <v>13.4</v>
      </c>
      <c r="I1840">
        <v>3325.44</v>
      </c>
      <c r="J1840" t="s">
        <v>87</v>
      </c>
      <c r="K1840" t="s">
        <v>112</v>
      </c>
      <c r="L1840" t="s">
        <v>112</v>
      </c>
      <c r="M1840" t="s">
        <v>2839</v>
      </c>
      <c r="N1840" t="s">
        <v>2871</v>
      </c>
      <c r="O1840">
        <v>705</v>
      </c>
      <c r="P1840">
        <v>960</v>
      </c>
    </row>
    <row r="1841" spans="1:16" x14ac:dyDescent="0.3">
      <c r="A1841" t="s">
        <v>1472</v>
      </c>
      <c r="B1841" s="45">
        <v>45342</v>
      </c>
      <c r="C1841" t="s">
        <v>289</v>
      </c>
      <c r="D1841" t="s">
        <v>182</v>
      </c>
      <c r="E1841" t="s">
        <v>215</v>
      </c>
      <c r="F1841">
        <v>5</v>
      </c>
      <c r="G1841">
        <v>1010</v>
      </c>
      <c r="H1841">
        <v>2.2000000000000002</v>
      </c>
      <c r="I1841">
        <v>4938.8999999999996</v>
      </c>
      <c r="J1841" t="s">
        <v>87</v>
      </c>
      <c r="K1841" t="s">
        <v>94</v>
      </c>
      <c r="L1841" t="s">
        <v>94</v>
      </c>
      <c r="M1841" t="s">
        <v>2839</v>
      </c>
      <c r="N1841" t="s">
        <v>2855</v>
      </c>
      <c r="O1841">
        <v>516</v>
      </c>
      <c r="P1841">
        <v>1010</v>
      </c>
    </row>
    <row r="1842" spans="1:16" x14ac:dyDescent="0.3">
      <c r="A1842" t="s">
        <v>1477</v>
      </c>
      <c r="B1842" s="45">
        <v>45313</v>
      </c>
      <c r="C1842" t="s">
        <v>559</v>
      </c>
      <c r="D1842" t="s">
        <v>147</v>
      </c>
      <c r="E1842" t="s">
        <v>325</v>
      </c>
      <c r="F1842">
        <v>6</v>
      </c>
      <c r="G1842">
        <v>190</v>
      </c>
      <c r="H1842">
        <v>7.1</v>
      </c>
      <c r="I1842">
        <v>1059.06</v>
      </c>
      <c r="J1842" t="s">
        <v>87</v>
      </c>
      <c r="K1842" t="s">
        <v>88</v>
      </c>
      <c r="L1842" t="s">
        <v>88</v>
      </c>
      <c r="M1842" t="s">
        <v>2839</v>
      </c>
      <c r="N1842" t="s">
        <v>2862</v>
      </c>
      <c r="O1842">
        <v>147</v>
      </c>
      <c r="P1842">
        <v>190</v>
      </c>
    </row>
    <row r="1843" spans="1:16" x14ac:dyDescent="0.3">
      <c r="A1843" t="s">
        <v>1485</v>
      </c>
      <c r="B1843" s="45">
        <v>45563</v>
      </c>
      <c r="C1843" t="s">
        <v>700</v>
      </c>
      <c r="D1843" t="s">
        <v>195</v>
      </c>
      <c r="E1843" t="s">
        <v>103</v>
      </c>
      <c r="F1843">
        <v>8</v>
      </c>
      <c r="G1843">
        <v>2860</v>
      </c>
      <c r="H1843">
        <v>14.3</v>
      </c>
      <c r="I1843">
        <v>19608.16</v>
      </c>
      <c r="J1843" t="s">
        <v>87</v>
      </c>
      <c r="K1843" t="s">
        <v>94</v>
      </c>
      <c r="L1843" t="s">
        <v>94</v>
      </c>
      <c r="M1843" t="s">
        <v>2839</v>
      </c>
      <c r="N1843" t="s">
        <v>2855</v>
      </c>
      <c r="O1843">
        <v>2028</v>
      </c>
      <c r="P1843">
        <v>2860</v>
      </c>
    </row>
    <row r="1844" spans="1:16" x14ac:dyDescent="0.3">
      <c r="A1844" t="s">
        <v>1488</v>
      </c>
      <c r="B1844" s="45">
        <v>45585</v>
      </c>
      <c r="C1844" t="s">
        <v>390</v>
      </c>
      <c r="D1844" t="s">
        <v>195</v>
      </c>
      <c r="E1844" t="s">
        <v>215</v>
      </c>
      <c r="F1844">
        <v>10</v>
      </c>
      <c r="G1844">
        <v>2860</v>
      </c>
      <c r="H1844">
        <v>13.1</v>
      </c>
      <c r="I1844">
        <v>24853.4</v>
      </c>
      <c r="J1844" t="s">
        <v>144</v>
      </c>
      <c r="K1844" t="s">
        <v>88</v>
      </c>
      <c r="L1844" t="s">
        <v>88</v>
      </c>
      <c r="M1844" t="s">
        <v>2839</v>
      </c>
      <c r="N1844" t="s">
        <v>2855</v>
      </c>
      <c r="O1844">
        <v>2028</v>
      </c>
      <c r="P1844">
        <v>2860</v>
      </c>
    </row>
    <row r="1845" spans="1:16" x14ac:dyDescent="0.3">
      <c r="A1845" t="s">
        <v>1500</v>
      </c>
      <c r="B1845" s="45">
        <v>45554</v>
      </c>
      <c r="C1845" t="s">
        <v>219</v>
      </c>
      <c r="D1845" t="s">
        <v>461</v>
      </c>
      <c r="E1845" t="s">
        <v>273</v>
      </c>
      <c r="F1845">
        <v>8</v>
      </c>
      <c r="G1845">
        <v>3780</v>
      </c>
      <c r="H1845">
        <v>26.5</v>
      </c>
      <c r="I1845">
        <v>22226.400000000001</v>
      </c>
      <c r="J1845" t="s">
        <v>87</v>
      </c>
      <c r="K1845" t="s">
        <v>99</v>
      </c>
      <c r="L1845" t="s">
        <v>99</v>
      </c>
      <c r="M1845" t="s">
        <v>2839</v>
      </c>
      <c r="N1845" t="s">
        <v>2862</v>
      </c>
      <c r="O1845">
        <v>1860</v>
      </c>
      <c r="P1845">
        <v>3780</v>
      </c>
    </row>
    <row r="1846" spans="1:16" x14ac:dyDescent="0.3">
      <c r="A1846" t="s">
        <v>1501</v>
      </c>
      <c r="B1846" s="45">
        <v>45528</v>
      </c>
      <c r="C1846" t="s">
        <v>921</v>
      </c>
      <c r="D1846" t="s">
        <v>151</v>
      </c>
      <c r="E1846" t="s">
        <v>273</v>
      </c>
      <c r="F1846">
        <v>6</v>
      </c>
      <c r="G1846">
        <v>2400</v>
      </c>
      <c r="H1846">
        <v>1.4</v>
      </c>
      <c r="I1846">
        <v>14198.4</v>
      </c>
      <c r="J1846" t="s">
        <v>87</v>
      </c>
      <c r="K1846" t="s">
        <v>117</v>
      </c>
      <c r="L1846" t="s">
        <v>117</v>
      </c>
      <c r="M1846" t="s">
        <v>2839</v>
      </c>
      <c r="N1846" t="s">
        <v>2862</v>
      </c>
      <c r="O1846">
        <v>974</v>
      </c>
      <c r="P1846">
        <v>2400</v>
      </c>
    </row>
    <row r="1847" spans="1:16" x14ac:dyDescent="0.3">
      <c r="A1847" t="s">
        <v>1508</v>
      </c>
      <c r="B1847" s="45">
        <v>45406</v>
      </c>
      <c r="C1847" t="s">
        <v>482</v>
      </c>
      <c r="D1847" t="s">
        <v>182</v>
      </c>
      <c r="E1847" t="s">
        <v>252</v>
      </c>
      <c r="F1847">
        <v>1</v>
      </c>
      <c r="G1847">
        <v>1010</v>
      </c>
      <c r="H1847">
        <v>6.9</v>
      </c>
      <c r="I1847">
        <v>940.31</v>
      </c>
      <c r="J1847" t="s">
        <v>93</v>
      </c>
      <c r="K1847" t="s">
        <v>133</v>
      </c>
      <c r="L1847" t="s">
        <v>133</v>
      </c>
      <c r="M1847" t="s">
        <v>2839</v>
      </c>
      <c r="N1847" t="s">
        <v>2862</v>
      </c>
      <c r="O1847">
        <v>516</v>
      </c>
      <c r="P1847">
        <v>1010</v>
      </c>
    </row>
    <row r="1848" spans="1:16" x14ac:dyDescent="0.3">
      <c r="A1848" t="s">
        <v>1509</v>
      </c>
      <c r="B1848" s="45">
        <v>45411</v>
      </c>
      <c r="C1848" t="s">
        <v>175</v>
      </c>
      <c r="D1848" t="s">
        <v>195</v>
      </c>
      <c r="E1848" t="s">
        <v>98</v>
      </c>
      <c r="F1848">
        <v>2</v>
      </c>
      <c r="G1848">
        <v>2860</v>
      </c>
      <c r="H1848">
        <v>20.100000000000001</v>
      </c>
      <c r="I1848">
        <v>4570.28</v>
      </c>
      <c r="J1848" t="s">
        <v>87</v>
      </c>
      <c r="K1848" t="s">
        <v>133</v>
      </c>
      <c r="L1848" t="s">
        <v>133</v>
      </c>
      <c r="M1848" t="s">
        <v>2839</v>
      </c>
      <c r="N1848" t="s">
        <v>2862</v>
      </c>
      <c r="O1848">
        <v>2028</v>
      </c>
      <c r="P1848">
        <v>2860</v>
      </c>
    </row>
    <row r="1849" spans="1:16" x14ac:dyDescent="0.3">
      <c r="A1849" t="s">
        <v>1511</v>
      </c>
      <c r="B1849" s="45">
        <v>45409</v>
      </c>
      <c r="C1849" t="s">
        <v>493</v>
      </c>
      <c r="D1849" t="s">
        <v>97</v>
      </c>
      <c r="E1849" t="s">
        <v>116</v>
      </c>
      <c r="F1849">
        <v>10</v>
      </c>
      <c r="G1849">
        <v>470</v>
      </c>
      <c r="H1849">
        <v>23.1</v>
      </c>
      <c r="I1849">
        <v>3614.3</v>
      </c>
      <c r="J1849" t="s">
        <v>93</v>
      </c>
      <c r="K1849" t="s">
        <v>88</v>
      </c>
      <c r="L1849" t="s">
        <v>88</v>
      </c>
      <c r="M1849" t="s">
        <v>2839</v>
      </c>
      <c r="N1849" t="s">
        <v>2879</v>
      </c>
      <c r="O1849">
        <v>302</v>
      </c>
      <c r="P1849">
        <v>470</v>
      </c>
    </row>
    <row r="1850" spans="1:16" x14ac:dyDescent="0.3">
      <c r="A1850" t="s">
        <v>1519</v>
      </c>
      <c r="B1850" s="45">
        <v>45361</v>
      </c>
      <c r="C1850" t="s">
        <v>602</v>
      </c>
      <c r="D1850" t="s">
        <v>97</v>
      </c>
      <c r="E1850" t="s">
        <v>111</v>
      </c>
      <c r="F1850">
        <v>9</v>
      </c>
      <c r="G1850">
        <v>470</v>
      </c>
      <c r="H1850">
        <v>27.1</v>
      </c>
      <c r="I1850">
        <v>3083.67</v>
      </c>
      <c r="J1850" t="s">
        <v>87</v>
      </c>
      <c r="K1850" t="s">
        <v>94</v>
      </c>
      <c r="L1850" t="s">
        <v>94</v>
      </c>
      <c r="M1850" t="s">
        <v>2839</v>
      </c>
      <c r="N1850" t="s">
        <v>2879</v>
      </c>
      <c r="O1850">
        <v>302</v>
      </c>
      <c r="P1850">
        <v>470</v>
      </c>
    </row>
    <row r="1851" spans="1:16" x14ac:dyDescent="0.3">
      <c r="A1851" t="s">
        <v>1521</v>
      </c>
      <c r="B1851" s="45">
        <v>45496</v>
      </c>
      <c r="C1851" t="s">
        <v>613</v>
      </c>
      <c r="D1851" t="s">
        <v>461</v>
      </c>
      <c r="E1851" t="s">
        <v>303</v>
      </c>
      <c r="F1851">
        <v>10</v>
      </c>
      <c r="G1851">
        <v>3780</v>
      </c>
      <c r="H1851">
        <v>21.5</v>
      </c>
      <c r="I1851">
        <v>29673</v>
      </c>
      <c r="J1851" t="s">
        <v>93</v>
      </c>
      <c r="K1851" t="s">
        <v>112</v>
      </c>
      <c r="L1851" t="s">
        <v>112</v>
      </c>
      <c r="M1851" t="s">
        <v>2839</v>
      </c>
      <c r="N1851" t="s">
        <v>2871</v>
      </c>
      <c r="O1851">
        <v>1860</v>
      </c>
      <c r="P1851">
        <v>3780</v>
      </c>
    </row>
    <row r="1852" spans="1:16" x14ac:dyDescent="0.3">
      <c r="A1852" t="s">
        <v>1522</v>
      </c>
      <c r="B1852" s="45">
        <v>45578</v>
      </c>
      <c r="C1852" t="s">
        <v>490</v>
      </c>
      <c r="D1852" t="s">
        <v>515</v>
      </c>
      <c r="E1852" t="s">
        <v>204</v>
      </c>
      <c r="F1852">
        <v>4</v>
      </c>
      <c r="G1852">
        <v>6940</v>
      </c>
      <c r="H1852">
        <v>3.9</v>
      </c>
      <c r="I1852">
        <v>26677.360000000001</v>
      </c>
      <c r="J1852" t="s">
        <v>140</v>
      </c>
      <c r="K1852" t="s">
        <v>99</v>
      </c>
      <c r="L1852" t="s">
        <v>99</v>
      </c>
      <c r="M1852" t="s">
        <v>2839</v>
      </c>
      <c r="N1852" t="s">
        <v>2862</v>
      </c>
      <c r="O1852">
        <v>2827</v>
      </c>
      <c r="P1852">
        <v>6940</v>
      </c>
    </row>
    <row r="1853" spans="1:16" x14ac:dyDescent="0.3">
      <c r="A1853" t="s">
        <v>1525</v>
      </c>
      <c r="B1853" s="45">
        <v>45455</v>
      </c>
      <c r="C1853" t="s">
        <v>166</v>
      </c>
      <c r="D1853" t="s">
        <v>360</v>
      </c>
      <c r="E1853" t="s">
        <v>215</v>
      </c>
      <c r="F1853">
        <v>5</v>
      </c>
      <c r="G1853">
        <v>5410</v>
      </c>
      <c r="H1853">
        <v>5.2</v>
      </c>
      <c r="I1853">
        <v>25643.4</v>
      </c>
      <c r="J1853" t="s">
        <v>87</v>
      </c>
      <c r="K1853" t="s">
        <v>133</v>
      </c>
      <c r="L1853" t="s">
        <v>133</v>
      </c>
      <c r="M1853" t="s">
        <v>2839</v>
      </c>
      <c r="N1853" t="s">
        <v>2855</v>
      </c>
      <c r="O1853">
        <v>2265</v>
      </c>
      <c r="P1853">
        <v>5410</v>
      </c>
    </row>
    <row r="1854" spans="1:16" x14ac:dyDescent="0.3">
      <c r="A1854" t="s">
        <v>1541</v>
      </c>
      <c r="B1854" s="45">
        <v>45404</v>
      </c>
      <c r="C1854" t="s">
        <v>779</v>
      </c>
      <c r="D1854" t="s">
        <v>182</v>
      </c>
      <c r="E1854" t="s">
        <v>116</v>
      </c>
      <c r="F1854">
        <v>4</v>
      </c>
      <c r="G1854">
        <v>1010</v>
      </c>
      <c r="H1854">
        <v>2.9</v>
      </c>
      <c r="I1854">
        <v>3922.84</v>
      </c>
      <c r="J1854" t="s">
        <v>93</v>
      </c>
      <c r="K1854" t="s">
        <v>117</v>
      </c>
      <c r="L1854" t="s">
        <v>117</v>
      </c>
      <c r="M1854" t="s">
        <v>2839</v>
      </c>
      <c r="N1854" t="s">
        <v>2879</v>
      </c>
      <c r="O1854">
        <v>516</v>
      </c>
      <c r="P1854">
        <v>1010</v>
      </c>
    </row>
    <row r="1855" spans="1:16" x14ac:dyDescent="0.3">
      <c r="A1855" t="s">
        <v>1545</v>
      </c>
      <c r="B1855" s="45">
        <v>45336</v>
      </c>
      <c r="C1855" t="s">
        <v>908</v>
      </c>
      <c r="D1855" t="s">
        <v>161</v>
      </c>
      <c r="E1855" t="s">
        <v>158</v>
      </c>
      <c r="F1855">
        <v>7</v>
      </c>
      <c r="G1855">
        <v>3450</v>
      </c>
      <c r="H1855">
        <v>4.7</v>
      </c>
      <c r="I1855">
        <v>23014.95</v>
      </c>
      <c r="J1855" t="s">
        <v>87</v>
      </c>
      <c r="K1855" t="s">
        <v>133</v>
      </c>
      <c r="L1855" t="s">
        <v>133</v>
      </c>
      <c r="M1855" t="s">
        <v>2839</v>
      </c>
      <c r="N1855" t="s">
        <v>2871</v>
      </c>
      <c r="O1855">
        <v>2467</v>
      </c>
      <c r="P1855">
        <v>3450</v>
      </c>
    </row>
    <row r="1856" spans="1:16" x14ac:dyDescent="0.3">
      <c r="A1856" t="s">
        <v>1546</v>
      </c>
      <c r="B1856" s="45">
        <v>45594</v>
      </c>
      <c r="C1856" t="s">
        <v>294</v>
      </c>
      <c r="D1856" t="s">
        <v>115</v>
      </c>
      <c r="E1856" t="s">
        <v>121</v>
      </c>
      <c r="F1856">
        <v>10</v>
      </c>
      <c r="G1856">
        <v>960</v>
      </c>
      <c r="H1856">
        <v>17.899999999999999</v>
      </c>
      <c r="I1856">
        <v>7881.6</v>
      </c>
      <c r="J1856" t="s">
        <v>87</v>
      </c>
      <c r="K1856" t="s">
        <v>133</v>
      </c>
      <c r="L1856" t="s">
        <v>133</v>
      </c>
      <c r="M1856" t="s">
        <v>2839</v>
      </c>
      <c r="N1856" t="s">
        <v>2871</v>
      </c>
      <c r="O1856">
        <v>705</v>
      </c>
      <c r="P1856">
        <v>960</v>
      </c>
    </row>
    <row r="1857" spans="1:16" x14ac:dyDescent="0.3">
      <c r="A1857" t="s">
        <v>1550</v>
      </c>
      <c r="B1857" s="45">
        <v>45542</v>
      </c>
      <c r="C1857" t="s">
        <v>427</v>
      </c>
      <c r="D1857" t="s">
        <v>360</v>
      </c>
      <c r="E1857" t="s">
        <v>132</v>
      </c>
      <c r="F1857">
        <v>7</v>
      </c>
      <c r="G1857">
        <v>5410</v>
      </c>
      <c r="H1857">
        <v>23.6</v>
      </c>
      <c r="I1857">
        <v>28932.68</v>
      </c>
      <c r="J1857" t="s">
        <v>87</v>
      </c>
      <c r="K1857" t="s">
        <v>88</v>
      </c>
      <c r="L1857" t="s">
        <v>88</v>
      </c>
      <c r="M1857" t="s">
        <v>2839</v>
      </c>
      <c r="N1857" t="s">
        <v>2862</v>
      </c>
      <c r="O1857">
        <v>2265</v>
      </c>
      <c r="P1857">
        <v>5410</v>
      </c>
    </row>
    <row r="1858" spans="1:16" x14ac:dyDescent="0.3">
      <c r="A1858" t="s">
        <v>1555</v>
      </c>
      <c r="B1858" s="45">
        <v>45530</v>
      </c>
      <c r="C1858" t="s">
        <v>797</v>
      </c>
      <c r="D1858" t="s">
        <v>97</v>
      </c>
      <c r="E1858" t="s">
        <v>303</v>
      </c>
      <c r="F1858">
        <v>5</v>
      </c>
      <c r="G1858">
        <v>470</v>
      </c>
      <c r="H1858">
        <v>10.6</v>
      </c>
      <c r="I1858">
        <v>2100.9</v>
      </c>
      <c r="J1858" t="s">
        <v>140</v>
      </c>
      <c r="K1858" t="s">
        <v>99</v>
      </c>
      <c r="L1858" t="s">
        <v>99</v>
      </c>
      <c r="M1858" t="s">
        <v>2839</v>
      </c>
      <c r="N1858" t="s">
        <v>2871</v>
      </c>
      <c r="O1858">
        <v>302</v>
      </c>
      <c r="P1858">
        <v>470</v>
      </c>
    </row>
    <row r="1859" spans="1:16" x14ac:dyDescent="0.3">
      <c r="A1859" t="s">
        <v>1559</v>
      </c>
      <c r="B1859" s="45">
        <v>45592</v>
      </c>
      <c r="C1859" t="s">
        <v>1560</v>
      </c>
      <c r="D1859" t="s">
        <v>515</v>
      </c>
      <c r="E1859" t="s">
        <v>343</v>
      </c>
      <c r="F1859">
        <v>6</v>
      </c>
      <c r="G1859">
        <v>6940</v>
      </c>
      <c r="H1859">
        <v>20</v>
      </c>
      <c r="I1859">
        <v>33312</v>
      </c>
      <c r="J1859" t="s">
        <v>87</v>
      </c>
      <c r="K1859" t="s">
        <v>94</v>
      </c>
      <c r="L1859" t="s">
        <v>94</v>
      </c>
      <c r="M1859" t="s">
        <v>2839</v>
      </c>
      <c r="N1859" t="s">
        <v>2879</v>
      </c>
      <c r="O1859">
        <v>2827</v>
      </c>
      <c r="P1859">
        <v>6940</v>
      </c>
    </row>
    <row r="1860" spans="1:16" x14ac:dyDescent="0.3">
      <c r="A1860" t="s">
        <v>1570</v>
      </c>
      <c r="B1860" s="45">
        <v>45463</v>
      </c>
      <c r="C1860" t="s">
        <v>172</v>
      </c>
      <c r="D1860" t="s">
        <v>195</v>
      </c>
      <c r="E1860" t="s">
        <v>111</v>
      </c>
      <c r="F1860">
        <v>5</v>
      </c>
      <c r="G1860">
        <v>2860</v>
      </c>
      <c r="H1860">
        <v>25</v>
      </c>
      <c r="I1860">
        <v>10725</v>
      </c>
      <c r="J1860" t="s">
        <v>93</v>
      </c>
      <c r="K1860" t="s">
        <v>88</v>
      </c>
      <c r="L1860" t="s">
        <v>88</v>
      </c>
      <c r="M1860" t="s">
        <v>2839</v>
      </c>
      <c r="N1860" t="s">
        <v>2879</v>
      </c>
      <c r="O1860">
        <v>2028</v>
      </c>
      <c r="P1860">
        <v>2860</v>
      </c>
    </row>
    <row r="1861" spans="1:16" x14ac:dyDescent="0.3">
      <c r="A1861" t="s">
        <v>1576</v>
      </c>
      <c r="B1861" s="45">
        <v>45406</v>
      </c>
      <c r="C1861" t="s">
        <v>269</v>
      </c>
      <c r="D1861" t="s">
        <v>97</v>
      </c>
      <c r="E1861" t="s">
        <v>297</v>
      </c>
      <c r="F1861">
        <v>1</v>
      </c>
      <c r="G1861">
        <v>470</v>
      </c>
      <c r="H1861">
        <v>5.4</v>
      </c>
      <c r="I1861">
        <v>444.62</v>
      </c>
      <c r="J1861" t="s">
        <v>144</v>
      </c>
      <c r="K1861" t="s">
        <v>112</v>
      </c>
      <c r="L1861" t="s">
        <v>112</v>
      </c>
      <c r="M1861" t="s">
        <v>2839</v>
      </c>
      <c r="N1861" t="s">
        <v>2855</v>
      </c>
      <c r="O1861">
        <v>302</v>
      </c>
      <c r="P1861">
        <v>470</v>
      </c>
    </row>
    <row r="1862" spans="1:16" x14ac:dyDescent="0.3">
      <c r="A1862" t="s">
        <v>1584</v>
      </c>
      <c r="B1862" s="45">
        <v>45528</v>
      </c>
      <c r="C1862" t="s">
        <v>427</v>
      </c>
      <c r="D1862" t="s">
        <v>461</v>
      </c>
      <c r="E1862" t="s">
        <v>116</v>
      </c>
      <c r="F1862">
        <v>1</v>
      </c>
      <c r="G1862">
        <v>3780</v>
      </c>
      <c r="H1862">
        <v>21.5</v>
      </c>
      <c r="I1862">
        <v>2967.3</v>
      </c>
      <c r="J1862" t="s">
        <v>87</v>
      </c>
      <c r="K1862" t="s">
        <v>88</v>
      </c>
      <c r="L1862" t="s">
        <v>88</v>
      </c>
      <c r="M1862" t="s">
        <v>2839</v>
      </c>
      <c r="N1862" t="s">
        <v>2879</v>
      </c>
      <c r="O1862">
        <v>1860</v>
      </c>
      <c r="P1862">
        <v>3780</v>
      </c>
    </row>
    <row r="1863" spans="1:16" x14ac:dyDescent="0.3">
      <c r="A1863" t="s">
        <v>1589</v>
      </c>
      <c r="B1863" s="45">
        <v>45393</v>
      </c>
      <c r="C1863" t="s">
        <v>638</v>
      </c>
      <c r="D1863" t="s">
        <v>182</v>
      </c>
      <c r="E1863" t="s">
        <v>273</v>
      </c>
      <c r="F1863">
        <v>1</v>
      </c>
      <c r="G1863">
        <v>1010</v>
      </c>
      <c r="H1863">
        <v>7.3</v>
      </c>
      <c r="I1863">
        <v>936.27</v>
      </c>
      <c r="J1863" t="s">
        <v>87</v>
      </c>
      <c r="K1863" t="s">
        <v>99</v>
      </c>
      <c r="L1863" t="s">
        <v>99</v>
      </c>
      <c r="M1863" t="s">
        <v>2839</v>
      </c>
      <c r="N1863" t="s">
        <v>2862</v>
      </c>
      <c r="O1863">
        <v>516</v>
      </c>
      <c r="P1863">
        <v>1010</v>
      </c>
    </row>
    <row r="1864" spans="1:16" x14ac:dyDescent="0.3">
      <c r="A1864" t="s">
        <v>1598</v>
      </c>
      <c r="B1864" s="45">
        <v>45478</v>
      </c>
      <c r="C1864" t="s">
        <v>970</v>
      </c>
      <c r="D1864" t="s">
        <v>147</v>
      </c>
      <c r="E1864" t="s">
        <v>98</v>
      </c>
      <c r="F1864">
        <v>9</v>
      </c>
      <c r="G1864">
        <v>190</v>
      </c>
      <c r="H1864">
        <v>5.4</v>
      </c>
      <c r="I1864">
        <v>1617.66</v>
      </c>
      <c r="J1864" t="s">
        <v>87</v>
      </c>
      <c r="K1864" t="s">
        <v>112</v>
      </c>
      <c r="L1864" t="s">
        <v>112</v>
      </c>
      <c r="M1864" t="s">
        <v>2839</v>
      </c>
      <c r="N1864" t="s">
        <v>2862</v>
      </c>
      <c r="O1864">
        <v>147</v>
      </c>
      <c r="P1864">
        <v>190</v>
      </c>
    </row>
    <row r="1865" spans="1:16" x14ac:dyDescent="0.3">
      <c r="A1865" t="s">
        <v>1602</v>
      </c>
      <c r="B1865" s="45">
        <v>45402</v>
      </c>
      <c r="C1865" t="s">
        <v>585</v>
      </c>
      <c r="D1865" t="s">
        <v>515</v>
      </c>
      <c r="E1865" t="s">
        <v>204</v>
      </c>
      <c r="F1865">
        <v>2</v>
      </c>
      <c r="G1865">
        <v>6940</v>
      </c>
      <c r="H1865">
        <v>27</v>
      </c>
      <c r="I1865">
        <v>10132.4</v>
      </c>
      <c r="J1865" t="s">
        <v>87</v>
      </c>
      <c r="K1865" t="s">
        <v>94</v>
      </c>
      <c r="L1865" t="s">
        <v>94</v>
      </c>
      <c r="M1865" t="s">
        <v>2839</v>
      </c>
      <c r="N1865" t="s">
        <v>2862</v>
      </c>
      <c r="O1865">
        <v>2827</v>
      </c>
      <c r="P1865">
        <v>6940</v>
      </c>
    </row>
    <row r="1866" spans="1:16" x14ac:dyDescent="0.3">
      <c r="A1866" t="s">
        <v>1603</v>
      </c>
      <c r="B1866" s="45">
        <v>45604</v>
      </c>
      <c r="C1866" t="s">
        <v>357</v>
      </c>
      <c r="D1866" t="s">
        <v>195</v>
      </c>
      <c r="E1866" t="s">
        <v>132</v>
      </c>
      <c r="F1866">
        <v>6</v>
      </c>
      <c r="G1866">
        <v>2860</v>
      </c>
      <c r="H1866">
        <v>6.6</v>
      </c>
      <c r="I1866">
        <v>16027.44</v>
      </c>
      <c r="J1866" t="s">
        <v>87</v>
      </c>
      <c r="K1866" t="s">
        <v>99</v>
      </c>
      <c r="L1866" t="s">
        <v>99</v>
      </c>
      <c r="M1866" t="s">
        <v>2839</v>
      </c>
      <c r="N1866" t="s">
        <v>2862</v>
      </c>
      <c r="O1866">
        <v>2028</v>
      </c>
      <c r="P1866">
        <v>2860</v>
      </c>
    </row>
    <row r="1867" spans="1:16" x14ac:dyDescent="0.3">
      <c r="A1867" t="s">
        <v>1609</v>
      </c>
      <c r="B1867" s="45">
        <v>45378</v>
      </c>
      <c r="C1867" t="s">
        <v>959</v>
      </c>
      <c r="D1867" t="s">
        <v>151</v>
      </c>
      <c r="E1867" t="s">
        <v>285</v>
      </c>
      <c r="F1867">
        <v>1</v>
      </c>
      <c r="G1867">
        <v>2400</v>
      </c>
      <c r="H1867">
        <v>9.6999999999999993</v>
      </c>
      <c r="I1867">
        <v>2167.1999999999998</v>
      </c>
      <c r="J1867" t="s">
        <v>87</v>
      </c>
      <c r="K1867" t="s">
        <v>112</v>
      </c>
      <c r="L1867" t="s">
        <v>112</v>
      </c>
      <c r="M1867" t="s">
        <v>2839</v>
      </c>
      <c r="N1867" t="s">
        <v>2871</v>
      </c>
      <c r="O1867">
        <v>974</v>
      </c>
      <c r="P1867">
        <v>2400</v>
      </c>
    </row>
    <row r="1868" spans="1:16" x14ac:dyDescent="0.3">
      <c r="A1868" t="s">
        <v>1617</v>
      </c>
      <c r="B1868" s="45">
        <v>45650</v>
      </c>
      <c r="C1868" t="s">
        <v>956</v>
      </c>
      <c r="D1868" t="s">
        <v>182</v>
      </c>
      <c r="E1868" t="s">
        <v>103</v>
      </c>
      <c r="F1868">
        <v>4</v>
      </c>
      <c r="G1868">
        <v>1010</v>
      </c>
      <c r="H1868">
        <v>3.1</v>
      </c>
      <c r="I1868">
        <v>3914.76</v>
      </c>
      <c r="J1868" t="s">
        <v>87</v>
      </c>
      <c r="K1868" t="s">
        <v>112</v>
      </c>
      <c r="L1868" t="s">
        <v>112</v>
      </c>
      <c r="M1868" t="s">
        <v>2839</v>
      </c>
      <c r="N1868" t="s">
        <v>2855</v>
      </c>
      <c r="O1868">
        <v>516</v>
      </c>
      <c r="P1868">
        <v>1010</v>
      </c>
    </row>
    <row r="1869" spans="1:16" x14ac:dyDescent="0.3">
      <c r="A1869" t="s">
        <v>1619</v>
      </c>
      <c r="B1869" s="45">
        <v>45322</v>
      </c>
      <c r="C1869" t="s">
        <v>160</v>
      </c>
      <c r="D1869" t="s">
        <v>151</v>
      </c>
      <c r="E1869" t="s">
        <v>121</v>
      </c>
      <c r="F1869">
        <v>1</v>
      </c>
      <c r="G1869">
        <v>2400</v>
      </c>
      <c r="H1869">
        <v>24.3</v>
      </c>
      <c r="I1869">
        <v>1816.8</v>
      </c>
      <c r="J1869" t="s">
        <v>87</v>
      </c>
      <c r="K1869" t="s">
        <v>112</v>
      </c>
      <c r="L1869" t="s">
        <v>112</v>
      </c>
      <c r="M1869" t="s">
        <v>2839</v>
      </c>
      <c r="N1869" t="s">
        <v>2871</v>
      </c>
      <c r="O1869">
        <v>974</v>
      </c>
      <c r="P1869">
        <v>2400</v>
      </c>
    </row>
    <row r="1870" spans="1:16" x14ac:dyDescent="0.3">
      <c r="A1870" t="s">
        <v>1638</v>
      </c>
      <c r="B1870" s="45">
        <v>45324</v>
      </c>
      <c r="C1870" t="s">
        <v>429</v>
      </c>
      <c r="D1870" t="s">
        <v>161</v>
      </c>
      <c r="E1870" t="s">
        <v>139</v>
      </c>
      <c r="F1870">
        <v>10</v>
      </c>
      <c r="G1870">
        <v>3450</v>
      </c>
      <c r="H1870">
        <v>13.5</v>
      </c>
      <c r="I1870">
        <v>29842.5</v>
      </c>
      <c r="J1870" t="s">
        <v>93</v>
      </c>
      <c r="K1870" t="s">
        <v>117</v>
      </c>
      <c r="L1870" t="s">
        <v>117</v>
      </c>
      <c r="M1870" t="s">
        <v>2839</v>
      </c>
      <c r="N1870" t="s">
        <v>2855</v>
      </c>
      <c r="O1870">
        <v>2467</v>
      </c>
      <c r="P1870">
        <v>3450</v>
      </c>
    </row>
    <row r="1871" spans="1:16" x14ac:dyDescent="0.3">
      <c r="A1871" t="s">
        <v>1650</v>
      </c>
      <c r="B1871" s="45">
        <v>45614</v>
      </c>
      <c r="C1871" t="s">
        <v>1308</v>
      </c>
      <c r="D1871" t="s">
        <v>461</v>
      </c>
      <c r="E1871" t="s">
        <v>116</v>
      </c>
      <c r="F1871">
        <v>9</v>
      </c>
      <c r="G1871">
        <v>3780</v>
      </c>
      <c r="H1871">
        <v>27.8</v>
      </c>
      <c r="I1871">
        <v>24562.44</v>
      </c>
      <c r="J1871" t="s">
        <v>140</v>
      </c>
      <c r="K1871" t="s">
        <v>94</v>
      </c>
      <c r="L1871" t="s">
        <v>94</v>
      </c>
      <c r="M1871" t="s">
        <v>2839</v>
      </c>
      <c r="N1871" t="s">
        <v>2879</v>
      </c>
      <c r="O1871">
        <v>1860</v>
      </c>
      <c r="P1871">
        <v>3780</v>
      </c>
    </row>
    <row r="1872" spans="1:16" x14ac:dyDescent="0.3">
      <c r="A1872" t="s">
        <v>1656</v>
      </c>
      <c r="B1872" s="45">
        <v>45502</v>
      </c>
      <c r="C1872" t="s">
        <v>333</v>
      </c>
      <c r="D1872" t="s">
        <v>195</v>
      </c>
      <c r="E1872" t="s">
        <v>121</v>
      </c>
      <c r="F1872">
        <v>3</v>
      </c>
      <c r="G1872">
        <v>2860</v>
      </c>
      <c r="H1872">
        <v>22.7</v>
      </c>
      <c r="I1872">
        <v>6632.34</v>
      </c>
      <c r="J1872" t="s">
        <v>87</v>
      </c>
      <c r="K1872" t="s">
        <v>133</v>
      </c>
      <c r="L1872" t="s">
        <v>133</v>
      </c>
      <c r="M1872" t="s">
        <v>2839</v>
      </c>
      <c r="N1872" t="s">
        <v>2871</v>
      </c>
      <c r="O1872">
        <v>2028</v>
      </c>
      <c r="P1872">
        <v>2860</v>
      </c>
    </row>
    <row r="1873" spans="1:16" x14ac:dyDescent="0.3">
      <c r="A1873" t="s">
        <v>1657</v>
      </c>
      <c r="B1873" s="45">
        <v>45429</v>
      </c>
      <c r="C1873" t="s">
        <v>1047</v>
      </c>
      <c r="D1873" t="s">
        <v>161</v>
      </c>
      <c r="E1873" t="s">
        <v>111</v>
      </c>
      <c r="F1873">
        <v>4</v>
      </c>
      <c r="G1873">
        <v>3450</v>
      </c>
      <c r="H1873">
        <v>9.1999999999999993</v>
      </c>
      <c r="I1873">
        <v>12530.4</v>
      </c>
      <c r="J1873" t="s">
        <v>87</v>
      </c>
      <c r="K1873" t="s">
        <v>133</v>
      </c>
      <c r="L1873" t="s">
        <v>133</v>
      </c>
      <c r="M1873" t="s">
        <v>2839</v>
      </c>
      <c r="N1873" t="s">
        <v>2879</v>
      </c>
      <c r="O1873">
        <v>2467</v>
      </c>
      <c r="P1873">
        <v>3450</v>
      </c>
    </row>
    <row r="1874" spans="1:16" x14ac:dyDescent="0.3">
      <c r="A1874" t="s">
        <v>1671</v>
      </c>
      <c r="B1874" s="45">
        <v>45307</v>
      </c>
      <c r="C1874" t="s">
        <v>717</v>
      </c>
      <c r="D1874" t="s">
        <v>461</v>
      </c>
      <c r="E1874" t="s">
        <v>111</v>
      </c>
      <c r="F1874">
        <v>3</v>
      </c>
      <c r="G1874">
        <v>3780</v>
      </c>
      <c r="H1874">
        <v>3.8</v>
      </c>
      <c r="I1874">
        <v>10909.08</v>
      </c>
      <c r="J1874" t="s">
        <v>87</v>
      </c>
      <c r="K1874" t="s">
        <v>94</v>
      </c>
      <c r="L1874" t="s">
        <v>94</v>
      </c>
      <c r="M1874" t="s">
        <v>2839</v>
      </c>
      <c r="N1874" t="s">
        <v>2855</v>
      </c>
      <c r="O1874">
        <v>1860</v>
      </c>
      <c r="P1874">
        <v>3780</v>
      </c>
    </row>
    <row r="1875" spans="1:16" x14ac:dyDescent="0.3">
      <c r="A1875" t="s">
        <v>1163</v>
      </c>
      <c r="B1875" s="45">
        <v>45436</v>
      </c>
      <c r="C1875" t="s">
        <v>420</v>
      </c>
      <c r="D1875" t="s">
        <v>195</v>
      </c>
      <c r="E1875" t="s">
        <v>116</v>
      </c>
      <c r="F1875">
        <v>5</v>
      </c>
      <c r="G1875">
        <v>2860</v>
      </c>
      <c r="H1875">
        <v>20.100000000000001</v>
      </c>
      <c r="I1875">
        <v>11425.7</v>
      </c>
      <c r="J1875" t="s">
        <v>87</v>
      </c>
      <c r="K1875" t="s">
        <v>99</v>
      </c>
      <c r="L1875" t="s">
        <v>99</v>
      </c>
      <c r="M1875" t="s">
        <v>2839</v>
      </c>
      <c r="N1875" t="s">
        <v>2862</v>
      </c>
      <c r="O1875">
        <v>2028</v>
      </c>
      <c r="P1875">
        <v>2860</v>
      </c>
    </row>
    <row r="1876" spans="1:16" x14ac:dyDescent="0.3">
      <c r="A1876" t="s">
        <v>1676</v>
      </c>
      <c r="B1876" s="45">
        <v>45348</v>
      </c>
      <c r="C1876" t="s">
        <v>350</v>
      </c>
      <c r="D1876" t="s">
        <v>360</v>
      </c>
      <c r="E1876" t="s">
        <v>303</v>
      </c>
      <c r="F1876">
        <v>7</v>
      </c>
      <c r="G1876">
        <v>5410</v>
      </c>
      <c r="H1876">
        <v>26.2</v>
      </c>
      <c r="I1876">
        <v>27948.06</v>
      </c>
      <c r="J1876" t="s">
        <v>87</v>
      </c>
      <c r="K1876" t="s">
        <v>112</v>
      </c>
      <c r="L1876" t="s">
        <v>112</v>
      </c>
      <c r="M1876" t="s">
        <v>2839</v>
      </c>
      <c r="N1876" t="s">
        <v>2855</v>
      </c>
      <c r="O1876">
        <v>2265</v>
      </c>
      <c r="P1876">
        <v>5410</v>
      </c>
    </row>
    <row r="1877" spans="1:16" x14ac:dyDescent="0.3">
      <c r="A1877" t="s">
        <v>1684</v>
      </c>
      <c r="B1877" s="45">
        <v>45334</v>
      </c>
      <c r="C1877" t="s">
        <v>266</v>
      </c>
      <c r="D1877" t="s">
        <v>147</v>
      </c>
      <c r="E1877" t="s">
        <v>132</v>
      </c>
      <c r="F1877">
        <v>4</v>
      </c>
      <c r="G1877">
        <v>190</v>
      </c>
      <c r="H1877">
        <v>2.6</v>
      </c>
      <c r="I1877">
        <v>740.24</v>
      </c>
      <c r="J1877" t="s">
        <v>87</v>
      </c>
      <c r="K1877" t="s">
        <v>99</v>
      </c>
      <c r="L1877" t="s">
        <v>99</v>
      </c>
      <c r="M1877" t="s">
        <v>2839</v>
      </c>
      <c r="N1877" t="s">
        <v>2855</v>
      </c>
      <c r="O1877">
        <v>147</v>
      </c>
      <c r="P1877">
        <v>190</v>
      </c>
    </row>
    <row r="1878" spans="1:16" x14ac:dyDescent="0.3">
      <c r="A1878" t="s">
        <v>1687</v>
      </c>
      <c r="B1878" s="45">
        <v>45423</v>
      </c>
      <c r="C1878" t="s">
        <v>126</v>
      </c>
      <c r="D1878" t="s">
        <v>461</v>
      </c>
      <c r="E1878" t="s">
        <v>139</v>
      </c>
      <c r="F1878">
        <v>3</v>
      </c>
      <c r="G1878">
        <v>3780</v>
      </c>
      <c r="H1878">
        <v>16.8</v>
      </c>
      <c r="I1878">
        <v>9434.8799999999992</v>
      </c>
      <c r="J1878" t="s">
        <v>87</v>
      </c>
      <c r="K1878" t="s">
        <v>88</v>
      </c>
      <c r="L1878" t="s">
        <v>88</v>
      </c>
      <c r="M1878" t="s">
        <v>2839</v>
      </c>
      <c r="N1878" t="s">
        <v>2855</v>
      </c>
      <c r="O1878">
        <v>1860</v>
      </c>
      <c r="P1878">
        <v>3780</v>
      </c>
    </row>
    <row r="1879" spans="1:16" x14ac:dyDescent="0.3">
      <c r="A1879" t="s">
        <v>1692</v>
      </c>
      <c r="B1879" s="45">
        <v>45585</v>
      </c>
      <c r="C1879" t="s">
        <v>617</v>
      </c>
      <c r="D1879" t="s">
        <v>151</v>
      </c>
      <c r="E1879" t="s">
        <v>325</v>
      </c>
      <c r="F1879">
        <v>1</v>
      </c>
      <c r="G1879">
        <v>2400</v>
      </c>
      <c r="H1879">
        <v>26.5</v>
      </c>
      <c r="I1879">
        <v>1764</v>
      </c>
      <c r="J1879" t="s">
        <v>87</v>
      </c>
      <c r="K1879" t="s">
        <v>112</v>
      </c>
      <c r="L1879" t="s">
        <v>112</v>
      </c>
      <c r="M1879" t="s">
        <v>2839</v>
      </c>
      <c r="N1879" t="s">
        <v>2879</v>
      </c>
      <c r="O1879">
        <v>974</v>
      </c>
      <c r="P1879">
        <v>2400</v>
      </c>
    </row>
    <row r="1880" spans="1:16" x14ac:dyDescent="0.3">
      <c r="A1880" t="s">
        <v>1708</v>
      </c>
      <c r="B1880" s="45">
        <v>45610</v>
      </c>
      <c r="C1880" t="s">
        <v>741</v>
      </c>
      <c r="D1880" t="s">
        <v>515</v>
      </c>
      <c r="E1880" t="s">
        <v>273</v>
      </c>
      <c r="F1880">
        <v>5</v>
      </c>
      <c r="G1880">
        <v>6940</v>
      </c>
      <c r="H1880">
        <v>0.3</v>
      </c>
      <c r="I1880">
        <v>34595.9</v>
      </c>
      <c r="J1880" t="s">
        <v>87</v>
      </c>
      <c r="K1880" t="s">
        <v>133</v>
      </c>
      <c r="L1880" t="s">
        <v>133</v>
      </c>
      <c r="M1880" t="s">
        <v>2839</v>
      </c>
      <c r="N1880" t="s">
        <v>2855</v>
      </c>
      <c r="O1880">
        <v>2827</v>
      </c>
      <c r="P1880">
        <v>6940</v>
      </c>
    </row>
    <row r="1881" spans="1:16" x14ac:dyDescent="0.3">
      <c r="A1881" t="s">
        <v>1716</v>
      </c>
      <c r="B1881" s="45">
        <v>45634</v>
      </c>
      <c r="C1881" t="s">
        <v>314</v>
      </c>
      <c r="D1881" t="s">
        <v>182</v>
      </c>
      <c r="E1881" t="s">
        <v>121</v>
      </c>
      <c r="F1881">
        <v>10</v>
      </c>
      <c r="G1881">
        <v>1010</v>
      </c>
      <c r="H1881">
        <v>14</v>
      </c>
      <c r="I1881">
        <v>8686</v>
      </c>
      <c r="J1881" t="s">
        <v>87</v>
      </c>
      <c r="K1881" t="s">
        <v>88</v>
      </c>
      <c r="L1881" t="s">
        <v>88</v>
      </c>
      <c r="M1881" t="s">
        <v>2839</v>
      </c>
      <c r="N1881" t="s">
        <v>2871</v>
      </c>
      <c r="O1881">
        <v>516</v>
      </c>
      <c r="P1881">
        <v>1010</v>
      </c>
    </row>
    <row r="1882" spans="1:16" x14ac:dyDescent="0.3">
      <c r="A1882" t="s">
        <v>771</v>
      </c>
      <c r="B1882" s="45">
        <v>45307</v>
      </c>
      <c r="C1882" t="s">
        <v>316</v>
      </c>
      <c r="D1882" t="s">
        <v>515</v>
      </c>
      <c r="E1882" t="s">
        <v>154</v>
      </c>
      <c r="F1882">
        <v>4</v>
      </c>
      <c r="G1882">
        <v>6940</v>
      </c>
      <c r="H1882">
        <v>3.2</v>
      </c>
      <c r="I1882">
        <v>26871.68</v>
      </c>
      <c r="J1882" t="s">
        <v>87</v>
      </c>
      <c r="K1882" t="s">
        <v>88</v>
      </c>
      <c r="L1882" t="s">
        <v>88</v>
      </c>
      <c r="M1882" t="s">
        <v>2839</v>
      </c>
      <c r="N1882" t="s">
        <v>2855</v>
      </c>
      <c r="O1882">
        <v>2827</v>
      </c>
      <c r="P1882">
        <v>6940</v>
      </c>
    </row>
    <row r="1883" spans="1:16" x14ac:dyDescent="0.3">
      <c r="A1883" t="s">
        <v>1727</v>
      </c>
      <c r="B1883" s="45">
        <v>45449</v>
      </c>
      <c r="C1883" t="s">
        <v>1006</v>
      </c>
      <c r="D1883" t="s">
        <v>115</v>
      </c>
      <c r="E1883" t="s">
        <v>229</v>
      </c>
      <c r="F1883">
        <v>5</v>
      </c>
      <c r="G1883">
        <v>960</v>
      </c>
      <c r="H1883">
        <v>16.600000000000001</v>
      </c>
      <c r="I1883">
        <v>4003.2</v>
      </c>
      <c r="J1883" t="s">
        <v>87</v>
      </c>
      <c r="K1883" t="s">
        <v>117</v>
      </c>
      <c r="L1883" t="s">
        <v>117</v>
      </c>
      <c r="M1883" t="s">
        <v>2839</v>
      </c>
      <c r="N1883" t="s">
        <v>2879</v>
      </c>
      <c r="O1883">
        <v>705</v>
      </c>
      <c r="P1883">
        <v>960</v>
      </c>
    </row>
    <row r="1884" spans="1:16" x14ac:dyDescent="0.3">
      <c r="A1884" t="s">
        <v>1734</v>
      </c>
      <c r="B1884" s="45">
        <v>45544</v>
      </c>
      <c r="C1884" t="s">
        <v>1623</v>
      </c>
      <c r="D1884" t="s">
        <v>161</v>
      </c>
      <c r="E1884" t="s">
        <v>343</v>
      </c>
      <c r="F1884">
        <v>6</v>
      </c>
      <c r="G1884">
        <v>3450</v>
      </c>
      <c r="H1884">
        <v>19.2</v>
      </c>
      <c r="I1884">
        <v>16725.599999999999</v>
      </c>
      <c r="J1884" t="s">
        <v>93</v>
      </c>
      <c r="K1884" t="s">
        <v>117</v>
      </c>
      <c r="L1884" t="s">
        <v>117</v>
      </c>
      <c r="M1884" t="s">
        <v>2839</v>
      </c>
      <c r="N1884" t="s">
        <v>2871</v>
      </c>
      <c r="O1884">
        <v>2467</v>
      </c>
      <c r="P1884">
        <v>3450</v>
      </c>
    </row>
    <row r="1885" spans="1:16" x14ac:dyDescent="0.3">
      <c r="A1885" t="s">
        <v>1735</v>
      </c>
      <c r="B1885" s="45">
        <v>45334</v>
      </c>
      <c r="C1885" t="s">
        <v>169</v>
      </c>
      <c r="D1885" t="s">
        <v>147</v>
      </c>
      <c r="E1885" t="s">
        <v>111</v>
      </c>
      <c r="F1885">
        <v>10</v>
      </c>
      <c r="G1885">
        <v>190</v>
      </c>
      <c r="H1885">
        <v>18.100000000000001</v>
      </c>
      <c r="I1885">
        <v>1556.1</v>
      </c>
      <c r="J1885" t="s">
        <v>87</v>
      </c>
      <c r="K1885" t="s">
        <v>112</v>
      </c>
      <c r="L1885" t="s">
        <v>112</v>
      </c>
      <c r="M1885" t="s">
        <v>2839</v>
      </c>
      <c r="N1885" t="s">
        <v>2862</v>
      </c>
      <c r="O1885">
        <v>147</v>
      </c>
      <c r="P1885">
        <v>190</v>
      </c>
    </row>
    <row r="1886" spans="1:16" x14ac:dyDescent="0.3">
      <c r="A1886" t="s">
        <v>1740</v>
      </c>
      <c r="B1886" s="45">
        <v>45480</v>
      </c>
      <c r="C1886" t="s">
        <v>795</v>
      </c>
      <c r="D1886" t="s">
        <v>97</v>
      </c>
      <c r="E1886" t="s">
        <v>238</v>
      </c>
      <c r="F1886">
        <v>10</v>
      </c>
      <c r="G1886">
        <v>470</v>
      </c>
      <c r="H1886">
        <v>3.9</v>
      </c>
      <c r="I1886">
        <v>4516.7</v>
      </c>
      <c r="J1886" t="s">
        <v>87</v>
      </c>
      <c r="K1886" t="s">
        <v>94</v>
      </c>
      <c r="L1886" t="s">
        <v>94</v>
      </c>
      <c r="M1886" t="s">
        <v>2839</v>
      </c>
      <c r="N1886" t="s">
        <v>2879</v>
      </c>
      <c r="O1886">
        <v>302</v>
      </c>
      <c r="P1886">
        <v>470</v>
      </c>
    </row>
    <row r="1887" spans="1:16" x14ac:dyDescent="0.3">
      <c r="A1887" t="s">
        <v>1742</v>
      </c>
      <c r="B1887" s="45">
        <v>45548</v>
      </c>
      <c r="C1887" t="s">
        <v>1072</v>
      </c>
      <c r="D1887" t="s">
        <v>360</v>
      </c>
      <c r="E1887" t="s">
        <v>229</v>
      </c>
      <c r="F1887">
        <v>1</v>
      </c>
      <c r="G1887">
        <v>5410</v>
      </c>
      <c r="H1887">
        <v>8.3000000000000007</v>
      </c>
      <c r="I1887">
        <v>4960.97</v>
      </c>
      <c r="J1887" t="s">
        <v>87</v>
      </c>
      <c r="K1887" t="s">
        <v>112</v>
      </c>
      <c r="L1887" t="s">
        <v>112</v>
      </c>
      <c r="M1887" t="s">
        <v>2839</v>
      </c>
      <c r="N1887" t="s">
        <v>2871</v>
      </c>
      <c r="O1887">
        <v>2265</v>
      </c>
      <c r="P1887">
        <v>5410</v>
      </c>
    </row>
    <row r="1888" spans="1:16" x14ac:dyDescent="0.3">
      <c r="A1888" t="s">
        <v>1758</v>
      </c>
      <c r="B1888" s="45">
        <v>45332</v>
      </c>
      <c r="C1888" t="s">
        <v>697</v>
      </c>
      <c r="D1888" t="s">
        <v>182</v>
      </c>
      <c r="E1888" t="s">
        <v>285</v>
      </c>
      <c r="F1888">
        <v>8</v>
      </c>
      <c r="G1888">
        <v>1010</v>
      </c>
      <c r="H1888">
        <v>12.3</v>
      </c>
      <c r="I1888">
        <v>7086.16</v>
      </c>
      <c r="J1888" t="s">
        <v>87</v>
      </c>
      <c r="K1888" t="s">
        <v>133</v>
      </c>
      <c r="L1888" t="s">
        <v>133</v>
      </c>
      <c r="M1888" t="s">
        <v>2839</v>
      </c>
      <c r="N1888" t="s">
        <v>2879</v>
      </c>
      <c r="O1888">
        <v>516</v>
      </c>
      <c r="P1888">
        <v>1010</v>
      </c>
    </row>
    <row r="1889" spans="1:16" x14ac:dyDescent="0.3">
      <c r="A1889" t="s">
        <v>1763</v>
      </c>
      <c r="B1889" s="45">
        <v>45413</v>
      </c>
      <c r="C1889" t="s">
        <v>606</v>
      </c>
      <c r="D1889" t="s">
        <v>461</v>
      </c>
      <c r="E1889" t="s">
        <v>188</v>
      </c>
      <c r="F1889">
        <v>8</v>
      </c>
      <c r="G1889">
        <v>3780</v>
      </c>
      <c r="H1889">
        <v>17.100000000000001</v>
      </c>
      <c r="I1889">
        <v>25068.959999999999</v>
      </c>
      <c r="J1889" t="s">
        <v>87</v>
      </c>
      <c r="K1889" t="s">
        <v>112</v>
      </c>
      <c r="L1889" t="s">
        <v>112</v>
      </c>
      <c r="M1889" t="s">
        <v>2839</v>
      </c>
      <c r="N1889" t="s">
        <v>2879</v>
      </c>
      <c r="O1889">
        <v>1860</v>
      </c>
      <c r="P1889">
        <v>3780</v>
      </c>
    </row>
    <row r="1890" spans="1:16" x14ac:dyDescent="0.3">
      <c r="A1890" t="s">
        <v>1767</v>
      </c>
      <c r="B1890" s="45">
        <v>45597</v>
      </c>
      <c r="C1890" t="s">
        <v>411</v>
      </c>
      <c r="D1890" t="s">
        <v>147</v>
      </c>
      <c r="E1890" t="s">
        <v>92</v>
      </c>
      <c r="F1890">
        <v>6</v>
      </c>
      <c r="G1890">
        <v>190</v>
      </c>
      <c r="H1890">
        <v>3.5</v>
      </c>
      <c r="I1890">
        <v>1100.0999999999999</v>
      </c>
      <c r="J1890" t="s">
        <v>140</v>
      </c>
      <c r="K1890" t="s">
        <v>112</v>
      </c>
      <c r="L1890" t="s">
        <v>112</v>
      </c>
      <c r="M1890" t="s">
        <v>2839</v>
      </c>
      <c r="N1890" t="s">
        <v>2871</v>
      </c>
      <c r="O1890">
        <v>147</v>
      </c>
      <c r="P1890">
        <v>190</v>
      </c>
    </row>
    <row r="1891" spans="1:16" x14ac:dyDescent="0.3">
      <c r="A1891" t="s">
        <v>1768</v>
      </c>
      <c r="B1891" s="45">
        <v>45589</v>
      </c>
      <c r="C1891" t="s">
        <v>394</v>
      </c>
      <c r="D1891" t="s">
        <v>195</v>
      </c>
      <c r="E1891" t="s">
        <v>343</v>
      </c>
      <c r="F1891">
        <v>8</v>
      </c>
      <c r="G1891">
        <v>2860</v>
      </c>
      <c r="H1891">
        <v>14.7</v>
      </c>
      <c r="I1891">
        <v>19516.64</v>
      </c>
      <c r="J1891" t="s">
        <v>87</v>
      </c>
      <c r="K1891" t="s">
        <v>117</v>
      </c>
      <c r="L1891" t="s">
        <v>117</v>
      </c>
      <c r="M1891" t="s">
        <v>2839</v>
      </c>
      <c r="N1891" t="s">
        <v>2879</v>
      </c>
      <c r="O1891">
        <v>2028</v>
      </c>
      <c r="P1891">
        <v>2860</v>
      </c>
    </row>
    <row r="1892" spans="1:16" x14ac:dyDescent="0.3">
      <c r="A1892" t="s">
        <v>1775</v>
      </c>
      <c r="B1892" s="45">
        <v>45584</v>
      </c>
      <c r="C1892" t="s">
        <v>595</v>
      </c>
      <c r="D1892" t="s">
        <v>147</v>
      </c>
      <c r="E1892" t="s">
        <v>303</v>
      </c>
      <c r="F1892">
        <v>6</v>
      </c>
      <c r="G1892">
        <v>190</v>
      </c>
      <c r="H1892">
        <v>12.9</v>
      </c>
      <c r="I1892">
        <v>992.94</v>
      </c>
      <c r="J1892" t="s">
        <v>87</v>
      </c>
      <c r="K1892" t="s">
        <v>99</v>
      </c>
      <c r="L1892" t="s">
        <v>99</v>
      </c>
      <c r="M1892" t="s">
        <v>2839</v>
      </c>
      <c r="N1892" t="s">
        <v>2862</v>
      </c>
      <c r="O1892">
        <v>147</v>
      </c>
      <c r="P1892">
        <v>190</v>
      </c>
    </row>
    <row r="1893" spans="1:16" x14ac:dyDescent="0.3">
      <c r="A1893" t="s">
        <v>1783</v>
      </c>
      <c r="B1893" s="45">
        <v>45312</v>
      </c>
      <c r="C1893" t="s">
        <v>440</v>
      </c>
      <c r="D1893" t="s">
        <v>115</v>
      </c>
      <c r="E1893" t="s">
        <v>132</v>
      </c>
      <c r="F1893">
        <v>7</v>
      </c>
      <c r="G1893">
        <v>960</v>
      </c>
      <c r="H1893">
        <v>17.7</v>
      </c>
      <c r="I1893">
        <v>5530.56</v>
      </c>
      <c r="J1893" t="s">
        <v>87</v>
      </c>
      <c r="K1893" t="s">
        <v>88</v>
      </c>
      <c r="L1893" t="s">
        <v>88</v>
      </c>
      <c r="M1893" t="s">
        <v>2839</v>
      </c>
      <c r="N1893" t="s">
        <v>2855</v>
      </c>
      <c r="O1893">
        <v>705</v>
      </c>
      <c r="P1893">
        <v>960</v>
      </c>
    </row>
    <row r="1894" spans="1:16" x14ac:dyDescent="0.3">
      <c r="A1894" t="s">
        <v>1784</v>
      </c>
      <c r="B1894" s="45">
        <v>45445</v>
      </c>
      <c r="C1894" t="s">
        <v>1027</v>
      </c>
      <c r="D1894" t="s">
        <v>151</v>
      </c>
      <c r="E1894" t="s">
        <v>107</v>
      </c>
      <c r="F1894">
        <v>1</v>
      </c>
      <c r="G1894">
        <v>2400</v>
      </c>
      <c r="H1894">
        <v>29.9</v>
      </c>
      <c r="I1894">
        <v>1682.4</v>
      </c>
      <c r="J1894" t="s">
        <v>87</v>
      </c>
      <c r="K1894" t="s">
        <v>112</v>
      </c>
      <c r="L1894" t="s">
        <v>112</v>
      </c>
      <c r="M1894" t="s">
        <v>2839</v>
      </c>
      <c r="N1894" t="s">
        <v>2855</v>
      </c>
      <c r="O1894">
        <v>974</v>
      </c>
      <c r="P1894">
        <v>2400</v>
      </c>
    </row>
    <row r="1895" spans="1:16" x14ac:dyDescent="0.3">
      <c r="A1895" t="s">
        <v>1811</v>
      </c>
      <c r="B1895" s="45">
        <v>45369</v>
      </c>
      <c r="C1895" t="s">
        <v>336</v>
      </c>
      <c r="D1895" t="s">
        <v>515</v>
      </c>
      <c r="E1895" t="s">
        <v>158</v>
      </c>
      <c r="F1895">
        <v>7</v>
      </c>
      <c r="G1895">
        <v>6940</v>
      </c>
      <c r="H1895">
        <v>23.8</v>
      </c>
      <c r="I1895">
        <v>37017.96</v>
      </c>
      <c r="J1895" t="s">
        <v>144</v>
      </c>
      <c r="K1895" t="s">
        <v>112</v>
      </c>
      <c r="L1895" t="s">
        <v>112</v>
      </c>
      <c r="M1895" t="s">
        <v>2839</v>
      </c>
      <c r="N1895" t="s">
        <v>2879</v>
      </c>
      <c r="O1895">
        <v>2827</v>
      </c>
      <c r="P1895">
        <v>6940</v>
      </c>
    </row>
    <row r="1896" spans="1:16" x14ac:dyDescent="0.3">
      <c r="A1896" t="s">
        <v>1812</v>
      </c>
      <c r="B1896" s="45">
        <v>45544</v>
      </c>
      <c r="C1896" t="s">
        <v>643</v>
      </c>
      <c r="D1896" t="s">
        <v>151</v>
      </c>
      <c r="E1896" t="s">
        <v>139</v>
      </c>
      <c r="F1896">
        <v>3</v>
      </c>
      <c r="G1896">
        <v>2400</v>
      </c>
      <c r="H1896">
        <v>9.8000000000000007</v>
      </c>
      <c r="I1896">
        <v>6494.4</v>
      </c>
      <c r="J1896" t="s">
        <v>87</v>
      </c>
      <c r="K1896" t="s">
        <v>112</v>
      </c>
      <c r="L1896" t="s">
        <v>112</v>
      </c>
      <c r="M1896" t="s">
        <v>2839</v>
      </c>
      <c r="N1896" t="s">
        <v>2862</v>
      </c>
      <c r="O1896">
        <v>974</v>
      </c>
      <c r="P1896">
        <v>2400</v>
      </c>
    </row>
    <row r="1897" spans="1:16" x14ac:dyDescent="0.3">
      <c r="A1897" t="s">
        <v>1813</v>
      </c>
      <c r="B1897" s="45">
        <v>45395</v>
      </c>
      <c r="C1897" t="s">
        <v>1250</v>
      </c>
      <c r="D1897" t="s">
        <v>161</v>
      </c>
      <c r="E1897" t="s">
        <v>154</v>
      </c>
      <c r="F1897">
        <v>8</v>
      </c>
      <c r="G1897">
        <v>3450</v>
      </c>
      <c r="H1897">
        <v>26.6</v>
      </c>
      <c r="I1897">
        <v>20258.400000000001</v>
      </c>
      <c r="J1897" t="s">
        <v>140</v>
      </c>
      <c r="K1897" t="s">
        <v>88</v>
      </c>
      <c r="L1897" t="s">
        <v>88</v>
      </c>
      <c r="M1897" t="s">
        <v>2839</v>
      </c>
      <c r="N1897" t="s">
        <v>2862</v>
      </c>
      <c r="O1897">
        <v>2467</v>
      </c>
      <c r="P1897">
        <v>3450</v>
      </c>
    </row>
    <row r="1898" spans="1:16" x14ac:dyDescent="0.3">
      <c r="A1898" t="s">
        <v>1818</v>
      </c>
      <c r="B1898" s="45">
        <v>45502</v>
      </c>
      <c r="C1898" t="s">
        <v>900</v>
      </c>
      <c r="D1898" t="s">
        <v>182</v>
      </c>
      <c r="E1898" t="s">
        <v>192</v>
      </c>
      <c r="F1898">
        <v>3</v>
      </c>
      <c r="G1898">
        <v>1010</v>
      </c>
      <c r="H1898">
        <v>14.1</v>
      </c>
      <c r="I1898">
        <v>2602.77</v>
      </c>
      <c r="J1898" t="s">
        <v>87</v>
      </c>
      <c r="K1898" t="s">
        <v>117</v>
      </c>
      <c r="L1898" t="s">
        <v>117</v>
      </c>
      <c r="M1898" t="s">
        <v>2839</v>
      </c>
      <c r="N1898" t="s">
        <v>2855</v>
      </c>
      <c r="O1898">
        <v>516</v>
      </c>
      <c r="P1898">
        <v>1010</v>
      </c>
    </row>
    <row r="1899" spans="1:16" x14ac:dyDescent="0.3">
      <c r="A1899" t="s">
        <v>1824</v>
      </c>
      <c r="B1899" s="45">
        <v>45626</v>
      </c>
      <c r="C1899" t="s">
        <v>613</v>
      </c>
      <c r="D1899" t="s">
        <v>515</v>
      </c>
      <c r="E1899" t="s">
        <v>98</v>
      </c>
      <c r="F1899">
        <v>5</v>
      </c>
      <c r="G1899">
        <v>6940</v>
      </c>
      <c r="H1899">
        <v>2.9</v>
      </c>
      <c r="I1899">
        <v>33693.699999999997</v>
      </c>
      <c r="J1899" t="s">
        <v>87</v>
      </c>
      <c r="K1899" t="s">
        <v>112</v>
      </c>
      <c r="L1899" t="s">
        <v>112</v>
      </c>
      <c r="M1899" t="s">
        <v>2839</v>
      </c>
      <c r="N1899" t="s">
        <v>2871</v>
      </c>
      <c r="O1899">
        <v>2827</v>
      </c>
      <c r="P1899">
        <v>6940</v>
      </c>
    </row>
    <row r="1900" spans="1:16" x14ac:dyDescent="0.3">
      <c r="A1900" t="s">
        <v>1833</v>
      </c>
      <c r="B1900" s="45">
        <v>45564</v>
      </c>
      <c r="C1900" t="s">
        <v>178</v>
      </c>
      <c r="D1900" t="s">
        <v>147</v>
      </c>
      <c r="E1900" t="s">
        <v>297</v>
      </c>
      <c r="F1900">
        <v>7</v>
      </c>
      <c r="G1900">
        <v>190</v>
      </c>
      <c r="H1900">
        <v>11.6</v>
      </c>
      <c r="I1900">
        <v>1175.72</v>
      </c>
      <c r="J1900" t="s">
        <v>87</v>
      </c>
      <c r="K1900" t="s">
        <v>94</v>
      </c>
      <c r="L1900" t="s">
        <v>94</v>
      </c>
      <c r="M1900" t="s">
        <v>2839</v>
      </c>
      <c r="N1900" t="s">
        <v>2855</v>
      </c>
      <c r="O1900">
        <v>147</v>
      </c>
      <c r="P1900">
        <v>190</v>
      </c>
    </row>
    <row r="1901" spans="1:16" x14ac:dyDescent="0.3">
      <c r="A1901" t="s">
        <v>1848</v>
      </c>
      <c r="B1901" s="45">
        <v>45447</v>
      </c>
      <c r="C1901" t="s">
        <v>837</v>
      </c>
      <c r="D1901" t="s">
        <v>461</v>
      </c>
      <c r="E1901" t="s">
        <v>121</v>
      </c>
      <c r="F1901">
        <v>2</v>
      </c>
      <c r="G1901">
        <v>3780</v>
      </c>
      <c r="H1901">
        <v>29.1</v>
      </c>
      <c r="I1901">
        <v>5360.04</v>
      </c>
      <c r="J1901" t="s">
        <v>87</v>
      </c>
      <c r="K1901" t="s">
        <v>117</v>
      </c>
      <c r="L1901" t="s">
        <v>117</v>
      </c>
      <c r="M1901" t="s">
        <v>2839</v>
      </c>
      <c r="N1901" t="s">
        <v>2862</v>
      </c>
      <c r="O1901">
        <v>1860</v>
      </c>
      <c r="P1901">
        <v>3780</v>
      </c>
    </row>
    <row r="1902" spans="1:16" x14ac:dyDescent="0.3">
      <c r="A1902" t="s">
        <v>1860</v>
      </c>
      <c r="B1902" s="45">
        <v>45560</v>
      </c>
      <c r="C1902" t="s">
        <v>555</v>
      </c>
      <c r="D1902" t="s">
        <v>515</v>
      </c>
      <c r="E1902" t="s">
        <v>238</v>
      </c>
      <c r="F1902">
        <v>7</v>
      </c>
      <c r="G1902">
        <v>6940</v>
      </c>
      <c r="H1902">
        <v>9.6</v>
      </c>
      <c r="I1902">
        <v>43916.32</v>
      </c>
      <c r="J1902" t="s">
        <v>87</v>
      </c>
      <c r="K1902" t="s">
        <v>112</v>
      </c>
      <c r="L1902" t="s">
        <v>112</v>
      </c>
      <c r="M1902" t="s">
        <v>2839</v>
      </c>
      <c r="N1902" t="s">
        <v>2871</v>
      </c>
      <c r="O1902">
        <v>2827</v>
      </c>
      <c r="P1902">
        <v>6940</v>
      </c>
    </row>
    <row r="1903" spans="1:16" x14ac:dyDescent="0.3">
      <c r="A1903" t="s">
        <v>1876</v>
      </c>
      <c r="B1903" s="45">
        <v>45621</v>
      </c>
      <c r="C1903" t="s">
        <v>595</v>
      </c>
      <c r="D1903" t="s">
        <v>97</v>
      </c>
      <c r="E1903" t="s">
        <v>86</v>
      </c>
      <c r="F1903">
        <v>10</v>
      </c>
      <c r="G1903">
        <v>470</v>
      </c>
      <c r="H1903">
        <v>21.2</v>
      </c>
      <c r="I1903">
        <v>3703.6</v>
      </c>
      <c r="J1903" t="s">
        <v>87</v>
      </c>
      <c r="K1903" t="s">
        <v>99</v>
      </c>
      <c r="L1903" t="s">
        <v>99</v>
      </c>
      <c r="M1903" t="s">
        <v>2839</v>
      </c>
      <c r="N1903" t="s">
        <v>2871</v>
      </c>
      <c r="O1903">
        <v>302</v>
      </c>
      <c r="P1903">
        <v>470</v>
      </c>
    </row>
    <row r="1904" spans="1:16" x14ac:dyDescent="0.3">
      <c r="A1904" t="s">
        <v>476</v>
      </c>
      <c r="B1904" s="45">
        <v>45334</v>
      </c>
      <c r="C1904" t="s">
        <v>413</v>
      </c>
      <c r="D1904" t="s">
        <v>461</v>
      </c>
      <c r="E1904" t="s">
        <v>285</v>
      </c>
      <c r="F1904">
        <v>7</v>
      </c>
      <c r="G1904">
        <v>3780</v>
      </c>
      <c r="H1904">
        <v>10.1</v>
      </c>
      <c r="I1904">
        <v>23787.54</v>
      </c>
      <c r="J1904" t="s">
        <v>87</v>
      </c>
      <c r="K1904" t="s">
        <v>88</v>
      </c>
      <c r="L1904" t="s">
        <v>88</v>
      </c>
      <c r="M1904" t="s">
        <v>2839</v>
      </c>
      <c r="N1904" t="s">
        <v>2879</v>
      </c>
      <c r="O1904">
        <v>1860</v>
      </c>
      <c r="P1904">
        <v>3780</v>
      </c>
    </row>
    <row r="1905" spans="1:16" x14ac:dyDescent="0.3">
      <c r="A1905" t="s">
        <v>1880</v>
      </c>
      <c r="B1905" s="45">
        <v>45388</v>
      </c>
      <c r="C1905" t="s">
        <v>359</v>
      </c>
      <c r="D1905" t="s">
        <v>151</v>
      </c>
      <c r="E1905" t="s">
        <v>170</v>
      </c>
      <c r="F1905">
        <v>3</v>
      </c>
      <c r="G1905">
        <v>2400</v>
      </c>
      <c r="H1905">
        <v>15.4</v>
      </c>
      <c r="I1905">
        <v>6091.2</v>
      </c>
      <c r="J1905" t="s">
        <v>87</v>
      </c>
      <c r="K1905" t="s">
        <v>99</v>
      </c>
      <c r="L1905" t="s">
        <v>99</v>
      </c>
      <c r="M1905" t="s">
        <v>2839</v>
      </c>
      <c r="N1905" t="s">
        <v>2871</v>
      </c>
      <c r="O1905">
        <v>974</v>
      </c>
      <c r="P1905">
        <v>2400</v>
      </c>
    </row>
    <row r="1906" spans="1:16" x14ac:dyDescent="0.3">
      <c r="A1906" t="s">
        <v>1881</v>
      </c>
      <c r="B1906" s="45">
        <v>45407</v>
      </c>
      <c r="C1906" t="s">
        <v>759</v>
      </c>
      <c r="D1906" t="s">
        <v>195</v>
      </c>
      <c r="E1906" t="s">
        <v>297</v>
      </c>
      <c r="F1906">
        <v>2</v>
      </c>
      <c r="G1906">
        <v>2860</v>
      </c>
      <c r="H1906">
        <v>10.5</v>
      </c>
      <c r="I1906">
        <v>5119.3999999999996</v>
      </c>
      <c r="J1906" t="s">
        <v>87</v>
      </c>
      <c r="K1906" t="s">
        <v>117</v>
      </c>
      <c r="L1906" t="s">
        <v>117</v>
      </c>
      <c r="M1906" t="s">
        <v>2839</v>
      </c>
      <c r="N1906" t="s">
        <v>2855</v>
      </c>
      <c r="O1906">
        <v>2028</v>
      </c>
      <c r="P1906">
        <v>2860</v>
      </c>
    </row>
    <row r="1907" spans="1:16" x14ac:dyDescent="0.3">
      <c r="A1907" t="s">
        <v>1888</v>
      </c>
      <c r="B1907" s="45">
        <v>45483</v>
      </c>
      <c r="C1907" t="s">
        <v>263</v>
      </c>
      <c r="D1907" t="s">
        <v>360</v>
      </c>
      <c r="E1907" t="s">
        <v>204</v>
      </c>
      <c r="F1907">
        <v>9</v>
      </c>
      <c r="G1907">
        <v>5410</v>
      </c>
      <c r="H1907">
        <v>11.5</v>
      </c>
      <c r="I1907">
        <v>43090.65</v>
      </c>
      <c r="J1907" t="s">
        <v>87</v>
      </c>
      <c r="K1907" t="s">
        <v>133</v>
      </c>
      <c r="L1907" t="s">
        <v>133</v>
      </c>
      <c r="M1907" t="s">
        <v>2839</v>
      </c>
      <c r="N1907" t="s">
        <v>2871</v>
      </c>
      <c r="O1907">
        <v>2265</v>
      </c>
      <c r="P1907">
        <v>5410</v>
      </c>
    </row>
    <row r="1908" spans="1:16" x14ac:dyDescent="0.3">
      <c r="A1908" t="s">
        <v>1894</v>
      </c>
      <c r="B1908" s="45">
        <v>45302</v>
      </c>
      <c r="C1908" t="s">
        <v>130</v>
      </c>
      <c r="D1908" t="s">
        <v>461</v>
      </c>
      <c r="E1908" t="s">
        <v>297</v>
      </c>
      <c r="F1908">
        <v>4</v>
      </c>
      <c r="G1908">
        <v>3780</v>
      </c>
      <c r="H1908">
        <v>9</v>
      </c>
      <c r="I1908">
        <v>13759.2</v>
      </c>
      <c r="J1908" t="s">
        <v>93</v>
      </c>
      <c r="K1908" t="s">
        <v>133</v>
      </c>
      <c r="L1908" t="s">
        <v>133</v>
      </c>
      <c r="M1908" t="s">
        <v>2839</v>
      </c>
      <c r="N1908" t="s">
        <v>2862</v>
      </c>
      <c r="O1908">
        <v>1860</v>
      </c>
      <c r="P1908">
        <v>3780</v>
      </c>
    </row>
    <row r="1909" spans="1:16" x14ac:dyDescent="0.3">
      <c r="A1909" t="s">
        <v>1900</v>
      </c>
      <c r="B1909" s="45">
        <v>45423</v>
      </c>
      <c r="C1909" t="s">
        <v>714</v>
      </c>
      <c r="D1909" t="s">
        <v>461</v>
      </c>
      <c r="E1909" t="s">
        <v>346</v>
      </c>
      <c r="F1909">
        <v>10</v>
      </c>
      <c r="G1909">
        <v>3780</v>
      </c>
      <c r="H1909">
        <v>5.8</v>
      </c>
      <c r="I1909">
        <v>35607.599999999999</v>
      </c>
      <c r="J1909" t="s">
        <v>87</v>
      </c>
      <c r="K1909" t="s">
        <v>99</v>
      </c>
      <c r="L1909" t="s">
        <v>99</v>
      </c>
      <c r="M1909" t="s">
        <v>2839</v>
      </c>
      <c r="N1909" t="s">
        <v>2871</v>
      </c>
      <c r="O1909">
        <v>1860</v>
      </c>
      <c r="P1909">
        <v>3780</v>
      </c>
    </row>
    <row r="1910" spans="1:16" x14ac:dyDescent="0.3">
      <c r="A1910" t="s">
        <v>1918</v>
      </c>
      <c r="B1910" s="45">
        <v>45616</v>
      </c>
      <c r="C1910" t="s">
        <v>105</v>
      </c>
      <c r="D1910" t="s">
        <v>195</v>
      </c>
      <c r="E1910" t="s">
        <v>204</v>
      </c>
      <c r="F1910">
        <v>2</v>
      </c>
      <c r="G1910">
        <v>2860</v>
      </c>
      <c r="H1910">
        <v>13.7</v>
      </c>
      <c r="I1910">
        <v>4936.3599999999997</v>
      </c>
      <c r="J1910" t="s">
        <v>87</v>
      </c>
      <c r="K1910" t="s">
        <v>94</v>
      </c>
      <c r="L1910" t="s">
        <v>94</v>
      </c>
      <c r="M1910" t="s">
        <v>2839</v>
      </c>
      <c r="N1910" t="s">
        <v>2871</v>
      </c>
      <c r="O1910">
        <v>2028</v>
      </c>
      <c r="P1910">
        <v>2860</v>
      </c>
    </row>
    <row r="1911" spans="1:16" x14ac:dyDescent="0.3">
      <c r="A1911" t="s">
        <v>1927</v>
      </c>
      <c r="B1911" s="45">
        <v>45452</v>
      </c>
      <c r="C1911" t="s">
        <v>1172</v>
      </c>
      <c r="D1911" t="s">
        <v>182</v>
      </c>
      <c r="E1911" t="s">
        <v>128</v>
      </c>
      <c r="F1911">
        <v>7</v>
      </c>
      <c r="G1911">
        <v>1010</v>
      </c>
      <c r="H1911">
        <v>28.2</v>
      </c>
      <c r="I1911">
        <v>5076.26</v>
      </c>
      <c r="J1911" t="s">
        <v>87</v>
      </c>
      <c r="K1911" t="s">
        <v>88</v>
      </c>
      <c r="L1911" t="s">
        <v>88</v>
      </c>
      <c r="M1911" t="s">
        <v>2839</v>
      </c>
      <c r="N1911" t="s">
        <v>2862</v>
      </c>
      <c r="O1911">
        <v>516</v>
      </c>
      <c r="P1911">
        <v>1010</v>
      </c>
    </row>
    <row r="1912" spans="1:16" x14ac:dyDescent="0.3">
      <c r="A1912" t="s">
        <v>1935</v>
      </c>
      <c r="B1912" s="45">
        <v>45453</v>
      </c>
      <c r="C1912" t="s">
        <v>717</v>
      </c>
      <c r="D1912" t="s">
        <v>461</v>
      </c>
      <c r="E1912" t="s">
        <v>285</v>
      </c>
      <c r="F1912">
        <v>3</v>
      </c>
      <c r="G1912">
        <v>3780</v>
      </c>
      <c r="H1912">
        <v>8.5</v>
      </c>
      <c r="I1912">
        <v>10376.1</v>
      </c>
      <c r="J1912" t="s">
        <v>93</v>
      </c>
      <c r="K1912" t="s">
        <v>94</v>
      </c>
      <c r="L1912" t="s">
        <v>94</v>
      </c>
      <c r="M1912" t="s">
        <v>2839</v>
      </c>
      <c r="N1912" t="s">
        <v>2862</v>
      </c>
      <c r="O1912">
        <v>1860</v>
      </c>
      <c r="P1912">
        <v>3780</v>
      </c>
    </row>
    <row r="1913" spans="1:16" x14ac:dyDescent="0.3">
      <c r="A1913" t="s">
        <v>423</v>
      </c>
      <c r="B1913" s="45">
        <v>45397</v>
      </c>
      <c r="C1913" t="s">
        <v>418</v>
      </c>
      <c r="D1913" t="s">
        <v>182</v>
      </c>
      <c r="E1913" t="s">
        <v>297</v>
      </c>
      <c r="F1913">
        <v>2</v>
      </c>
      <c r="G1913">
        <v>1010</v>
      </c>
      <c r="H1913">
        <v>2.7</v>
      </c>
      <c r="I1913">
        <v>1965.46</v>
      </c>
      <c r="J1913" t="s">
        <v>87</v>
      </c>
      <c r="K1913" t="s">
        <v>133</v>
      </c>
      <c r="L1913" t="s">
        <v>133</v>
      </c>
      <c r="M1913" t="s">
        <v>2839</v>
      </c>
      <c r="N1913" t="s">
        <v>2855</v>
      </c>
      <c r="O1913">
        <v>516</v>
      </c>
      <c r="P1913">
        <v>1010</v>
      </c>
    </row>
    <row r="1914" spans="1:16" x14ac:dyDescent="0.3">
      <c r="A1914" t="s">
        <v>1949</v>
      </c>
      <c r="B1914" s="45">
        <v>45456</v>
      </c>
      <c r="C1914" t="s">
        <v>905</v>
      </c>
      <c r="D1914" t="s">
        <v>195</v>
      </c>
      <c r="E1914" t="s">
        <v>86</v>
      </c>
      <c r="F1914">
        <v>7</v>
      </c>
      <c r="G1914">
        <v>2860</v>
      </c>
      <c r="H1914">
        <v>14</v>
      </c>
      <c r="I1914">
        <v>17217.2</v>
      </c>
      <c r="J1914" t="s">
        <v>87</v>
      </c>
      <c r="K1914" t="s">
        <v>112</v>
      </c>
      <c r="L1914" t="s">
        <v>112</v>
      </c>
      <c r="M1914" t="s">
        <v>2839</v>
      </c>
      <c r="N1914" t="s">
        <v>2855</v>
      </c>
      <c r="O1914">
        <v>2028</v>
      </c>
      <c r="P1914">
        <v>2860</v>
      </c>
    </row>
    <row r="1915" spans="1:16" x14ac:dyDescent="0.3">
      <c r="A1915" t="s">
        <v>1963</v>
      </c>
      <c r="B1915" s="45">
        <v>45545</v>
      </c>
      <c r="C1915" t="s">
        <v>1038</v>
      </c>
      <c r="D1915" t="s">
        <v>461</v>
      </c>
      <c r="E1915" t="s">
        <v>121</v>
      </c>
      <c r="F1915">
        <v>4</v>
      </c>
      <c r="G1915">
        <v>3780</v>
      </c>
      <c r="H1915">
        <v>13.1</v>
      </c>
      <c r="I1915">
        <v>13139.28</v>
      </c>
      <c r="J1915" t="s">
        <v>87</v>
      </c>
      <c r="K1915" t="s">
        <v>117</v>
      </c>
      <c r="L1915" t="s">
        <v>117</v>
      </c>
      <c r="M1915" t="s">
        <v>2839</v>
      </c>
      <c r="N1915" t="s">
        <v>2862</v>
      </c>
      <c r="O1915">
        <v>1860</v>
      </c>
      <c r="P1915">
        <v>3780</v>
      </c>
    </row>
    <row r="1916" spans="1:16" x14ac:dyDescent="0.3">
      <c r="A1916" t="s">
        <v>1967</v>
      </c>
      <c r="B1916" s="45">
        <v>45415</v>
      </c>
      <c r="C1916" t="s">
        <v>986</v>
      </c>
      <c r="D1916" t="s">
        <v>360</v>
      </c>
      <c r="E1916" t="s">
        <v>121</v>
      </c>
      <c r="F1916">
        <v>8</v>
      </c>
      <c r="G1916">
        <v>5410</v>
      </c>
      <c r="H1916">
        <v>25.6</v>
      </c>
      <c r="I1916">
        <v>32200.32</v>
      </c>
      <c r="J1916" t="s">
        <v>87</v>
      </c>
      <c r="K1916" t="s">
        <v>94</v>
      </c>
      <c r="L1916" t="s">
        <v>94</v>
      </c>
      <c r="M1916" t="s">
        <v>2839</v>
      </c>
      <c r="N1916" t="s">
        <v>2871</v>
      </c>
      <c r="O1916">
        <v>2265</v>
      </c>
      <c r="P1916">
        <v>5410</v>
      </c>
    </row>
    <row r="1917" spans="1:16" x14ac:dyDescent="0.3">
      <c r="A1917" t="s">
        <v>1968</v>
      </c>
      <c r="B1917" s="45">
        <v>45342</v>
      </c>
      <c r="C1917" t="s">
        <v>970</v>
      </c>
      <c r="D1917" t="s">
        <v>151</v>
      </c>
      <c r="E1917" t="s">
        <v>107</v>
      </c>
      <c r="F1917">
        <v>4</v>
      </c>
      <c r="G1917">
        <v>2400</v>
      </c>
      <c r="H1917">
        <v>10.4</v>
      </c>
      <c r="I1917">
        <v>8601.6</v>
      </c>
      <c r="J1917" t="s">
        <v>87</v>
      </c>
      <c r="K1917" t="s">
        <v>112</v>
      </c>
      <c r="L1917" t="s">
        <v>112</v>
      </c>
      <c r="M1917" t="s">
        <v>2839</v>
      </c>
      <c r="N1917" t="s">
        <v>2862</v>
      </c>
      <c r="O1917">
        <v>974</v>
      </c>
      <c r="P1917">
        <v>2400</v>
      </c>
    </row>
    <row r="1918" spans="1:16" x14ac:dyDescent="0.3">
      <c r="A1918" t="s">
        <v>1972</v>
      </c>
      <c r="B1918" s="45">
        <v>45522</v>
      </c>
      <c r="C1918" t="s">
        <v>1575</v>
      </c>
      <c r="D1918" t="s">
        <v>195</v>
      </c>
      <c r="E1918" t="s">
        <v>325</v>
      </c>
      <c r="F1918">
        <v>6</v>
      </c>
      <c r="G1918">
        <v>2860</v>
      </c>
      <c r="H1918">
        <v>13.3</v>
      </c>
      <c r="I1918">
        <v>14877.72</v>
      </c>
      <c r="J1918" t="s">
        <v>87</v>
      </c>
      <c r="K1918" t="s">
        <v>133</v>
      </c>
      <c r="L1918" t="s">
        <v>133</v>
      </c>
      <c r="M1918" t="s">
        <v>2839</v>
      </c>
      <c r="N1918" t="s">
        <v>2862</v>
      </c>
      <c r="O1918">
        <v>2028</v>
      </c>
      <c r="P1918">
        <v>2860</v>
      </c>
    </row>
    <row r="1919" spans="1:16" x14ac:dyDescent="0.3">
      <c r="A1919" t="s">
        <v>1977</v>
      </c>
      <c r="B1919" s="45">
        <v>45593</v>
      </c>
      <c r="C1919" t="s">
        <v>1217</v>
      </c>
      <c r="D1919" t="s">
        <v>97</v>
      </c>
      <c r="E1919" t="s">
        <v>343</v>
      </c>
      <c r="F1919">
        <v>4</v>
      </c>
      <c r="G1919">
        <v>470</v>
      </c>
      <c r="H1919">
        <v>19.100000000000001</v>
      </c>
      <c r="I1919">
        <v>1520.92</v>
      </c>
      <c r="J1919" t="s">
        <v>93</v>
      </c>
      <c r="K1919" t="s">
        <v>112</v>
      </c>
      <c r="L1919" t="s">
        <v>112</v>
      </c>
      <c r="M1919" t="s">
        <v>2839</v>
      </c>
      <c r="N1919" t="s">
        <v>2855</v>
      </c>
      <c r="O1919">
        <v>302</v>
      </c>
      <c r="P1919">
        <v>470</v>
      </c>
    </row>
    <row r="1920" spans="1:16" x14ac:dyDescent="0.3">
      <c r="A1920" t="s">
        <v>1980</v>
      </c>
      <c r="B1920" s="45">
        <v>45456</v>
      </c>
      <c r="C1920" t="s">
        <v>440</v>
      </c>
      <c r="D1920" t="s">
        <v>182</v>
      </c>
      <c r="E1920" t="s">
        <v>204</v>
      </c>
      <c r="F1920">
        <v>2</v>
      </c>
      <c r="G1920">
        <v>1010</v>
      </c>
      <c r="H1920">
        <v>14</v>
      </c>
      <c r="I1920">
        <v>1737.2</v>
      </c>
      <c r="J1920" t="s">
        <v>87</v>
      </c>
      <c r="K1920" t="s">
        <v>88</v>
      </c>
      <c r="L1920" t="s">
        <v>88</v>
      </c>
      <c r="M1920" t="s">
        <v>2839</v>
      </c>
      <c r="N1920" t="s">
        <v>2862</v>
      </c>
      <c r="O1920">
        <v>516</v>
      </c>
      <c r="P1920">
        <v>1010</v>
      </c>
    </row>
    <row r="1921" spans="1:16" x14ac:dyDescent="0.3">
      <c r="A1921" t="s">
        <v>1985</v>
      </c>
      <c r="B1921" s="45">
        <v>45566</v>
      </c>
      <c r="C1921" t="s">
        <v>463</v>
      </c>
      <c r="D1921" t="s">
        <v>147</v>
      </c>
      <c r="E1921" t="s">
        <v>215</v>
      </c>
      <c r="F1921">
        <v>2</v>
      </c>
      <c r="G1921">
        <v>190</v>
      </c>
      <c r="H1921">
        <v>9</v>
      </c>
      <c r="I1921">
        <v>345.8</v>
      </c>
      <c r="J1921" t="s">
        <v>87</v>
      </c>
      <c r="K1921" t="s">
        <v>117</v>
      </c>
      <c r="L1921" t="s">
        <v>117</v>
      </c>
      <c r="M1921" t="s">
        <v>2839</v>
      </c>
      <c r="N1921" t="s">
        <v>2871</v>
      </c>
      <c r="O1921">
        <v>147</v>
      </c>
      <c r="P1921">
        <v>190</v>
      </c>
    </row>
    <row r="1922" spans="1:16" x14ac:dyDescent="0.3">
      <c r="A1922" t="s">
        <v>1988</v>
      </c>
      <c r="B1922" s="45">
        <v>45319</v>
      </c>
      <c r="C1922" t="s">
        <v>841</v>
      </c>
      <c r="D1922" t="s">
        <v>151</v>
      </c>
      <c r="E1922" t="s">
        <v>343</v>
      </c>
      <c r="F1922">
        <v>4</v>
      </c>
      <c r="G1922">
        <v>2400</v>
      </c>
      <c r="H1922">
        <v>11.5</v>
      </c>
      <c r="I1922">
        <v>8496</v>
      </c>
      <c r="J1922" t="s">
        <v>87</v>
      </c>
      <c r="K1922" t="s">
        <v>117</v>
      </c>
      <c r="L1922" t="s">
        <v>117</v>
      </c>
      <c r="M1922" t="s">
        <v>2839</v>
      </c>
      <c r="N1922" t="s">
        <v>2855</v>
      </c>
      <c r="O1922">
        <v>974</v>
      </c>
      <c r="P1922">
        <v>2400</v>
      </c>
    </row>
    <row r="1923" spans="1:16" x14ac:dyDescent="0.3">
      <c r="A1923" t="s">
        <v>1994</v>
      </c>
      <c r="B1923" s="45">
        <v>45328</v>
      </c>
      <c r="C1923" t="s">
        <v>371</v>
      </c>
      <c r="D1923" t="s">
        <v>147</v>
      </c>
      <c r="E1923" t="s">
        <v>343</v>
      </c>
      <c r="F1923">
        <v>8</v>
      </c>
      <c r="G1923">
        <v>190</v>
      </c>
      <c r="H1923">
        <v>0.2</v>
      </c>
      <c r="I1923">
        <v>1516.96</v>
      </c>
      <c r="J1923" t="s">
        <v>87</v>
      </c>
      <c r="K1923" t="s">
        <v>112</v>
      </c>
      <c r="L1923" t="s">
        <v>112</v>
      </c>
      <c r="M1923" t="s">
        <v>2839</v>
      </c>
      <c r="N1923" t="s">
        <v>2871</v>
      </c>
      <c r="O1923">
        <v>147</v>
      </c>
      <c r="P1923">
        <v>190</v>
      </c>
    </row>
    <row r="1924" spans="1:16" x14ac:dyDescent="0.3">
      <c r="A1924" t="s">
        <v>1996</v>
      </c>
      <c r="B1924" s="45">
        <v>45346</v>
      </c>
      <c r="C1924" t="s">
        <v>472</v>
      </c>
      <c r="D1924" t="s">
        <v>97</v>
      </c>
      <c r="E1924" t="s">
        <v>192</v>
      </c>
      <c r="F1924">
        <v>4</v>
      </c>
      <c r="G1924">
        <v>470</v>
      </c>
      <c r="H1924">
        <v>3</v>
      </c>
      <c r="I1924">
        <v>1823.6</v>
      </c>
      <c r="J1924" t="s">
        <v>87</v>
      </c>
      <c r="K1924" t="s">
        <v>94</v>
      </c>
      <c r="L1924" t="s">
        <v>94</v>
      </c>
      <c r="M1924" t="s">
        <v>2839</v>
      </c>
      <c r="N1924" t="s">
        <v>2879</v>
      </c>
      <c r="O1924">
        <v>302</v>
      </c>
      <c r="P1924">
        <v>470</v>
      </c>
    </row>
    <row r="1925" spans="1:16" x14ac:dyDescent="0.3">
      <c r="A1925" t="s">
        <v>2000</v>
      </c>
      <c r="B1925" s="45">
        <v>45370</v>
      </c>
      <c r="C1925" t="s">
        <v>1361</v>
      </c>
      <c r="D1925" t="s">
        <v>161</v>
      </c>
      <c r="E1925" t="s">
        <v>111</v>
      </c>
      <c r="F1925">
        <v>6</v>
      </c>
      <c r="G1925">
        <v>3450</v>
      </c>
      <c r="H1925">
        <v>22.7</v>
      </c>
      <c r="I1925">
        <v>16001.1</v>
      </c>
      <c r="J1925" t="s">
        <v>140</v>
      </c>
      <c r="K1925" t="s">
        <v>94</v>
      </c>
      <c r="L1925" t="s">
        <v>94</v>
      </c>
      <c r="M1925" t="s">
        <v>2839</v>
      </c>
      <c r="N1925" t="s">
        <v>2855</v>
      </c>
      <c r="O1925">
        <v>2467</v>
      </c>
      <c r="P1925">
        <v>3450</v>
      </c>
    </row>
    <row r="1926" spans="1:16" x14ac:dyDescent="0.3">
      <c r="A1926" t="s">
        <v>2009</v>
      </c>
      <c r="B1926" s="45">
        <v>45537</v>
      </c>
      <c r="C1926" t="s">
        <v>524</v>
      </c>
      <c r="D1926" t="s">
        <v>182</v>
      </c>
      <c r="E1926" t="s">
        <v>92</v>
      </c>
      <c r="F1926">
        <v>9</v>
      </c>
      <c r="G1926">
        <v>1010</v>
      </c>
      <c r="H1926">
        <v>21.9</v>
      </c>
      <c r="I1926">
        <v>7099.29</v>
      </c>
      <c r="J1926" t="s">
        <v>87</v>
      </c>
      <c r="K1926" t="s">
        <v>112</v>
      </c>
      <c r="L1926" t="s">
        <v>112</v>
      </c>
      <c r="M1926" t="s">
        <v>2839</v>
      </c>
      <c r="N1926" t="s">
        <v>2879</v>
      </c>
      <c r="O1926">
        <v>516</v>
      </c>
      <c r="P1926">
        <v>1010</v>
      </c>
    </row>
    <row r="1927" spans="1:16" x14ac:dyDescent="0.3">
      <c r="A1927" t="s">
        <v>2011</v>
      </c>
      <c r="B1927" s="45">
        <v>45325</v>
      </c>
      <c r="C1927" t="s">
        <v>223</v>
      </c>
      <c r="D1927" t="s">
        <v>97</v>
      </c>
      <c r="E1927" t="s">
        <v>111</v>
      </c>
      <c r="F1927">
        <v>5</v>
      </c>
      <c r="G1927">
        <v>470</v>
      </c>
      <c r="H1927">
        <v>8</v>
      </c>
      <c r="I1927">
        <v>2162</v>
      </c>
      <c r="J1927" t="s">
        <v>87</v>
      </c>
      <c r="K1927" t="s">
        <v>99</v>
      </c>
      <c r="L1927" t="s">
        <v>99</v>
      </c>
      <c r="M1927" t="s">
        <v>2839</v>
      </c>
      <c r="N1927" t="s">
        <v>2862</v>
      </c>
      <c r="O1927">
        <v>302</v>
      </c>
      <c r="P1927">
        <v>470</v>
      </c>
    </row>
    <row r="1928" spans="1:16" x14ac:dyDescent="0.3">
      <c r="A1928" t="s">
        <v>2021</v>
      </c>
      <c r="B1928" s="45">
        <v>45487</v>
      </c>
      <c r="C1928" t="s">
        <v>655</v>
      </c>
      <c r="D1928" t="s">
        <v>515</v>
      </c>
      <c r="E1928" t="s">
        <v>132</v>
      </c>
      <c r="F1928">
        <v>10</v>
      </c>
      <c r="G1928">
        <v>6940</v>
      </c>
      <c r="H1928">
        <v>10.6</v>
      </c>
      <c r="I1928">
        <v>62043.6</v>
      </c>
      <c r="J1928" t="s">
        <v>87</v>
      </c>
      <c r="K1928" t="s">
        <v>133</v>
      </c>
      <c r="L1928" t="s">
        <v>133</v>
      </c>
      <c r="M1928" t="s">
        <v>2839</v>
      </c>
      <c r="N1928" t="s">
        <v>2879</v>
      </c>
      <c r="O1928">
        <v>2827</v>
      </c>
      <c r="P1928">
        <v>6940</v>
      </c>
    </row>
    <row r="1929" spans="1:16" x14ac:dyDescent="0.3">
      <c r="A1929" t="s">
        <v>2036</v>
      </c>
      <c r="B1929" s="45">
        <v>45385</v>
      </c>
      <c r="C1929" t="s">
        <v>902</v>
      </c>
      <c r="D1929" t="s">
        <v>161</v>
      </c>
      <c r="E1929" t="s">
        <v>303</v>
      </c>
      <c r="F1929">
        <v>9</v>
      </c>
      <c r="G1929">
        <v>3450</v>
      </c>
      <c r="H1929">
        <v>20.100000000000001</v>
      </c>
      <c r="I1929">
        <v>24808.95</v>
      </c>
      <c r="J1929" t="s">
        <v>87</v>
      </c>
      <c r="K1929" t="s">
        <v>112</v>
      </c>
      <c r="L1929" t="s">
        <v>112</v>
      </c>
      <c r="M1929" t="s">
        <v>2839</v>
      </c>
      <c r="N1929" t="s">
        <v>2879</v>
      </c>
      <c r="O1929">
        <v>2467</v>
      </c>
      <c r="P1929">
        <v>3450</v>
      </c>
    </row>
    <row r="1930" spans="1:16" x14ac:dyDescent="0.3">
      <c r="A1930" t="s">
        <v>2039</v>
      </c>
      <c r="B1930" s="45">
        <v>45479</v>
      </c>
      <c r="C1930" t="s">
        <v>697</v>
      </c>
      <c r="D1930" t="s">
        <v>115</v>
      </c>
      <c r="E1930" t="s">
        <v>132</v>
      </c>
      <c r="F1930">
        <v>9</v>
      </c>
      <c r="G1930">
        <v>960</v>
      </c>
      <c r="H1930">
        <v>2.4</v>
      </c>
      <c r="I1930">
        <v>8432.64</v>
      </c>
      <c r="J1930" t="s">
        <v>87</v>
      </c>
      <c r="K1930" t="s">
        <v>133</v>
      </c>
      <c r="L1930" t="s">
        <v>133</v>
      </c>
      <c r="M1930" t="s">
        <v>2839</v>
      </c>
      <c r="N1930" t="s">
        <v>2855</v>
      </c>
      <c r="O1930">
        <v>705</v>
      </c>
      <c r="P1930">
        <v>960</v>
      </c>
    </row>
    <row r="1931" spans="1:16" x14ac:dyDescent="0.3">
      <c r="A1931" t="s">
        <v>2045</v>
      </c>
      <c r="B1931" s="45">
        <v>45368</v>
      </c>
      <c r="C1931" t="s">
        <v>369</v>
      </c>
      <c r="D1931" t="s">
        <v>461</v>
      </c>
      <c r="E1931" t="s">
        <v>86</v>
      </c>
      <c r="F1931">
        <v>8</v>
      </c>
      <c r="G1931">
        <v>3780</v>
      </c>
      <c r="H1931">
        <v>3.8</v>
      </c>
      <c r="I1931">
        <v>29090.880000000001</v>
      </c>
      <c r="J1931" t="s">
        <v>87</v>
      </c>
      <c r="K1931" t="s">
        <v>94</v>
      </c>
      <c r="L1931" t="s">
        <v>94</v>
      </c>
      <c r="M1931" t="s">
        <v>2839</v>
      </c>
      <c r="N1931" t="s">
        <v>2862</v>
      </c>
      <c r="O1931">
        <v>1860</v>
      </c>
      <c r="P1931">
        <v>3780</v>
      </c>
    </row>
    <row r="1932" spans="1:16" x14ac:dyDescent="0.3">
      <c r="A1932" t="s">
        <v>2052</v>
      </c>
      <c r="B1932" s="45">
        <v>45618</v>
      </c>
      <c r="C1932" t="s">
        <v>2053</v>
      </c>
      <c r="D1932" t="s">
        <v>195</v>
      </c>
      <c r="E1932" t="s">
        <v>303</v>
      </c>
      <c r="F1932">
        <v>3</v>
      </c>
      <c r="G1932">
        <v>2860</v>
      </c>
      <c r="H1932">
        <v>19.899999999999999</v>
      </c>
      <c r="I1932">
        <v>6872.58</v>
      </c>
      <c r="J1932" t="s">
        <v>87</v>
      </c>
      <c r="K1932" t="s">
        <v>133</v>
      </c>
      <c r="L1932" t="s">
        <v>133</v>
      </c>
      <c r="M1932" t="s">
        <v>2839</v>
      </c>
      <c r="N1932" t="s">
        <v>2879</v>
      </c>
      <c r="O1932">
        <v>2028</v>
      </c>
      <c r="P1932">
        <v>2860</v>
      </c>
    </row>
    <row r="1933" spans="1:16" x14ac:dyDescent="0.3">
      <c r="A1933" t="s">
        <v>2063</v>
      </c>
      <c r="B1933" s="45">
        <v>45528</v>
      </c>
      <c r="C1933" t="s">
        <v>1308</v>
      </c>
      <c r="D1933" t="s">
        <v>515</v>
      </c>
      <c r="E1933" t="s">
        <v>204</v>
      </c>
      <c r="F1933">
        <v>6</v>
      </c>
      <c r="G1933">
        <v>6940</v>
      </c>
      <c r="H1933">
        <v>0.3</v>
      </c>
      <c r="I1933">
        <v>41515.08</v>
      </c>
      <c r="J1933" t="s">
        <v>87</v>
      </c>
      <c r="K1933" t="s">
        <v>94</v>
      </c>
      <c r="L1933" t="s">
        <v>94</v>
      </c>
      <c r="M1933" t="s">
        <v>2839</v>
      </c>
      <c r="N1933" t="s">
        <v>2879</v>
      </c>
      <c r="O1933">
        <v>2827</v>
      </c>
      <c r="P1933">
        <v>6940</v>
      </c>
    </row>
    <row r="1934" spans="1:16" x14ac:dyDescent="0.3">
      <c r="A1934" t="s">
        <v>2071</v>
      </c>
      <c r="B1934" s="45">
        <v>45604</v>
      </c>
      <c r="C1934" t="s">
        <v>878</v>
      </c>
      <c r="D1934" t="s">
        <v>97</v>
      </c>
      <c r="E1934" t="s">
        <v>132</v>
      </c>
      <c r="F1934">
        <v>7</v>
      </c>
      <c r="G1934">
        <v>470</v>
      </c>
      <c r="H1934">
        <v>21.6</v>
      </c>
      <c r="I1934">
        <v>2579.36</v>
      </c>
      <c r="J1934" t="s">
        <v>87</v>
      </c>
      <c r="K1934" t="s">
        <v>112</v>
      </c>
      <c r="L1934" t="s">
        <v>112</v>
      </c>
      <c r="M1934" t="s">
        <v>2839</v>
      </c>
      <c r="N1934" t="s">
        <v>2862</v>
      </c>
      <c r="O1934">
        <v>302</v>
      </c>
      <c r="P1934">
        <v>470</v>
      </c>
    </row>
    <row r="1935" spans="1:16" x14ac:dyDescent="0.3">
      <c r="A1935" t="s">
        <v>2073</v>
      </c>
      <c r="B1935" s="45">
        <v>45293</v>
      </c>
      <c r="C1935" t="s">
        <v>613</v>
      </c>
      <c r="D1935" t="s">
        <v>182</v>
      </c>
      <c r="E1935" t="s">
        <v>107</v>
      </c>
      <c r="F1935">
        <v>4</v>
      </c>
      <c r="G1935">
        <v>1010</v>
      </c>
      <c r="H1935">
        <v>11.3</v>
      </c>
      <c r="I1935">
        <v>3583.48</v>
      </c>
      <c r="J1935" t="s">
        <v>87</v>
      </c>
      <c r="K1935" t="s">
        <v>112</v>
      </c>
      <c r="L1935" t="s">
        <v>112</v>
      </c>
      <c r="M1935" t="s">
        <v>2839</v>
      </c>
      <c r="N1935" t="s">
        <v>2871</v>
      </c>
      <c r="O1935">
        <v>516</v>
      </c>
      <c r="P1935">
        <v>1010</v>
      </c>
    </row>
    <row r="1936" spans="1:16" x14ac:dyDescent="0.3">
      <c r="A1936" t="s">
        <v>2082</v>
      </c>
      <c r="B1936" s="45">
        <v>45632</v>
      </c>
      <c r="C1936" t="s">
        <v>797</v>
      </c>
      <c r="D1936" t="s">
        <v>360</v>
      </c>
      <c r="E1936" t="s">
        <v>111</v>
      </c>
      <c r="F1936">
        <v>3</v>
      </c>
      <c r="G1936">
        <v>5410</v>
      </c>
      <c r="H1936">
        <v>20.3</v>
      </c>
      <c r="I1936">
        <v>12935.31</v>
      </c>
      <c r="J1936" t="s">
        <v>87</v>
      </c>
      <c r="K1936" t="s">
        <v>99</v>
      </c>
      <c r="L1936" t="s">
        <v>99</v>
      </c>
      <c r="M1936" t="s">
        <v>2839</v>
      </c>
      <c r="N1936" t="s">
        <v>2862</v>
      </c>
      <c r="O1936">
        <v>2265</v>
      </c>
      <c r="P1936">
        <v>5410</v>
      </c>
    </row>
    <row r="1937" spans="1:16" x14ac:dyDescent="0.3">
      <c r="A1937" t="s">
        <v>2085</v>
      </c>
      <c r="B1937" s="45">
        <v>45563</v>
      </c>
      <c r="C1937" t="s">
        <v>1062</v>
      </c>
      <c r="D1937" t="s">
        <v>147</v>
      </c>
      <c r="E1937" t="s">
        <v>297</v>
      </c>
      <c r="F1937">
        <v>3</v>
      </c>
      <c r="G1937">
        <v>190</v>
      </c>
      <c r="H1937">
        <v>10.7</v>
      </c>
      <c r="I1937">
        <v>509.01</v>
      </c>
      <c r="J1937" t="s">
        <v>87</v>
      </c>
      <c r="K1937" t="s">
        <v>112</v>
      </c>
      <c r="L1937" t="s">
        <v>112</v>
      </c>
      <c r="M1937" t="s">
        <v>2839</v>
      </c>
      <c r="N1937" t="s">
        <v>2855</v>
      </c>
      <c r="O1937">
        <v>147</v>
      </c>
      <c r="P1937">
        <v>190</v>
      </c>
    </row>
    <row r="1938" spans="1:16" x14ac:dyDescent="0.3">
      <c r="A1938" t="s">
        <v>2087</v>
      </c>
      <c r="B1938" s="45">
        <v>45503</v>
      </c>
      <c r="C1938" t="s">
        <v>1027</v>
      </c>
      <c r="D1938" t="s">
        <v>161</v>
      </c>
      <c r="E1938" t="s">
        <v>111</v>
      </c>
      <c r="F1938">
        <v>9</v>
      </c>
      <c r="G1938">
        <v>3450</v>
      </c>
      <c r="H1938">
        <v>22.2</v>
      </c>
      <c r="I1938">
        <v>24156.9</v>
      </c>
      <c r="J1938" t="s">
        <v>140</v>
      </c>
      <c r="K1938" t="s">
        <v>112</v>
      </c>
      <c r="L1938" t="s">
        <v>112</v>
      </c>
      <c r="M1938" t="s">
        <v>2839</v>
      </c>
      <c r="N1938" t="s">
        <v>2879</v>
      </c>
      <c r="O1938">
        <v>2467</v>
      </c>
      <c r="P1938">
        <v>3450</v>
      </c>
    </row>
    <row r="1939" spans="1:16" x14ac:dyDescent="0.3">
      <c r="A1939" t="s">
        <v>2094</v>
      </c>
      <c r="B1939" s="45">
        <v>45623</v>
      </c>
      <c r="C1939" t="s">
        <v>785</v>
      </c>
      <c r="D1939" t="s">
        <v>182</v>
      </c>
      <c r="E1939" t="s">
        <v>215</v>
      </c>
      <c r="F1939">
        <v>4</v>
      </c>
      <c r="G1939">
        <v>1010</v>
      </c>
      <c r="H1939">
        <v>3.3</v>
      </c>
      <c r="I1939">
        <v>3906.68</v>
      </c>
      <c r="J1939" t="s">
        <v>87</v>
      </c>
      <c r="K1939" t="s">
        <v>88</v>
      </c>
      <c r="L1939" t="s">
        <v>88</v>
      </c>
      <c r="M1939" t="s">
        <v>2839</v>
      </c>
      <c r="N1939" t="s">
        <v>2855</v>
      </c>
      <c r="O1939">
        <v>516</v>
      </c>
      <c r="P1939">
        <v>1010</v>
      </c>
    </row>
    <row r="1940" spans="1:16" x14ac:dyDescent="0.3">
      <c r="A1940" t="s">
        <v>2096</v>
      </c>
      <c r="B1940" s="45">
        <v>45571</v>
      </c>
      <c r="C1940" t="s">
        <v>870</v>
      </c>
      <c r="D1940" t="s">
        <v>97</v>
      </c>
      <c r="E1940" t="s">
        <v>343</v>
      </c>
      <c r="F1940">
        <v>5</v>
      </c>
      <c r="G1940">
        <v>470</v>
      </c>
      <c r="H1940">
        <v>18.3</v>
      </c>
      <c r="I1940">
        <v>1919.95</v>
      </c>
      <c r="J1940" t="s">
        <v>144</v>
      </c>
      <c r="K1940" t="s">
        <v>117</v>
      </c>
      <c r="L1940" t="s">
        <v>117</v>
      </c>
      <c r="M1940" t="s">
        <v>2839</v>
      </c>
      <c r="N1940" t="s">
        <v>2862</v>
      </c>
      <c r="O1940">
        <v>302</v>
      </c>
      <c r="P1940">
        <v>470</v>
      </c>
    </row>
    <row r="1941" spans="1:16" x14ac:dyDescent="0.3">
      <c r="A1941" t="s">
        <v>2101</v>
      </c>
      <c r="B1941" s="45">
        <v>45643</v>
      </c>
      <c r="C1941" t="s">
        <v>823</v>
      </c>
      <c r="D1941" t="s">
        <v>115</v>
      </c>
      <c r="E1941" t="s">
        <v>252</v>
      </c>
      <c r="F1941">
        <v>7</v>
      </c>
      <c r="G1941">
        <v>960</v>
      </c>
      <c r="H1941">
        <v>22.9</v>
      </c>
      <c r="I1941">
        <v>5181.12</v>
      </c>
      <c r="J1941" t="s">
        <v>87</v>
      </c>
      <c r="K1941" t="s">
        <v>94</v>
      </c>
      <c r="L1941" t="s">
        <v>94</v>
      </c>
      <c r="M1941" t="s">
        <v>2839</v>
      </c>
      <c r="N1941" t="s">
        <v>2862</v>
      </c>
      <c r="O1941">
        <v>705</v>
      </c>
      <c r="P1941">
        <v>960</v>
      </c>
    </row>
    <row r="1942" spans="1:16" x14ac:dyDescent="0.3">
      <c r="A1942" t="s">
        <v>2103</v>
      </c>
      <c r="B1942" s="45">
        <v>45356</v>
      </c>
      <c r="C1942" t="s">
        <v>628</v>
      </c>
      <c r="D1942" t="s">
        <v>161</v>
      </c>
      <c r="E1942" t="s">
        <v>303</v>
      </c>
      <c r="F1942">
        <v>9</v>
      </c>
      <c r="G1942">
        <v>3450</v>
      </c>
      <c r="H1942">
        <v>18</v>
      </c>
      <c r="I1942">
        <v>25461</v>
      </c>
      <c r="J1942" t="s">
        <v>87</v>
      </c>
      <c r="K1942" t="s">
        <v>133</v>
      </c>
      <c r="L1942" t="s">
        <v>133</v>
      </c>
      <c r="M1942" t="s">
        <v>2839</v>
      </c>
      <c r="N1942" t="s">
        <v>2862</v>
      </c>
      <c r="O1942">
        <v>2467</v>
      </c>
      <c r="P1942">
        <v>3450</v>
      </c>
    </row>
    <row r="1943" spans="1:16" x14ac:dyDescent="0.3">
      <c r="A1943" t="s">
        <v>2122</v>
      </c>
      <c r="B1943" s="45">
        <v>45631</v>
      </c>
      <c r="C1943" t="s">
        <v>705</v>
      </c>
      <c r="D1943" t="s">
        <v>461</v>
      </c>
      <c r="E1943" t="s">
        <v>128</v>
      </c>
      <c r="F1943">
        <v>1</v>
      </c>
      <c r="G1943">
        <v>3780</v>
      </c>
      <c r="H1943">
        <v>11.5</v>
      </c>
      <c r="I1943">
        <v>3345.3</v>
      </c>
      <c r="J1943" t="s">
        <v>87</v>
      </c>
      <c r="K1943" t="s">
        <v>99</v>
      </c>
      <c r="L1943" t="s">
        <v>99</v>
      </c>
      <c r="M1943" t="s">
        <v>2839</v>
      </c>
      <c r="N1943" t="s">
        <v>2855</v>
      </c>
      <c r="O1943">
        <v>1860</v>
      </c>
      <c r="P1943">
        <v>3780</v>
      </c>
    </row>
    <row r="1944" spans="1:16" x14ac:dyDescent="0.3">
      <c r="A1944" t="s">
        <v>2139</v>
      </c>
      <c r="B1944" s="45">
        <v>45512</v>
      </c>
      <c r="C1944" t="s">
        <v>968</v>
      </c>
      <c r="D1944" t="s">
        <v>515</v>
      </c>
      <c r="E1944" t="s">
        <v>158</v>
      </c>
      <c r="F1944">
        <v>6</v>
      </c>
      <c r="G1944">
        <v>6940</v>
      </c>
      <c r="H1944">
        <v>8.9</v>
      </c>
      <c r="I1944">
        <v>37934.04</v>
      </c>
      <c r="J1944" t="s">
        <v>87</v>
      </c>
      <c r="K1944" t="s">
        <v>99</v>
      </c>
      <c r="L1944" t="s">
        <v>99</v>
      </c>
      <c r="M1944" t="s">
        <v>2839</v>
      </c>
      <c r="N1944" t="s">
        <v>2879</v>
      </c>
      <c r="O1944">
        <v>2827</v>
      </c>
      <c r="P1944">
        <v>6940</v>
      </c>
    </row>
    <row r="1945" spans="1:16" x14ac:dyDescent="0.3">
      <c r="A1945" t="s">
        <v>2165</v>
      </c>
      <c r="B1945" s="45">
        <v>45407</v>
      </c>
      <c r="C1945" t="s">
        <v>2166</v>
      </c>
      <c r="D1945" t="s">
        <v>115</v>
      </c>
      <c r="E1945" t="s">
        <v>148</v>
      </c>
      <c r="F1945">
        <v>2</v>
      </c>
      <c r="G1945">
        <v>960</v>
      </c>
      <c r="H1945">
        <v>7.3</v>
      </c>
      <c r="I1945">
        <v>1779.84</v>
      </c>
      <c r="J1945" t="s">
        <v>87</v>
      </c>
      <c r="K1945" t="s">
        <v>117</v>
      </c>
      <c r="L1945" t="s">
        <v>117</v>
      </c>
      <c r="M1945" t="s">
        <v>2839</v>
      </c>
      <c r="N1945" t="s">
        <v>2862</v>
      </c>
      <c r="O1945">
        <v>705</v>
      </c>
      <c r="P1945">
        <v>960</v>
      </c>
    </row>
    <row r="1946" spans="1:16" x14ac:dyDescent="0.3">
      <c r="A1946" t="s">
        <v>2175</v>
      </c>
      <c r="B1946" s="45">
        <v>45519</v>
      </c>
      <c r="C1946" t="s">
        <v>770</v>
      </c>
      <c r="D1946" t="s">
        <v>97</v>
      </c>
      <c r="E1946" t="s">
        <v>192</v>
      </c>
      <c r="F1946">
        <v>9</v>
      </c>
      <c r="G1946">
        <v>470</v>
      </c>
      <c r="H1946">
        <v>11.6</v>
      </c>
      <c r="I1946">
        <v>3739.32</v>
      </c>
      <c r="J1946" t="s">
        <v>87</v>
      </c>
      <c r="K1946" t="s">
        <v>88</v>
      </c>
      <c r="L1946" t="s">
        <v>88</v>
      </c>
      <c r="M1946" t="s">
        <v>2839</v>
      </c>
      <c r="N1946" t="s">
        <v>2862</v>
      </c>
      <c r="O1946">
        <v>302</v>
      </c>
      <c r="P1946">
        <v>470</v>
      </c>
    </row>
    <row r="1947" spans="1:16" x14ac:dyDescent="0.3">
      <c r="A1947" t="s">
        <v>2178</v>
      </c>
      <c r="B1947" s="45">
        <v>45336</v>
      </c>
      <c r="C1947" t="s">
        <v>1261</v>
      </c>
      <c r="D1947" t="s">
        <v>195</v>
      </c>
      <c r="E1947" t="s">
        <v>297</v>
      </c>
      <c r="F1947">
        <v>7</v>
      </c>
      <c r="G1947">
        <v>2860</v>
      </c>
      <c r="H1947">
        <v>19.5</v>
      </c>
      <c r="I1947">
        <v>16116.1</v>
      </c>
      <c r="J1947" t="s">
        <v>87</v>
      </c>
      <c r="K1947" t="s">
        <v>117</v>
      </c>
      <c r="L1947" t="s">
        <v>117</v>
      </c>
      <c r="M1947" t="s">
        <v>2839</v>
      </c>
      <c r="N1947" t="s">
        <v>2871</v>
      </c>
      <c r="O1947">
        <v>2028</v>
      </c>
      <c r="P1947">
        <v>2860</v>
      </c>
    </row>
    <row r="1948" spans="1:16" x14ac:dyDescent="0.3">
      <c r="A1948" t="s">
        <v>2180</v>
      </c>
      <c r="B1948" s="45">
        <v>45578</v>
      </c>
      <c r="C1948" t="s">
        <v>559</v>
      </c>
      <c r="D1948" t="s">
        <v>360</v>
      </c>
      <c r="E1948" t="s">
        <v>121</v>
      </c>
      <c r="F1948">
        <v>7</v>
      </c>
      <c r="G1948">
        <v>5410</v>
      </c>
      <c r="H1948">
        <v>15.2</v>
      </c>
      <c r="I1948">
        <v>32113.759999999998</v>
      </c>
      <c r="J1948" t="s">
        <v>140</v>
      </c>
      <c r="K1948" t="s">
        <v>88</v>
      </c>
      <c r="L1948" t="s">
        <v>88</v>
      </c>
      <c r="M1948" t="s">
        <v>2839</v>
      </c>
      <c r="N1948" t="s">
        <v>2862</v>
      </c>
      <c r="O1948">
        <v>2265</v>
      </c>
      <c r="P1948">
        <v>5410</v>
      </c>
    </row>
    <row r="1949" spans="1:16" x14ac:dyDescent="0.3">
      <c r="A1949" t="s">
        <v>2182</v>
      </c>
      <c r="B1949" s="45">
        <v>45354</v>
      </c>
      <c r="C1949" t="s">
        <v>312</v>
      </c>
      <c r="D1949" t="s">
        <v>195</v>
      </c>
      <c r="E1949" t="s">
        <v>121</v>
      </c>
      <c r="F1949">
        <v>8</v>
      </c>
      <c r="G1949">
        <v>2860</v>
      </c>
      <c r="H1949">
        <v>14.8</v>
      </c>
      <c r="I1949">
        <v>19493.759999999998</v>
      </c>
      <c r="J1949" t="s">
        <v>87</v>
      </c>
      <c r="K1949" t="s">
        <v>133</v>
      </c>
      <c r="L1949" t="s">
        <v>133</v>
      </c>
      <c r="M1949" t="s">
        <v>2839</v>
      </c>
      <c r="N1949" t="s">
        <v>2862</v>
      </c>
      <c r="O1949">
        <v>2028</v>
      </c>
      <c r="P1949">
        <v>2860</v>
      </c>
    </row>
    <row r="1950" spans="1:16" x14ac:dyDescent="0.3">
      <c r="A1950" t="s">
        <v>2185</v>
      </c>
      <c r="B1950" s="45">
        <v>45649</v>
      </c>
      <c r="C1950" t="s">
        <v>228</v>
      </c>
      <c r="D1950" t="s">
        <v>115</v>
      </c>
      <c r="E1950" t="s">
        <v>111</v>
      </c>
      <c r="F1950">
        <v>4</v>
      </c>
      <c r="G1950">
        <v>960</v>
      </c>
      <c r="H1950">
        <v>6.4</v>
      </c>
      <c r="I1950">
        <v>3594.24</v>
      </c>
      <c r="J1950" t="s">
        <v>140</v>
      </c>
      <c r="K1950" t="s">
        <v>112</v>
      </c>
      <c r="L1950" t="s">
        <v>112</v>
      </c>
      <c r="M1950" t="s">
        <v>2839</v>
      </c>
      <c r="N1950" t="s">
        <v>2871</v>
      </c>
      <c r="O1950">
        <v>705</v>
      </c>
      <c r="P1950">
        <v>960</v>
      </c>
    </row>
    <row r="1951" spans="1:16" x14ac:dyDescent="0.3">
      <c r="A1951" t="s">
        <v>2190</v>
      </c>
      <c r="B1951" s="45">
        <v>45429</v>
      </c>
      <c r="C1951" t="s">
        <v>779</v>
      </c>
      <c r="D1951" t="s">
        <v>515</v>
      </c>
      <c r="E1951" t="s">
        <v>303</v>
      </c>
      <c r="F1951">
        <v>10</v>
      </c>
      <c r="G1951">
        <v>6940</v>
      </c>
      <c r="H1951">
        <v>20.100000000000001</v>
      </c>
      <c r="I1951">
        <v>55450.6</v>
      </c>
      <c r="J1951" t="s">
        <v>87</v>
      </c>
      <c r="K1951" t="s">
        <v>117</v>
      </c>
      <c r="L1951" t="s">
        <v>117</v>
      </c>
      <c r="M1951" t="s">
        <v>2839</v>
      </c>
      <c r="N1951" t="s">
        <v>2871</v>
      </c>
      <c r="O1951">
        <v>2827</v>
      </c>
      <c r="P1951">
        <v>6940</v>
      </c>
    </row>
    <row r="1952" spans="1:16" x14ac:dyDescent="0.3">
      <c r="A1952" t="s">
        <v>2191</v>
      </c>
      <c r="B1952" s="45">
        <v>45436</v>
      </c>
      <c r="C1952" t="s">
        <v>599</v>
      </c>
      <c r="D1952" t="s">
        <v>151</v>
      </c>
      <c r="E1952" t="s">
        <v>204</v>
      </c>
      <c r="F1952">
        <v>9</v>
      </c>
      <c r="G1952">
        <v>2400</v>
      </c>
      <c r="H1952">
        <v>7.8</v>
      </c>
      <c r="I1952">
        <v>19915.2</v>
      </c>
      <c r="J1952" t="s">
        <v>87</v>
      </c>
      <c r="K1952" t="s">
        <v>117</v>
      </c>
      <c r="L1952" t="s">
        <v>117</v>
      </c>
      <c r="M1952" t="s">
        <v>2839</v>
      </c>
      <c r="N1952" t="s">
        <v>2879</v>
      </c>
      <c r="O1952">
        <v>974</v>
      </c>
      <c r="P1952">
        <v>2400</v>
      </c>
    </row>
    <row r="1953" spans="1:16" x14ac:dyDescent="0.3">
      <c r="A1953" t="s">
        <v>2192</v>
      </c>
      <c r="B1953" s="45">
        <v>45397</v>
      </c>
      <c r="C1953" t="s">
        <v>1297</v>
      </c>
      <c r="D1953" t="s">
        <v>360</v>
      </c>
      <c r="E1953" t="s">
        <v>238</v>
      </c>
      <c r="F1953">
        <v>1</v>
      </c>
      <c r="G1953">
        <v>5410</v>
      </c>
      <c r="H1953">
        <v>22.8</v>
      </c>
      <c r="I1953">
        <v>4176.5200000000004</v>
      </c>
      <c r="J1953" t="s">
        <v>87</v>
      </c>
      <c r="K1953" t="s">
        <v>112</v>
      </c>
      <c r="L1953" t="s">
        <v>112</v>
      </c>
      <c r="M1953" t="s">
        <v>2839</v>
      </c>
      <c r="N1953" t="s">
        <v>2879</v>
      </c>
      <c r="O1953">
        <v>2265</v>
      </c>
      <c r="P1953">
        <v>5410</v>
      </c>
    </row>
    <row r="1954" spans="1:16" x14ac:dyDescent="0.3">
      <c r="A1954" t="s">
        <v>2198</v>
      </c>
      <c r="B1954" s="45">
        <v>45501</v>
      </c>
      <c r="C1954" t="s">
        <v>1172</v>
      </c>
      <c r="D1954" t="s">
        <v>161</v>
      </c>
      <c r="E1954" t="s">
        <v>229</v>
      </c>
      <c r="F1954">
        <v>6</v>
      </c>
      <c r="G1954">
        <v>3450</v>
      </c>
      <c r="H1954">
        <v>13.1</v>
      </c>
      <c r="I1954">
        <v>17988.3</v>
      </c>
      <c r="J1954" t="s">
        <v>87</v>
      </c>
      <c r="K1954" t="s">
        <v>88</v>
      </c>
      <c r="L1954" t="s">
        <v>88</v>
      </c>
      <c r="M1954" t="s">
        <v>2839</v>
      </c>
      <c r="N1954" t="s">
        <v>2879</v>
      </c>
      <c r="O1954">
        <v>2467</v>
      </c>
      <c r="P1954">
        <v>3450</v>
      </c>
    </row>
    <row r="1955" spans="1:16" x14ac:dyDescent="0.3">
      <c r="A1955" t="s">
        <v>2202</v>
      </c>
      <c r="B1955" s="45">
        <v>45474</v>
      </c>
      <c r="C1955" t="s">
        <v>837</v>
      </c>
      <c r="D1955" t="s">
        <v>151</v>
      </c>
      <c r="E1955" t="s">
        <v>107</v>
      </c>
      <c r="F1955">
        <v>3</v>
      </c>
      <c r="G1955">
        <v>2400</v>
      </c>
      <c r="H1955">
        <v>17.5</v>
      </c>
      <c r="I1955">
        <v>5940</v>
      </c>
      <c r="J1955" t="s">
        <v>87</v>
      </c>
      <c r="K1955" t="s">
        <v>117</v>
      </c>
      <c r="L1955" t="s">
        <v>117</v>
      </c>
      <c r="M1955" t="s">
        <v>2839</v>
      </c>
      <c r="N1955" t="s">
        <v>2879</v>
      </c>
      <c r="O1955">
        <v>974</v>
      </c>
      <c r="P1955">
        <v>2400</v>
      </c>
    </row>
    <row r="1956" spans="1:16" x14ac:dyDescent="0.3">
      <c r="A1956" t="s">
        <v>2203</v>
      </c>
      <c r="B1956" s="45">
        <v>45372</v>
      </c>
      <c r="C1956" t="s">
        <v>291</v>
      </c>
      <c r="D1956" t="s">
        <v>360</v>
      </c>
      <c r="E1956" t="s">
        <v>103</v>
      </c>
      <c r="F1956">
        <v>8</v>
      </c>
      <c r="G1956">
        <v>5410</v>
      </c>
      <c r="H1956">
        <v>8.3000000000000007</v>
      </c>
      <c r="I1956">
        <v>39687.760000000002</v>
      </c>
      <c r="J1956" t="s">
        <v>87</v>
      </c>
      <c r="K1956" t="s">
        <v>99</v>
      </c>
      <c r="L1956" t="s">
        <v>99</v>
      </c>
      <c r="M1956" t="s">
        <v>2839</v>
      </c>
      <c r="N1956" t="s">
        <v>2879</v>
      </c>
      <c r="O1956">
        <v>2265</v>
      </c>
      <c r="P1956">
        <v>5410</v>
      </c>
    </row>
    <row r="1957" spans="1:16" x14ac:dyDescent="0.3">
      <c r="A1957" t="s">
        <v>2220</v>
      </c>
      <c r="B1957" s="45">
        <v>45457</v>
      </c>
      <c r="C1957" t="s">
        <v>662</v>
      </c>
      <c r="D1957" t="s">
        <v>182</v>
      </c>
      <c r="E1957" t="s">
        <v>346</v>
      </c>
      <c r="F1957">
        <v>1</v>
      </c>
      <c r="G1957">
        <v>1010</v>
      </c>
      <c r="H1957">
        <v>20.399999999999999</v>
      </c>
      <c r="I1957">
        <v>803.96</v>
      </c>
      <c r="J1957" t="s">
        <v>140</v>
      </c>
      <c r="K1957" t="s">
        <v>94</v>
      </c>
      <c r="L1957" t="s">
        <v>94</v>
      </c>
      <c r="M1957" t="s">
        <v>2839</v>
      </c>
      <c r="N1957" t="s">
        <v>2862</v>
      </c>
      <c r="O1957">
        <v>516</v>
      </c>
      <c r="P1957">
        <v>1010</v>
      </c>
    </row>
    <row r="1958" spans="1:16" x14ac:dyDescent="0.3">
      <c r="A1958" t="s">
        <v>2227</v>
      </c>
      <c r="B1958" s="45">
        <v>45366</v>
      </c>
      <c r="C1958" t="s">
        <v>684</v>
      </c>
      <c r="D1958" t="s">
        <v>147</v>
      </c>
      <c r="E1958" t="s">
        <v>192</v>
      </c>
      <c r="F1958">
        <v>6</v>
      </c>
      <c r="G1958">
        <v>190</v>
      </c>
      <c r="H1958">
        <v>8.6999999999999993</v>
      </c>
      <c r="I1958">
        <v>1040.82</v>
      </c>
      <c r="J1958" t="s">
        <v>140</v>
      </c>
      <c r="K1958" t="s">
        <v>99</v>
      </c>
      <c r="L1958" t="s">
        <v>99</v>
      </c>
      <c r="M1958" t="s">
        <v>2839</v>
      </c>
      <c r="N1958" t="s">
        <v>2871</v>
      </c>
      <c r="O1958">
        <v>147</v>
      </c>
      <c r="P1958">
        <v>190</v>
      </c>
    </row>
    <row r="1959" spans="1:16" x14ac:dyDescent="0.3">
      <c r="A1959" t="s">
        <v>2238</v>
      </c>
      <c r="B1959" s="45">
        <v>45336</v>
      </c>
      <c r="C1959" t="s">
        <v>142</v>
      </c>
      <c r="D1959" t="s">
        <v>147</v>
      </c>
      <c r="E1959" t="s">
        <v>285</v>
      </c>
      <c r="F1959">
        <v>1</v>
      </c>
      <c r="G1959">
        <v>190</v>
      </c>
      <c r="H1959">
        <v>5.7</v>
      </c>
      <c r="I1959">
        <v>179.17</v>
      </c>
      <c r="J1959" t="s">
        <v>87</v>
      </c>
      <c r="K1959" t="s">
        <v>88</v>
      </c>
      <c r="L1959" t="s">
        <v>88</v>
      </c>
      <c r="M1959" t="s">
        <v>2839</v>
      </c>
      <c r="N1959" t="s">
        <v>2871</v>
      </c>
      <c r="O1959">
        <v>147</v>
      </c>
      <c r="P1959">
        <v>190</v>
      </c>
    </row>
    <row r="1960" spans="1:16" x14ac:dyDescent="0.3">
      <c r="A1960" t="s">
        <v>2239</v>
      </c>
      <c r="B1960" s="45">
        <v>45463</v>
      </c>
      <c r="C1960" t="s">
        <v>210</v>
      </c>
      <c r="D1960" t="s">
        <v>461</v>
      </c>
      <c r="E1960" t="s">
        <v>201</v>
      </c>
      <c r="F1960">
        <v>2</v>
      </c>
      <c r="G1960">
        <v>3780</v>
      </c>
      <c r="H1960">
        <v>11.8</v>
      </c>
      <c r="I1960">
        <v>6667.92</v>
      </c>
      <c r="J1960" t="s">
        <v>87</v>
      </c>
      <c r="K1960" t="s">
        <v>99</v>
      </c>
      <c r="L1960" t="s">
        <v>99</v>
      </c>
      <c r="M1960" t="s">
        <v>2839</v>
      </c>
      <c r="N1960" t="s">
        <v>2879</v>
      </c>
      <c r="O1960">
        <v>1860</v>
      </c>
      <c r="P1960">
        <v>3780</v>
      </c>
    </row>
    <row r="1961" spans="1:16" x14ac:dyDescent="0.3">
      <c r="A1961" t="s">
        <v>2244</v>
      </c>
      <c r="B1961" s="45">
        <v>45425</v>
      </c>
      <c r="C1961" t="s">
        <v>507</v>
      </c>
      <c r="D1961" t="s">
        <v>195</v>
      </c>
      <c r="E1961" t="s">
        <v>229</v>
      </c>
      <c r="F1961">
        <v>10</v>
      </c>
      <c r="G1961">
        <v>2860</v>
      </c>
      <c r="H1961">
        <v>15</v>
      </c>
      <c r="I1961">
        <v>24310</v>
      </c>
      <c r="J1961" t="s">
        <v>87</v>
      </c>
      <c r="K1961" t="s">
        <v>88</v>
      </c>
      <c r="L1961" t="s">
        <v>88</v>
      </c>
      <c r="M1961" t="s">
        <v>2839</v>
      </c>
      <c r="N1961" t="s">
        <v>2855</v>
      </c>
      <c r="O1961">
        <v>2028</v>
      </c>
      <c r="P1961">
        <v>2860</v>
      </c>
    </row>
    <row r="1962" spans="1:16" x14ac:dyDescent="0.3">
      <c r="A1962" t="s">
        <v>2257</v>
      </c>
      <c r="B1962" s="45">
        <v>45377</v>
      </c>
      <c r="C1962" t="s">
        <v>181</v>
      </c>
      <c r="D1962" t="s">
        <v>461</v>
      </c>
      <c r="E1962" t="s">
        <v>170</v>
      </c>
      <c r="F1962">
        <v>10</v>
      </c>
      <c r="G1962">
        <v>3780</v>
      </c>
      <c r="H1962">
        <v>13.3</v>
      </c>
      <c r="I1962">
        <v>32772.6</v>
      </c>
      <c r="J1962" t="s">
        <v>87</v>
      </c>
      <c r="K1962" t="s">
        <v>99</v>
      </c>
      <c r="L1962" t="s">
        <v>99</v>
      </c>
      <c r="M1962" t="s">
        <v>2839</v>
      </c>
      <c r="N1962" t="s">
        <v>2879</v>
      </c>
      <c r="O1962">
        <v>1860</v>
      </c>
      <c r="P1962">
        <v>3780</v>
      </c>
    </row>
    <row r="1963" spans="1:16" x14ac:dyDescent="0.3">
      <c r="A1963" t="s">
        <v>2260</v>
      </c>
      <c r="B1963" s="45">
        <v>45428</v>
      </c>
      <c r="C1963" t="s">
        <v>983</v>
      </c>
      <c r="D1963" t="s">
        <v>195</v>
      </c>
      <c r="E1963" t="s">
        <v>139</v>
      </c>
      <c r="F1963">
        <v>6</v>
      </c>
      <c r="G1963">
        <v>2860</v>
      </c>
      <c r="H1963">
        <v>17.5</v>
      </c>
      <c r="I1963">
        <v>14157</v>
      </c>
      <c r="J1963" t="s">
        <v>87</v>
      </c>
      <c r="K1963" t="s">
        <v>117</v>
      </c>
      <c r="L1963" t="s">
        <v>117</v>
      </c>
      <c r="M1963" t="s">
        <v>2839</v>
      </c>
      <c r="N1963" t="s">
        <v>2871</v>
      </c>
      <c r="O1963">
        <v>2028</v>
      </c>
      <c r="P1963">
        <v>2860</v>
      </c>
    </row>
    <row r="1964" spans="1:16" x14ac:dyDescent="0.3">
      <c r="A1964" t="s">
        <v>2262</v>
      </c>
      <c r="B1964" s="45">
        <v>45296</v>
      </c>
      <c r="C1964" t="s">
        <v>977</v>
      </c>
      <c r="D1964" t="s">
        <v>147</v>
      </c>
      <c r="E1964" t="s">
        <v>192</v>
      </c>
      <c r="F1964">
        <v>5</v>
      </c>
      <c r="G1964">
        <v>190</v>
      </c>
      <c r="H1964">
        <v>1.8</v>
      </c>
      <c r="I1964">
        <v>932.9</v>
      </c>
      <c r="J1964" t="s">
        <v>87</v>
      </c>
      <c r="K1964" t="s">
        <v>88</v>
      </c>
      <c r="L1964" t="s">
        <v>88</v>
      </c>
      <c r="M1964" t="s">
        <v>2839</v>
      </c>
      <c r="N1964" t="s">
        <v>2862</v>
      </c>
      <c r="O1964">
        <v>147</v>
      </c>
      <c r="P1964">
        <v>190</v>
      </c>
    </row>
    <row r="1965" spans="1:16" x14ac:dyDescent="0.3">
      <c r="A1965" t="s">
        <v>2263</v>
      </c>
      <c r="B1965" s="45">
        <v>45533</v>
      </c>
      <c r="C1965" t="s">
        <v>442</v>
      </c>
      <c r="D1965" t="s">
        <v>182</v>
      </c>
      <c r="E1965" t="s">
        <v>158</v>
      </c>
      <c r="F1965">
        <v>7</v>
      </c>
      <c r="G1965">
        <v>1010</v>
      </c>
      <c r="H1965">
        <v>11.2</v>
      </c>
      <c r="I1965">
        <v>6278.16</v>
      </c>
      <c r="J1965" t="s">
        <v>87</v>
      </c>
      <c r="K1965" t="s">
        <v>88</v>
      </c>
      <c r="L1965" t="s">
        <v>88</v>
      </c>
      <c r="M1965" t="s">
        <v>2839</v>
      </c>
      <c r="N1965" t="s">
        <v>2879</v>
      </c>
      <c r="O1965">
        <v>516</v>
      </c>
      <c r="P1965">
        <v>1010</v>
      </c>
    </row>
    <row r="1966" spans="1:16" x14ac:dyDescent="0.3">
      <c r="A1966" t="s">
        <v>2264</v>
      </c>
      <c r="B1966" s="45">
        <v>45515</v>
      </c>
      <c r="C1966" t="s">
        <v>219</v>
      </c>
      <c r="D1966" t="s">
        <v>161</v>
      </c>
      <c r="E1966" t="s">
        <v>215</v>
      </c>
      <c r="F1966">
        <v>8</v>
      </c>
      <c r="G1966">
        <v>3450</v>
      </c>
      <c r="H1966">
        <v>8.4</v>
      </c>
      <c r="I1966">
        <v>25281.599999999999</v>
      </c>
      <c r="J1966" t="s">
        <v>87</v>
      </c>
      <c r="K1966" t="s">
        <v>99</v>
      </c>
      <c r="L1966" t="s">
        <v>99</v>
      </c>
      <c r="M1966" t="s">
        <v>2839</v>
      </c>
      <c r="N1966" t="s">
        <v>2862</v>
      </c>
      <c r="O1966">
        <v>2467</v>
      </c>
      <c r="P1966">
        <v>3450</v>
      </c>
    </row>
    <row r="1967" spans="1:16" x14ac:dyDescent="0.3">
      <c r="A1967" t="s">
        <v>2267</v>
      </c>
      <c r="B1967" s="45">
        <v>45462</v>
      </c>
      <c r="C1967" t="s">
        <v>178</v>
      </c>
      <c r="D1967" t="s">
        <v>151</v>
      </c>
      <c r="E1967" t="s">
        <v>192</v>
      </c>
      <c r="F1967">
        <v>5</v>
      </c>
      <c r="G1967">
        <v>2400</v>
      </c>
      <c r="H1967">
        <v>9.1999999999999993</v>
      </c>
      <c r="I1967">
        <v>10896</v>
      </c>
      <c r="J1967" t="s">
        <v>87</v>
      </c>
      <c r="K1967" t="s">
        <v>94</v>
      </c>
      <c r="L1967" t="s">
        <v>94</v>
      </c>
      <c r="M1967" t="s">
        <v>2839</v>
      </c>
      <c r="N1967" t="s">
        <v>2855</v>
      </c>
      <c r="O1967">
        <v>974</v>
      </c>
      <c r="P1967">
        <v>2400</v>
      </c>
    </row>
    <row r="1968" spans="1:16" x14ac:dyDescent="0.3">
      <c r="A1968" t="s">
        <v>667</v>
      </c>
      <c r="B1968" s="45">
        <v>45548</v>
      </c>
      <c r="C1968" t="s">
        <v>208</v>
      </c>
      <c r="D1968" t="s">
        <v>97</v>
      </c>
      <c r="E1968" t="s">
        <v>204</v>
      </c>
      <c r="F1968">
        <v>8</v>
      </c>
      <c r="G1968">
        <v>470</v>
      </c>
      <c r="H1968">
        <v>24.8</v>
      </c>
      <c r="I1968">
        <v>2827.52</v>
      </c>
      <c r="J1968" t="s">
        <v>93</v>
      </c>
      <c r="K1968" t="s">
        <v>133</v>
      </c>
      <c r="L1968" t="s">
        <v>133</v>
      </c>
      <c r="M1968" t="s">
        <v>2839</v>
      </c>
      <c r="N1968" t="s">
        <v>2871</v>
      </c>
      <c r="O1968">
        <v>302</v>
      </c>
      <c r="P1968">
        <v>470</v>
      </c>
    </row>
    <row r="1969" spans="1:16" x14ac:dyDescent="0.3">
      <c r="A1969" t="s">
        <v>2269</v>
      </c>
      <c r="B1969" s="45">
        <v>45633</v>
      </c>
      <c r="C1969" t="s">
        <v>602</v>
      </c>
      <c r="D1969" t="s">
        <v>97</v>
      </c>
      <c r="E1969" t="s">
        <v>343</v>
      </c>
      <c r="F1969">
        <v>3</v>
      </c>
      <c r="G1969">
        <v>470</v>
      </c>
      <c r="H1969">
        <v>18.600000000000001</v>
      </c>
      <c r="I1969">
        <v>1147.74</v>
      </c>
      <c r="J1969" t="s">
        <v>87</v>
      </c>
      <c r="K1969" t="s">
        <v>94</v>
      </c>
      <c r="L1969" t="s">
        <v>94</v>
      </c>
      <c r="M1969" t="s">
        <v>2839</v>
      </c>
      <c r="N1969" t="s">
        <v>2879</v>
      </c>
      <c r="O1969">
        <v>302</v>
      </c>
      <c r="P1969">
        <v>470</v>
      </c>
    </row>
    <row r="1970" spans="1:16" x14ac:dyDescent="0.3">
      <c r="A1970" t="s">
        <v>2272</v>
      </c>
      <c r="B1970" s="45">
        <v>45549</v>
      </c>
      <c r="C1970" t="s">
        <v>561</v>
      </c>
      <c r="D1970" t="s">
        <v>515</v>
      </c>
      <c r="E1970" t="s">
        <v>297</v>
      </c>
      <c r="F1970">
        <v>3</v>
      </c>
      <c r="G1970">
        <v>6940</v>
      </c>
      <c r="H1970">
        <v>27.2</v>
      </c>
      <c r="I1970">
        <v>15156.96</v>
      </c>
      <c r="J1970" t="s">
        <v>144</v>
      </c>
      <c r="K1970" t="s">
        <v>133</v>
      </c>
      <c r="L1970" t="s">
        <v>133</v>
      </c>
      <c r="M1970" t="s">
        <v>2839</v>
      </c>
      <c r="N1970" t="s">
        <v>2862</v>
      </c>
      <c r="O1970">
        <v>2827</v>
      </c>
      <c r="P1970">
        <v>6940</v>
      </c>
    </row>
    <row r="1971" spans="1:16" x14ac:dyDescent="0.3">
      <c r="A1971" t="s">
        <v>2274</v>
      </c>
      <c r="B1971" s="45">
        <v>45533</v>
      </c>
      <c r="C1971" t="s">
        <v>945</v>
      </c>
      <c r="D1971" t="s">
        <v>182</v>
      </c>
      <c r="E1971" t="s">
        <v>238</v>
      </c>
      <c r="F1971">
        <v>9</v>
      </c>
      <c r="G1971">
        <v>1010</v>
      </c>
      <c r="H1971">
        <v>9.3000000000000007</v>
      </c>
      <c r="I1971">
        <v>8244.6299999999992</v>
      </c>
      <c r="J1971" t="s">
        <v>87</v>
      </c>
      <c r="K1971" t="s">
        <v>88</v>
      </c>
      <c r="L1971" t="s">
        <v>88</v>
      </c>
      <c r="M1971" t="s">
        <v>2839</v>
      </c>
      <c r="N1971" t="s">
        <v>2879</v>
      </c>
      <c r="O1971">
        <v>516</v>
      </c>
      <c r="P1971">
        <v>1010</v>
      </c>
    </row>
    <row r="1972" spans="1:16" x14ac:dyDescent="0.3">
      <c r="A1972" t="s">
        <v>2286</v>
      </c>
      <c r="B1972" s="45">
        <v>45529</v>
      </c>
      <c r="C1972" t="s">
        <v>463</v>
      </c>
      <c r="D1972" t="s">
        <v>115</v>
      </c>
      <c r="E1972" t="s">
        <v>204</v>
      </c>
      <c r="F1972">
        <v>2</v>
      </c>
      <c r="G1972">
        <v>960</v>
      </c>
      <c r="H1972">
        <v>16.5</v>
      </c>
      <c r="I1972">
        <v>1603.2</v>
      </c>
      <c r="J1972" t="s">
        <v>87</v>
      </c>
      <c r="K1972" t="s">
        <v>117</v>
      </c>
      <c r="L1972" t="s">
        <v>117</v>
      </c>
      <c r="M1972" t="s">
        <v>2839</v>
      </c>
      <c r="N1972" t="s">
        <v>2879</v>
      </c>
      <c r="O1972">
        <v>705</v>
      </c>
      <c r="P1972">
        <v>960</v>
      </c>
    </row>
    <row r="1973" spans="1:16" x14ac:dyDescent="0.3">
      <c r="A1973" t="s">
        <v>2318</v>
      </c>
      <c r="B1973" s="45">
        <v>45416</v>
      </c>
      <c r="C1973" t="s">
        <v>597</v>
      </c>
      <c r="D1973" t="s">
        <v>115</v>
      </c>
      <c r="E1973" t="s">
        <v>215</v>
      </c>
      <c r="F1973">
        <v>6</v>
      </c>
      <c r="G1973">
        <v>960</v>
      </c>
      <c r="H1973">
        <v>3.2</v>
      </c>
      <c r="I1973">
        <v>5575.68</v>
      </c>
      <c r="J1973" t="s">
        <v>87</v>
      </c>
      <c r="K1973" t="s">
        <v>112</v>
      </c>
      <c r="L1973" t="s">
        <v>112</v>
      </c>
      <c r="M1973" t="s">
        <v>2839</v>
      </c>
      <c r="N1973" t="s">
        <v>2871</v>
      </c>
      <c r="O1973">
        <v>705</v>
      </c>
      <c r="P1973">
        <v>960</v>
      </c>
    </row>
    <row r="1974" spans="1:16" x14ac:dyDescent="0.3">
      <c r="A1974" t="s">
        <v>2322</v>
      </c>
      <c r="B1974" s="45">
        <v>45310</v>
      </c>
      <c r="C1974" t="s">
        <v>479</v>
      </c>
      <c r="D1974" t="s">
        <v>147</v>
      </c>
      <c r="E1974" t="s">
        <v>128</v>
      </c>
      <c r="F1974">
        <v>4</v>
      </c>
      <c r="G1974">
        <v>190</v>
      </c>
      <c r="H1974">
        <v>6.3</v>
      </c>
      <c r="I1974">
        <v>712.12</v>
      </c>
      <c r="J1974" t="s">
        <v>144</v>
      </c>
      <c r="K1974" t="s">
        <v>88</v>
      </c>
      <c r="L1974" t="s">
        <v>88</v>
      </c>
      <c r="M1974" t="s">
        <v>2839</v>
      </c>
      <c r="N1974" t="s">
        <v>2879</v>
      </c>
      <c r="O1974">
        <v>147</v>
      </c>
      <c r="P1974">
        <v>190</v>
      </c>
    </row>
    <row r="1975" spans="1:16" x14ac:dyDescent="0.3">
      <c r="A1975" t="s">
        <v>2328</v>
      </c>
      <c r="B1975" s="45">
        <v>45521</v>
      </c>
      <c r="C1975" t="s">
        <v>233</v>
      </c>
      <c r="D1975" t="s">
        <v>195</v>
      </c>
      <c r="E1975" t="s">
        <v>170</v>
      </c>
      <c r="F1975">
        <v>2</v>
      </c>
      <c r="G1975">
        <v>2860</v>
      </c>
      <c r="H1975">
        <v>21.1</v>
      </c>
      <c r="I1975">
        <v>4513.08</v>
      </c>
      <c r="J1975" t="s">
        <v>87</v>
      </c>
      <c r="K1975" t="s">
        <v>88</v>
      </c>
      <c r="L1975" t="s">
        <v>88</v>
      </c>
      <c r="M1975" t="s">
        <v>2839</v>
      </c>
      <c r="N1975" t="s">
        <v>2879</v>
      </c>
      <c r="O1975">
        <v>2028</v>
      </c>
      <c r="P1975">
        <v>2860</v>
      </c>
    </row>
    <row r="1976" spans="1:16" x14ac:dyDescent="0.3">
      <c r="A1976" t="s">
        <v>2330</v>
      </c>
      <c r="B1976" s="45">
        <v>45633</v>
      </c>
      <c r="C1976" t="s">
        <v>895</v>
      </c>
      <c r="D1976" t="s">
        <v>195</v>
      </c>
      <c r="E1976" t="s">
        <v>139</v>
      </c>
      <c r="F1976">
        <v>6</v>
      </c>
      <c r="G1976">
        <v>2860</v>
      </c>
      <c r="H1976">
        <v>10.5</v>
      </c>
      <c r="I1976">
        <v>15358.2</v>
      </c>
      <c r="J1976" t="s">
        <v>140</v>
      </c>
      <c r="K1976" t="s">
        <v>117</v>
      </c>
      <c r="L1976" t="s">
        <v>117</v>
      </c>
      <c r="M1976" t="s">
        <v>2839</v>
      </c>
      <c r="N1976" t="s">
        <v>2871</v>
      </c>
      <c r="O1976">
        <v>2028</v>
      </c>
      <c r="P1976">
        <v>2860</v>
      </c>
    </row>
    <row r="1977" spans="1:16" x14ac:dyDescent="0.3">
      <c r="A1977" t="s">
        <v>2353</v>
      </c>
      <c r="B1977" s="45">
        <v>45554</v>
      </c>
      <c r="C1977" t="s">
        <v>460</v>
      </c>
      <c r="D1977" t="s">
        <v>195</v>
      </c>
      <c r="E1977" t="s">
        <v>86</v>
      </c>
      <c r="F1977">
        <v>7</v>
      </c>
      <c r="G1977">
        <v>2860</v>
      </c>
      <c r="H1977">
        <v>8.4</v>
      </c>
      <c r="I1977">
        <v>18338.32</v>
      </c>
      <c r="J1977" t="s">
        <v>87</v>
      </c>
      <c r="K1977" t="s">
        <v>88</v>
      </c>
      <c r="L1977" t="s">
        <v>88</v>
      </c>
      <c r="M1977" t="s">
        <v>2839</v>
      </c>
      <c r="N1977" t="s">
        <v>2855</v>
      </c>
      <c r="O1977">
        <v>2028</v>
      </c>
      <c r="P1977">
        <v>2860</v>
      </c>
    </row>
    <row r="1978" spans="1:16" x14ac:dyDescent="0.3">
      <c r="A1978" t="s">
        <v>2355</v>
      </c>
      <c r="B1978" s="45">
        <v>45504</v>
      </c>
      <c r="C1978" t="s">
        <v>977</v>
      </c>
      <c r="D1978" t="s">
        <v>195</v>
      </c>
      <c r="E1978" t="s">
        <v>111</v>
      </c>
      <c r="F1978">
        <v>6</v>
      </c>
      <c r="G1978">
        <v>2860</v>
      </c>
      <c r="H1978">
        <v>10.7</v>
      </c>
      <c r="I1978">
        <v>15323.88</v>
      </c>
      <c r="J1978" t="s">
        <v>87</v>
      </c>
      <c r="K1978" t="s">
        <v>88</v>
      </c>
      <c r="L1978" t="s">
        <v>88</v>
      </c>
      <c r="M1978" t="s">
        <v>2839</v>
      </c>
      <c r="N1978" t="s">
        <v>2855</v>
      </c>
      <c r="O1978">
        <v>2028</v>
      </c>
      <c r="P1978">
        <v>2860</v>
      </c>
    </row>
    <row r="1979" spans="1:16" x14ac:dyDescent="0.3">
      <c r="A1979" t="s">
        <v>2356</v>
      </c>
      <c r="B1979" s="45">
        <v>45652</v>
      </c>
      <c r="C1979" t="s">
        <v>741</v>
      </c>
      <c r="D1979" t="s">
        <v>151</v>
      </c>
      <c r="E1979" t="s">
        <v>343</v>
      </c>
      <c r="F1979">
        <v>3</v>
      </c>
      <c r="G1979">
        <v>2400</v>
      </c>
      <c r="H1979">
        <v>20.7</v>
      </c>
      <c r="I1979">
        <v>5709.6</v>
      </c>
      <c r="J1979" t="s">
        <v>87</v>
      </c>
      <c r="K1979" t="s">
        <v>133</v>
      </c>
      <c r="L1979" t="s">
        <v>133</v>
      </c>
      <c r="M1979" t="s">
        <v>2839</v>
      </c>
      <c r="N1979" t="s">
        <v>2879</v>
      </c>
      <c r="O1979">
        <v>974</v>
      </c>
      <c r="P1979">
        <v>2400</v>
      </c>
    </row>
    <row r="1980" spans="1:16" x14ac:dyDescent="0.3">
      <c r="A1980" t="s">
        <v>2360</v>
      </c>
      <c r="B1980" s="45">
        <v>45428</v>
      </c>
      <c r="C1980" t="s">
        <v>137</v>
      </c>
      <c r="D1980" t="s">
        <v>161</v>
      </c>
      <c r="E1980" t="s">
        <v>132</v>
      </c>
      <c r="F1980">
        <v>5</v>
      </c>
      <c r="G1980">
        <v>3450</v>
      </c>
      <c r="H1980">
        <v>16.8</v>
      </c>
      <c r="I1980">
        <v>14352</v>
      </c>
      <c r="J1980" t="s">
        <v>87</v>
      </c>
      <c r="K1980" t="s">
        <v>99</v>
      </c>
      <c r="L1980" t="s">
        <v>99</v>
      </c>
      <c r="M1980" t="s">
        <v>2839</v>
      </c>
      <c r="N1980" t="s">
        <v>2862</v>
      </c>
      <c r="O1980">
        <v>2467</v>
      </c>
      <c r="P1980">
        <v>3450</v>
      </c>
    </row>
    <row r="1981" spans="1:16" x14ac:dyDescent="0.3">
      <c r="A1981" t="s">
        <v>2361</v>
      </c>
      <c r="B1981" s="45">
        <v>45634</v>
      </c>
      <c r="C1981" t="s">
        <v>686</v>
      </c>
      <c r="D1981" t="s">
        <v>195</v>
      </c>
      <c r="E1981" t="s">
        <v>98</v>
      </c>
      <c r="F1981">
        <v>4</v>
      </c>
      <c r="G1981">
        <v>2860</v>
      </c>
      <c r="H1981">
        <v>14.3</v>
      </c>
      <c r="I1981">
        <v>9804.08</v>
      </c>
      <c r="J1981" t="s">
        <v>87</v>
      </c>
      <c r="K1981" t="s">
        <v>112</v>
      </c>
      <c r="L1981" t="s">
        <v>112</v>
      </c>
      <c r="M1981" t="s">
        <v>2839</v>
      </c>
      <c r="N1981" t="s">
        <v>2862</v>
      </c>
      <c r="O1981">
        <v>2028</v>
      </c>
      <c r="P1981">
        <v>2860</v>
      </c>
    </row>
    <row r="1982" spans="1:16" x14ac:dyDescent="0.3">
      <c r="A1982" t="s">
        <v>2366</v>
      </c>
      <c r="B1982" s="45">
        <v>45418</v>
      </c>
      <c r="C1982" t="s">
        <v>353</v>
      </c>
      <c r="D1982" t="s">
        <v>515</v>
      </c>
      <c r="E1982" t="s">
        <v>252</v>
      </c>
      <c r="F1982">
        <v>1</v>
      </c>
      <c r="G1982">
        <v>6940</v>
      </c>
      <c r="H1982">
        <v>15.7</v>
      </c>
      <c r="I1982">
        <v>5850.42</v>
      </c>
      <c r="J1982" t="s">
        <v>87</v>
      </c>
      <c r="K1982" t="s">
        <v>94</v>
      </c>
      <c r="L1982" t="s">
        <v>94</v>
      </c>
      <c r="M1982" t="s">
        <v>2839</v>
      </c>
      <c r="N1982" t="s">
        <v>2855</v>
      </c>
      <c r="O1982">
        <v>2827</v>
      </c>
      <c r="P1982">
        <v>6940</v>
      </c>
    </row>
    <row r="1983" spans="1:16" x14ac:dyDescent="0.3">
      <c r="A1983" t="s">
        <v>2211</v>
      </c>
      <c r="B1983" s="45">
        <v>45401</v>
      </c>
      <c r="C1983" t="s">
        <v>592</v>
      </c>
      <c r="D1983" t="s">
        <v>97</v>
      </c>
      <c r="E1983" t="s">
        <v>252</v>
      </c>
      <c r="F1983">
        <v>5</v>
      </c>
      <c r="G1983">
        <v>470</v>
      </c>
      <c r="H1983">
        <v>1.3</v>
      </c>
      <c r="I1983">
        <v>2319.4499999999998</v>
      </c>
      <c r="J1983" t="s">
        <v>87</v>
      </c>
      <c r="K1983" t="s">
        <v>133</v>
      </c>
      <c r="L1983" t="s">
        <v>133</v>
      </c>
      <c r="M1983" t="s">
        <v>2839</v>
      </c>
      <c r="N1983" t="s">
        <v>2871</v>
      </c>
      <c r="O1983">
        <v>302</v>
      </c>
      <c r="P1983">
        <v>470</v>
      </c>
    </row>
    <row r="1984" spans="1:16" x14ac:dyDescent="0.3">
      <c r="A1984" t="s">
        <v>2384</v>
      </c>
      <c r="B1984" s="45">
        <v>45480</v>
      </c>
      <c r="C1984" t="s">
        <v>948</v>
      </c>
      <c r="D1984" t="s">
        <v>515</v>
      </c>
      <c r="E1984" t="s">
        <v>148</v>
      </c>
      <c r="F1984">
        <v>5</v>
      </c>
      <c r="G1984">
        <v>6940</v>
      </c>
      <c r="H1984">
        <v>7.7</v>
      </c>
      <c r="I1984">
        <v>32028.1</v>
      </c>
      <c r="J1984" t="s">
        <v>87</v>
      </c>
      <c r="K1984" t="s">
        <v>88</v>
      </c>
      <c r="L1984" t="s">
        <v>88</v>
      </c>
      <c r="M1984" t="s">
        <v>2839</v>
      </c>
      <c r="N1984" t="s">
        <v>2862</v>
      </c>
      <c r="O1984">
        <v>2827</v>
      </c>
      <c r="P1984">
        <v>6940</v>
      </c>
    </row>
    <row r="1985" spans="1:16" x14ac:dyDescent="0.3">
      <c r="A1985" t="s">
        <v>2387</v>
      </c>
      <c r="B1985" s="45">
        <v>45494</v>
      </c>
      <c r="C1985" t="s">
        <v>900</v>
      </c>
      <c r="D1985" t="s">
        <v>461</v>
      </c>
      <c r="E1985" t="s">
        <v>148</v>
      </c>
      <c r="F1985">
        <v>7</v>
      </c>
      <c r="G1985">
        <v>3780</v>
      </c>
      <c r="H1985">
        <v>13.3</v>
      </c>
      <c r="I1985">
        <v>22940.82</v>
      </c>
      <c r="J1985" t="s">
        <v>87</v>
      </c>
      <c r="K1985" t="s">
        <v>117</v>
      </c>
      <c r="L1985" t="s">
        <v>117</v>
      </c>
      <c r="M1985" t="s">
        <v>2839</v>
      </c>
      <c r="N1985" t="s">
        <v>2862</v>
      </c>
      <c r="O1985">
        <v>1860</v>
      </c>
      <c r="P1985">
        <v>3780</v>
      </c>
    </row>
    <row r="1986" spans="1:16" x14ac:dyDescent="0.3">
      <c r="A1986" t="s">
        <v>2388</v>
      </c>
      <c r="B1986" s="45">
        <v>45621</v>
      </c>
      <c r="C1986" t="s">
        <v>1038</v>
      </c>
      <c r="D1986" t="s">
        <v>151</v>
      </c>
      <c r="E1986" t="s">
        <v>252</v>
      </c>
      <c r="F1986">
        <v>4</v>
      </c>
      <c r="G1986">
        <v>2400</v>
      </c>
      <c r="H1986">
        <v>16.600000000000001</v>
      </c>
      <c r="I1986">
        <v>8006.4</v>
      </c>
      <c r="J1986" t="s">
        <v>93</v>
      </c>
      <c r="K1986" t="s">
        <v>117</v>
      </c>
      <c r="L1986" t="s">
        <v>117</v>
      </c>
      <c r="M1986" t="s">
        <v>2839</v>
      </c>
      <c r="N1986" t="s">
        <v>2879</v>
      </c>
      <c r="O1986">
        <v>974</v>
      </c>
      <c r="P1986">
        <v>2400</v>
      </c>
    </row>
    <row r="1987" spans="1:16" x14ac:dyDescent="0.3">
      <c r="A1987" t="s">
        <v>2391</v>
      </c>
      <c r="B1987" s="45">
        <v>45534</v>
      </c>
      <c r="C1987" t="s">
        <v>310</v>
      </c>
      <c r="D1987" t="s">
        <v>161</v>
      </c>
      <c r="E1987" t="s">
        <v>273</v>
      </c>
      <c r="F1987">
        <v>9</v>
      </c>
      <c r="G1987">
        <v>3450</v>
      </c>
      <c r="H1987">
        <v>21.8</v>
      </c>
      <c r="I1987">
        <v>24281.1</v>
      </c>
      <c r="J1987" t="s">
        <v>87</v>
      </c>
      <c r="K1987" t="s">
        <v>117</v>
      </c>
      <c r="L1987" t="s">
        <v>117</v>
      </c>
      <c r="M1987" t="s">
        <v>2839</v>
      </c>
      <c r="N1987" t="s">
        <v>2862</v>
      </c>
      <c r="O1987">
        <v>2467</v>
      </c>
      <c r="P1987">
        <v>3450</v>
      </c>
    </row>
    <row r="1988" spans="1:16" x14ac:dyDescent="0.3">
      <c r="A1988" t="s">
        <v>2394</v>
      </c>
      <c r="B1988" s="45">
        <v>45372</v>
      </c>
      <c r="C1988" t="s">
        <v>369</v>
      </c>
      <c r="D1988" t="s">
        <v>461</v>
      </c>
      <c r="E1988" t="s">
        <v>154</v>
      </c>
      <c r="F1988">
        <v>4</v>
      </c>
      <c r="G1988">
        <v>3780</v>
      </c>
      <c r="H1988">
        <v>17.100000000000001</v>
      </c>
      <c r="I1988">
        <v>12534.48</v>
      </c>
      <c r="J1988" t="s">
        <v>87</v>
      </c>
      <c r="K1988" t="s">
        <v>94</v>
      </c>
      <c r="L1988" t="s">
        <v>94</v>
      </c>
      <c r="M1988" t="s">
        <v>2839</v>
      </c>
      <c r="N1988" t="s">
        <v>2871</v>
      </c>
      <c r="O1988">
        <v>1860</v>
      </c>
      <c r="P1988">
        <v>3780</v>
      </c>
    </row>
    <row r="1989" spans="1:16" x14ac:dyDescent="0.3">
      <c r="A1989" t="s">
        <v>2410</v>
      </c>
      <c r="B1989" s="45">
        <v>45610</v>
      </c>
      <c r="C1989" t="s">
        <v>336</v>
      </c>
      <c r="D1989" t="s">
        <v>115</v>
      </c>
      <c r="E1989" t="s">
        <v>116</v>
      </c>
      <c r="F1989">
        <v>9</v>
      </c>
      <c r="G1989">
        <v>960</v>
      </c>
      <c r="H1989">
        <v>29</v>
      </c>
      <c r="I1989">
        <v>6134.4</v>
      </c>
      <c r="J1989" t="s">
        <v>87</v>
      </c>
      <c r="K1989" t="s">
        <v>112</v>
      </c>
      <c r="L1989" t="s">
        <v>112</v>
      </c>
      <c r="M1989" t="s">
        <v>2839</v>
      </c>
      <c r="N1989" t="s">
        <v>2871</v>
      </c>
      <c r="O1989">
        <v>705</v>
      </c>
      <c r="P1989">
        <v>960</v>
      </c>
    </row>
    <row r="1990" spans="1:16" x14ac:dyDescent="0.3">
      <c r="A1990" t="s">
        <v>2423</v>
      </c>
      <c r="B1990" s="45">
        <v>45442</v>
      </c>
      <c r="C1990" t="s">
        <v>114</v>
      </c>
      <c r="D1990" t="s">
        <v>461</v>
      </c>
      <c r="E1990" t="s">
        <v>148</v>
      </c>
      <c r="F1990">
        <v>10</v>
      </c>
      <c r="G1990">
        <v>3780</v>
      </c>
      <c r="H1990">
        <v>2.7</v>
      </c>
      <c r="I1990">
        <v>36779.4</v>
      </c>
      <c r="J1990" t="s">
        <v>87</v>
      </c>
      <c r="K1990" t="s">
        <v>117</v>
      </c>
      <c r="L1990" t="s">
        <v>117</v>
      </c>
      <c r="M1990" t="s">
        <v>2839</v>
      </c>
      <c r="N1990" t="s">
        <v>2855</v>
      </c>
      <c r="O1990">
        <v>1860</v>
      </c>
      <c r="P1990">
        <v>3780</v>
      </c>
    </row>
    <row r="1991" spans="1:16" x14ac:dyDescent="0.3">
      <c r="A1991" t="s">
        <v>2432</v>
      </c>
      <c r="B1991" s="45">
        <v>45464</v>
      </c>
      <c r="C1991" t="s">
        <v>567</v>
      </c>
      <c r="D1991" t="s">
        <v>161</v>
      </c>
      <c r="E1991" t="s">
        <v>158</v>
      </c>
      <c r="F1991">
        <v>3</v>
      </c>
      <c r="G1991">
        <v>3450</v>
      </c>
      <c r="H1991">
        <v>7.2</v>
      </c>
      <c r="I1991">
        <v>9604.7999999999993</v>
      </c>
      <c r="J1991" t="s">
        <v>87</v>
      </c>
      <c r="K1991" t="s">
        <v>117</v>
      </c>
      <c r="L1991" t="s">
        <v>117</v>
      </c>
      <c r="M1991" t="s">
        <v>2839</v>
      </c>
      <c r="N1991" t="s">
        <v>2871</v>
      </c>
      <c r="O1991">
        <v>2467</v>
      </c>
      <c r="P1991">
        <v>3450</v>
      </c>
    </row>
    <row r="1992" spans="1:16" x14ac:dyDescent="0.3">
      <c r="A1992" t="s">
        <v>2433</v>
      </c>
      <c r="B1992" s="45">
        <v>45633</v>
      </c>
      <c r="C1992" t="s">
        <v>299</v>
      </c>
      <c r="D1992" t="s">
        <v>182</v>
      </c>
      <c r="E1992" t="s">
        <v>107</v>
      </c>
      <c r="F1992">
        <v>9</v>
      </c>
      <c r="G1992">
        <v>1010</v>
      </c>
      <c r="H1992">
        <v>17.8</v>
      </c>
      <c r="I1992">
        <v>7471.98</v>
      </c>
      <c r="J1992" t="s">
        <v>87</v>
      </c>
      <c r="K1992" t="s">
        <v>133</v>
      </c>
      <c r="L1992" t="s">
        <v>133</v>
      </c>
      <c r="M1992" t="s">
        <v>2839</v>
      </c>
      <c r="N1992" t="s">
        <v>2855</v>
      </c>
      <c r="O1992">
        <v>516</v>
      </c>
      <c r="P1992">
        <v>1010</v>
      </c>
    </row>
    <row r="1993" spans="1:16" x14ac:dyDescent="0.3">
      <c r="A1993" t="s">
        <v>2438</v>
      </c>
      <c r="B1993" s="45">
        <v>45422</v>
      </c>
      <c r="C1993" t="s">
        <v>720</v>
      </c>
      <c r="D1993" t="s">
        <v>115</v>
      </c>
      <c r="E1993" t="s">
        <v>297</v>
      </c>
      <c r="F1993">
        <v>3</v>
      </c>
      <c r="G1993">
        <v>960</v>
      </c>
      <c r="H1993">
        <v>12.3</v>
      </c>
      <c r="I1993">
        <v>2525.7600000000002</v>
      </c>
      <c r="J1993" t="s">
        <v>87</v>
      </c>
      <c r="K1993" t="s">
        <v>88</v>
      </c>
      <c r="L1993" t="s">
        <v>88</v>
      </c>
      <c r="M1993" t="s">
        <v>2839</v>
      </c>
      <c r="N1993" t="s">
        <v>2855</v>
      </c>
      <c r="O1993">
        <v>705</v>
      </c>
      <c r="P1993">
        <v>960</v>
      </c>
    </row>
    <row r="1994" spans="1:16" x14ac:dyDescent="0.3">
      <c r="A1994" t="s">
        <v>2440</v>
      </c>
      <c r="B1994" s="45">
        <v>45467</v>
      </c>
      <c r="C1994" t="s">
        <v>735</v>
      </c>
      <c r="D1994" t="s">
        <v>115</v>
      </c>
      <c r="E1994" t="s">
        <v>192</v>
      </c>
      <c r="F1994">
        <v>1</v>
      </c>
      <c r="G1994">
        <v>960</v>
      </c>
      <c r="H1994">
        <v>4.5999999999999996</v>
      </c>
      <c r="I1994">
        <v>915.84</v>
      </c>
      <c r="J1994" t="s">
        <v>87</v>
      </c>
      <c r="K1994" t="s">
        <v>88</v>
      </c>
      <c r="L1994" t="s">
        <v>88</v>
      </c>
      <c r="M1994" t="s">
        <v>2839</v>
      </c>
      <c r="N1994" t="s">
        <v>2879</v>
      </c>
      <c r="O1994">
        <v>705</v>
      </c>
      <c r="P1994">
        <v>960</v>
      </c>
    </row>
    <row r="1995" spans="1:16" x14ac:dyDescent="0.3">
      <c r="A1995" t="s">
        <v>2455</v>
      </c>
      <c r="B1995" s="45">
        <v>45515</v>
      </c>
      <c r="C1995" t="s">
        <v>850</v>
      </c>
      <c r="D1995" t="s">
        <v>515</v>
      </c>
      <c r="E1995" t="s">
        <v>98</v>
      </c>
      <c r="F1995">
        <v>5</v>
      </c>
      <c r="G1995">
        <v>6940</v>
      </c>
      <c r="H1995">
        <v>17.399999999999999</v>
      </c>
      <c r="I1995">
        <v>28662.2</v>
      </c>
      <c r="J1995" t="s">
        <v>87</v>
      </c>
      <c r="K1995" t="s">
        <v>94</v>
      </c>
      <c r="L1995" t="s">
        <v>94</v>
      </c>
      <c r="M1995" t="s">
        <v>2839</v>
      </c>
      <c r="N1995" t="s">
        <v>2862</v>
      </c>
      <c r="O1995">
        <v>2827</v>
      </c>
      <c r="P1995">
        <v>6940</v>
      </c>
    </row>
    <row r="1996" spans="1:16" x14ac:dyDescent="0.3">
      <c r="A1996" t="s">
        <v>2466</v>
      </c>
      <c r="B1996" s="45">
        <v>45358</v>
      </c>
      <c r="C1996" t="s">
        <v>1051</v>
      </c>
      <c r="D1996" t="s">
        <v>182</v>
      </c>
      <c r="E1996" t="s">
        <v>107</v>
      </c>
      <c r="F1996">
        <v>10</v>
      </c>
      <c r="G1996">
        <v>1010</v>
      </c>
      <c r="H1996">
        <v>14.1</v>
      </c>
      <c r="I1996">
        <v>8675.9</v>
      </c>
      <c r="J1996" t="s">
        <v>144</v>
      </c>
      <c r="K1996" t="s">
        <v>112</v>
      </c>
      <c r="L1996" t="s">
        <v>112</v>
      </c>
      <c r="M1996" t="s">
        <v>2839</v>
      </c>
      <c r="N1996" t="s">
        <v>2879</v>
      </c>
      <c r="O1996">
        <v>516</v>
      </c>
      <c r="P1996">
        <v>1010</v>
      </c>
    </row>
    <row r="1997" spans="1:16" x14ac:dyDescent="0.3">
      <c r="A1997" t="s">
        <v>2469</v>
      </c>
      <c r="B1997" s="45">
        <v>45343</v>
      </c>
      <c r="C1997" t="s">
        <v>1231</v>
      </c>
      <c r="D1997" t="s">
        <v>147</v>
      </c>
      <c r="E1997" t="s">
        <v>107</v>
      </c>
      <c r="F1997">
        <v>8</v>
      </c>
      <c r="G1997">
        <v>190</v>
      </c>
      <c r="H1997">
        <v>22.3</v>
      </c>
      <c r="I1997">
        <v>1181.04</v>
      </c>
      <c r="J1997" t="s">
        <v>87</v>
      </c>
      <c r="K1997" t="s">
        <v>88</v>
      </c>
      <c r="L1997" t="s">
        <v>88</v>
      </c>
      <c r="M1997" t="s">
        <v>2839</v>
      </c>
      <c r="N1997" t="s">
        <v>2871</v>
      </c>
      <c r="O1997">
        <v>147</v>
      </c>
      <c r="P1997">
        <v>190</v>
      </c>
    </row>
    <row r="1998" spans="1:16" x14ac:dyDescent="0.3">
      <c r="A1998" t="s">
        <v>2470</v>
      </c>
      <c r="B1998" s="45">
        <v>45468</v>
      </c>
      <c r="C1998" t="s">
        <v>405</v>
      </c>
      <c r="D1998" t="s">
        <v>182</v>
      </c>
      <c r="E1998" t="s">
        <v>297</v>
      </c>
      <c r="F1998">
        <v>2</v>
      </c>
      <c r="G1998">
        <v>1010</v>
      </c>
      <c r="H1998">
        <v>3.8</v>
      </c>
      <c r="I1998">
        <v>1943.24</v>
      </c>
      <c r="J1998" t="s">
        <v>87</v>
      </c>
      <c r="K1998" t="s">
        <v>94</v>
      </c>
      <c r="L1998" t="s">
        <v>94</v>
      </c>
      <c r="M1998" t="s">
        <v>2839</v>
      </c>
      <c r="N1998" t="s">
        <v>2862</v>
      </c>
      <c r="O1998">
        <v>516</v>
      </c>
      <c r="P1998">
        <v>1010</v>
      </c>
    </row>
    <row r="1999" spans="1:16" x14ac:dyDescent="0.3">
      <c r="A1999" t="s">
        <v>2474</v>
      </c>
      <c r="B1999" s="45">
        <v>45560</v>
      </c>
      <c r="C1999" t="s">
        <v>109</v>
      </c>
      <c r="D1999" t="s">
        <v>147</v>
      </c>
      <c r="E1999" t="s">
        <v>343</v>
      </c>
      <c r="F1999">
        <v>6</v>
      </c>
      <c r="G1999">
        <v>190</v>
      </c>
      <c r="H1999">
        <v>20</v>
      </c>
      <c r="I1999">
        <v>912</v>
      </c>
      <c r="J1999" t="s">
        <v>140</v>
      </c>
      <c r="K1999" t="s">
        <v>112</v>
      </c>
      <c r="L1999" t="s">
        <v>112</v>
      </c>
      <c r="M1999" t="s">
        <v>2839</v>
      </c>
      <c r="N1999" t="s">
        <v>2862</v>
      </c>
      <c r="O1999">
        <v>147</v>
      </c>
      <c r="P1999">
        <v>190</v>
      </c>
    </row>
    <row r="2000" spans="1:16" x14ac:dyDescent="0.3">
      <c r="A2000" t="s">
        <v>2476</v>
      </c>
      <c r="B2000" s="45">
        <v>45344</v>
      </c>
      <c r="C2000" t="s">
        <v>119</v>
      </c>
      <c r="D2000" t="s">
        <v>195</v>
      </c>
      <c r="E2000" t="s">
        <v>204</v>
      </c>
      <c r="F2000">
        <v>4</v>
      </c>
      <c r="G2000">
        <v>2860</v>
      </c>
      <c r="H2000">
        <v>15.2</v>
      </c>
      <c r="I2000">
        <v>9701.1200000000008</v>
      </c>
      <c r="J2000" t="s">
        <v>87</v>
      </c>
      <c r="K2000" t="s">
        <v>117</v>
      </c>
      <c r="L2000" t="s">
        <v>117</v>
      </c>
      <c r="M2000" t="s">
        <v>2839</v>
      </c>
      <c r="N2000" t="s">
        <v>2879</v>
      </c>
      <c r="O2000">
        <v>2028</v>
      </c>
      <c r="P2000">
        <v>2860</v>
      </c>
    </row>
    <row r="2001" spans="1:16" x14ac:dyDescent="0.3">
      <c r="A2001" t="s">
        <v>2477</v>
      </c>
      <c r="B2001" s="45">
        <v>45589</v>
      </c>
      <c r="C2001" t="s">
        <v>945</v>
      </c>
      <c r="D2001" t="s">
        <v>97</v>
      </c>
      <c r="E2001" t="s">
        <v>128</v>
      </c>
      <c r="F2001">
        <v>3</v>
      </c>
      <c r="G2001">
        <v>470</v>
      </c>
      <c r="H2001">
        <v>14.2</v>
      </c>
      <c r="I2001">
        <v>1209.78</v>
      </c>
      <c r="J2001" t="s">
        <v>87</v>
      </c>
      <c r="K2001" t="s">
        <v>88</v>
      </c>
      <c r="L2001" t="s">
        <v>88</v>
      </c>
      <c r="M2001" t="s">
        <v>2839</v>
      </c>
      <c r="N2001" t="s">
        <v>2879</v>
      </c>
      <c r="O2001">
        <v>302</v>
      </c>
      <c r="P2001">
        <v>470</v>
      </c>
    </row>
    <row r="2002" spans="1:16" x14ac:dyDescent="0.3">
      <c r="A2002" t="s">
        <v>2478</v>
      </c>
      <c r="B2002" s="45">
        <v>45469</v>
      </c>
      <c r="C2002" t="s">
        <v>943</v>
      </c>
      <c r="D2002" t="s">
        <v>195</v>
      </c>
      <c r="E2002" t="s">
        <v>170</v>
      </c>
      <c r="F2002">
        <v>2</v>
      </c>
      <c r="G2002">
        <v>2860</v>
      </c>
      <c r="H2002">
        <v>17.899999999999999</v>
      </c>
      <c r="I2002">
        <v>4696.12</v>
      </c>
      <c r="J2002" t="s">
        <v>87</v>
      </c>
      <c r="K2002" t="s">
        <v>133</v>
      </c>
      <c r="L2002" t="s">
        <v>133</v>
      </c>
      <c r="M2002" t="s">
        <v>2839</v>
      </c>
      <c r="N2002" t="s">
        <v>2862</v>
      </c>
      <c r="O2002">
        <v>2028</v>
      </c>
      <c r="P2002">
        <v>2860</v>
      </c>
    </row>
    <row r="2003" spans="1:16" x14ac:dyDescent="0.3">
      <c r="A2003" t="s">
        <v>2499</v>
      </c>
      <c r="B2003" s="45">
        <v>45370</v>
      </c>
      <c r="C2003" t="s">
        <v>638</v>
      </c>
      <c r="D2003" t="s">
        <v>360</v>
      </c>
      <c r="E2003" t="s">
        <v>107</v>
      </c>
      <c r="F2003">
        <v>6</v>
      </c>
      <c r="G2003">
        <v>5410</v>
      </c>
      <c r="H2003">
        <v>15.5</v>
      </c>
      <c r="I2003">
        <v>27428.7</v>
      </c>
      <c r="J2003" t="s">
        <v>87</v>
      </c>
      <c r="K2003" t="s">
        <v>99</v>
      </c>
      <c r="L2003" t="s">
        <v>99</v>
      </c>
      <c r="M2003" t="s">
        <v>2839</v>
      </c>
      <c r="N2003" t="s">
        <v>2862</v>
      </c>
      <c r="O2003">
        <v>2265</v>
      </c>
      <c r="P2003">
        <v>5410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3BB8-6520-4043-A077-2E8D0930F6DC}">
  <dimension ref="A1:C208"/>
  <sheetViews>
    <sheetView topLeftCell="A192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19" bestFit="1" customWidth="1"/>
    <col min="3" max="3" width="22.44140625" bestFit="1" customWidth="1"/>
    <col min="4" max="31" width="5.109375" bestFit="1" customWidth="1"/>
    <col min="32" max="32" width="10.77734375" bestFit="1" customWidth="1"/>
  </cols>
  <sheetData>
    <row r="1" spans="1:3" x14ac:dyDescent="0.3">
      <c r="A1" s="41" t="s">
        <v>3026</v>
      </c>
      <c r="B1" t="s">
        <v>99</v>
      </c>
    </row>
    <row r="3" spans="1:3" x14ac:dyDescent="0.3">
      <c r="A3" s="41" t="s">
        <v>3031</v>
      </c>
      <c r="B3" t="s">
        <v>3033</v>
      </c>
      <c r="C3" t="s">
        <v>3035</v>
      </c>
    </row>
    <row r="4" spans="1:3" x14ac:dyDescent="0.3">
      <c r="A4" s="43">
        <v>45294</v>
      </c>
      <c r="B4" s="42">
        <v>25888.2</v>
      </c>
      <c r="C4" s="46">
        <v>1.143375519063409</v>
      </c>
    </row>
    <row r="5" spans="1:3" x14ac:dyDescent="0.3">
      <c r="A5" s="43">
        <v>45298</v>
      </c>
      <c r="B5" s="42">
        <v>5178.24</v>
      </c>
      <c r="C5" s="46">
        <v>0.6457720287448665</v>
      </c>
    </row>
    <row r="6" spans="1:3" x14ac:dyDescent="0.3">
      <c r="A6" s="43">
        <v>45301</v>
      </c>
      <c r="B6" s="42">
        <v>3024.56</v>
      </c>
      <c r="C6" s="46">
        <v>1.2613521184834795</v>
      </c>
    </row>
    <row r="7" spans="1:3" x14ac:dyDescent="0.3">
      <c r="A7" s="43">
        <v>45306</v>
      </c>
      <c r="B7" s="42">
        <v>4135.8599999999997</v>
      </c>
      <c r="C7" s="46">
        <v>0.54919226206963112</v>
      </c>
    </row>
    <row r="8" spans="1:3" x14ac:dyDescent="0.3">
      <c r="A8" s="43">
        <v>45309</v>
      </c>
      <c r="B8" s="42">
        <v>8266.56</v>
      </c>
      <c r="C8" s="46">
        <v>0.87697648460595323</v>
      </c>
    </row>
    <row r="9" spans="1:3" x14ac:dyDescent="0.3">
      <c r="A9" s="43">
        <v>45310</v>
      </c>
      <c r="B9" s="42">
        <v>19726.2</v>
      </c>
      <c r="C9" s="46">
        <v>1.295099725340312</v>
      </c>
    </row>
    <row r="10" spans="1:3" x14ac:dyDescent="0.3">
      <c r="A10" s="43">
        <v>45312</v>
      </c>
      <c r="B10" s="42">
        <v>18682.099999999999</v>
      </c>
      <c r="C10" s="46">
        <v>0.82218023747827751</v>
      </c>
    </row>
    <row r="11" spans="1:3" x14ac:dyDescent="0.3">
      <c r="A11" s="43">
        <v>45313</v>
      </c>
      <c r="B11" s="42">
        <v>21390.080000000002</v>
      </c>
      <c r="C11" s="46">
        <v>0.60618600345338558</v>
      </c>
    </row>
    <row r="12" spans="1:3" x14ac:dyDescent="0.3">
      <c r="A12" s="43">
        <v>45316</v>
      </c>
      <c r="B12" s="42">
        <v>10014.620000000001</v>
      </c>
      <c r="C12" s="46">
        <v>1.2613521184834795</v>
      </c>
    </row>
    <row r="13" spans="1:3" x14ac:dyDescent="0.3">
      <c r="A13" s="43">
        <v>45318</v>
      </c>
      <c r="B13" s="42">
        <v>25722.48</v>
      </c>
      <c r="C13" s="46">
        <v>1.0429194984776502</v>
      </c>
    </row>
    <row r="14" spans="1:3" x14ac:dyDescent="0.3">
      <c r="A14" s="43">
        <v>45322</v>
      </c>
      <c r="B14" s="42">
        <v>10201.620000000001</v>
      </c>
      <c r="C14" s="46">
        <v>1.193724931184349</v>
      </c>
    </row>
    <row r="15" spans="1:3" x14ac:dyDescent="0.3">
      <c r="A15" s="43">
        <v>45325</v>
      </c>
      <c r="B15" s="42">
        <v>26704.12</v>
      </c>
      <c r="C15" s="46">
        <v>1.0549140793891958</v>
      </c>
    </row>
    <row r="16" spans="1:3" x14ac:dyDescent="0.3">
      <c r="A16" s="43">
        <v>45326</v>
      </c>
      <c r="B16" s="42">
        <v>23543.759999999998</v>
      </c>
      <c r="C16" s="46">
        <v>0.9301595695537741</v>
      </c>
    </row>
    <row r="17" spans="1:3" x14ac:dyDescent="0.3">
      <c r="A17" s="43">
        <v>45328</v>
      </c>
      <c r="B17" s="42">
        <v>4922.5599999999995</v>
      </c>
      <c r="C17" s="46">
        <v>0.66985624173744263</v>
      </c>
    </row>
    <row r="18" spans="1:3" x14ac:dyDescent="0.3">
      <c r="A18" s="43">
        <v>45329</v>
      </c>
      <c r="B18" s="42">
        <v>19519.28</v>
      </c>
      <c r="C18" s="46">
        <v>1.2645295646051828</v>
      </c>
    </row>
    <row r="19" spans="1:3" x14ac:dyDescent="0.3">
      <c r="A19" s="43">
        <v>45332</v>
      </c>
      <c r="B19" s="42">
        <v>9503.5</v>
      </c>
      <c r="C19" s="46">
        <v>1.0173247055455787</v>
      </c>
    </row>
    <row r="20" spans="1:3" x14ac:dyDescent="0.3">
      <c r="A20" s="43">
        <v>45334</v>
      </c>
      <c r="B20" s="42">
        <v>41358.949999999997</v>
      </c>
      <c r="C20" s="46">
        <v>1.2702449098749902</v>
      </c>
    </row>
    <row r="21" spans="1:3" x14ac:dyDescent="0.3">
      <c r="A21" s="43">
        <v>45335</v>
      </c>
      <c r="B21" s="42">
        <v>17821.439999999999</v>
      </c>
      <c r="C21" s="46">
        <v>1.0949277529395489</v>
      </c>
    </row>
    <row r="22" spans="1:3" x14ac:dyDescent="0.3">
      <c r="A22" s="43">
        <v>45336</v>
      </c>
      <c r="B22" s="42">
        <v>28204.400000000001</v>
      </c>
      <c r="C22" s="46">
        <v>0.97531172028643509</v>
      </c>
    </row>
    <row r="23" spans="1:3" x14ac:dyDescent="0.3">
      <c r="A23" s="43">
        <v>45337</v>
      </c>
      <c r="B23" s="42">
        <v>13737.9</v>
      </c>
      <c r="C23" s="46">
        <v>0.93170345881340266</v>
      </c>
    </row>
    <row r="24" spans="1:3" x14ac:dyDescent="0.3">
      <c r="A24" s="43">
        <v>45338</v>
      </c>
      <c r="B24" s="42">
        <v>52652.619999999995</v>
      </c>
      <c r="C24" s="46">
        <v>1.2099728538588026</v>
      </c>
    </row>
    <row r="25" spans="1:3" x14ac:dyDescent="0.3">
      <c r="A25" s="43">
        <v>45341</v>
      </c>
      <c r="B25" s="42">
        <v>35101.599999999999</v>
      </c>
      <c r="C25" s="46">
        <v>0.56885985453480381</v>
      </c>
    </row>
    <row r="26" spans="1:3" x14ac:dyDescent="0.3">
      <c r="A26" s="43">
        <v>45342</v>
      </c>
      <c r="B26" s="42">
        <v>23454.76</v>
      </c>
      <c r="C26" s="46">
        <v>0.60544873223965212</v>
      </c>
    </row>
    <row r="27" spans="1:3" x14ac:dyDescent="0.3">
      <c r="A27" s="43">
        <v>45343</v>
      </c>
      <c r="B27" s="42">
        <v>29719.200000000001</v>
      </c>
      <c r="C27" s="46">
        <v>0.61560139883047071</v>
      </c>
    </row>
    <row r="28" spans="1:3" x14ac:dyDescent="0.3">
      <c r="A28" s="43">
        <v>45344</v>
      </c>
      <c r="B28" s="42">
        <v>33954.6</v>
      </c>
      <c r="C28" s="46">
        <v>0.79526243094221938</v>
      </c>
    </row>
    <row r="29" spans="1:3" x14ac:dyDescent="0.3">
      <c r="A29" s="43">
        <v>45345</v>
      </c>
      <c r="B29" s="42">
        <v>13494.6</v>
      </c>
      <c r="C29" s="46">
        <v>0.77341585664882262</v>
      </c>
    </row>
    <row r="30" spans="1:3" x14ac:dyDescent="0.3">
      <c r="A30" s="43">
        <v>45346</v>
      </c>
      <c r="B30" s="42">
        <v>24928</v>
      </c>
      <c r="C30" s="46">
        <v>1.2389520972540016</v>
      </c>
    </row>
    <row r="31" spans="1:3" x14ac:dyDescent="0.3">
      <c r="A31" s="43">
        <v>45348</v>
      </c>
      <c r="B31" s="42">
        <v>18351.900000000001</v>
      </c>
      <c r="C31" s="46">
        <v>0.77341585664882262</v>
      </c>
    </row>
    <row r="32" spans="1:3" x14ac:dyDescent="0.3">
      <c r="A32" s="43">
        <v>45349</v>
      </c>
      <c r="B32" s="42">
        <v>23586.66</v>
      </c>
      <c r="C32" s="46">
        <v>1.064643300195115</v>
      </c>
    </row>
    <row r="33" spans="1:3" x14ac:dyDescent="0.3">
      <c r="A33" s="43">
        <v>45350</v>
      </c>
      <c r="B33" s="42">
        <v>36383.4</v>
      </c>
      <c r="C33" s="46">
        <v>1.1862973093903131</v>
      </c>
    </row>
    <row r="34" spans="1:3" x14ac:dyDescent="0.3">
      <c r="A34" s="43">
        <v>45351</v>
      </c>
      <c r="B34" s="42">
        <v>13281.12</v>
      </c>
      <c r="C34" s="46">
        <v>1.0442690319901731</v>
      </c>
    </row>
    <row r="35" spans="1:3" x14ac:dyDescent="0.3">
      <c r="A35" s="43">
        <v>45353</v>
      </c>
      <c r="B35" s="42">
        <v>12186.05</v>
      </c>
      <c r="C35" s="46">
        <v>1.2436087884237481</v>
      </c>
    </row>
    <row r="36" spans="1:3" x14ac:dyDescent="0.3">
      <c r="A36" s="43">
        <v>45354</v>
      </c>
      <c r="B36" s="42">
        <v>33130.239999999998</v>
      </c>
      <c r="C36" s="46">
        <v>0.75144381526675375</v>
      </c>
    </row>
    <row r="37" spans="1:3" x14ac:dyDescent="0.3">
      <c r="A37" s="43">
        <v>45355</v>
      </c>
      <c r="B37" s="42">
        <v>2422.42</v>
      </c>
      <c r="C37" s="46">
        <v>0.63279479180358211</v>
      </c>
    </row>
    <row r="38" spans="1:3" x14ac:dyDescent="0.3">
      <c r="A38" s="43">
        <v>45357</v>
      </c>
      <c r="B38" s="42">
        <v>2310</v>
      </c>
      <c r="C38" s="46">
        <v>1.2471330688462265</v>
      </c>
    </row>
    <row r="39" spans="1:3" x14ac:dyDescent="0.3">
      <c r="A39" s="43">
        <v>45358</v>
      </c>
      <c r="B39" s="42">
        <v>16773.900000000001</v>
      </c>
      <c r="C39" s="46">
        <v>1.1811215005383602</v>
      </c>
    </row>
    <row r="40" spans="1:3" x14ac:dyDescent="0.3">
      <c r="A40" s="43">
        <v>45360</v>
      </c>
      <c r="B40" s="42">
        <v>9377.68</v>
      </c>
      <c r="C40" s="46">
        <v>1.1222998672791016</v>
      </c>
    </row>
    <row r="41" spans="1:3" x14ac:dyDescent="0.3">
      <c r="A41" s="43">
        <v>45365</v>
      </c>
      <c r="B41" s="42">
        <v>9401.82</v>
      </c>
      <c r="C41" s="46">
        <v>0.8668569562718389</v>
      </c>
    </row>
    <row r="42" spans="1:3" x14ac:dyDescent="0.3">
      <c r="A42" s="43">
        <v>45366</v>
      </c>
      <c r="B42" s="42">
        <v>1040.82</v>
      </c>
      <c r="C42" s="46">
        <v>0.49228936928140515</v>
      </c>
    </row>
    <row r="43" spans="1:3" x14ac:dyDescent="0.3">
      <c r="A43" s="43">
        <v>45369</v>
      </c>
      <c r="B43" s="42">
        <v>27495.449999999997</v>
      </c>
      <c r="C43" s="46">
        <v>0.76397224416076781</v>
      </c>
    </row>
    <row r="44" spans="1:3" x14ac:dyDescent="0.3">
      <c r="A44" s="43">
        <v>45370</v>
      </c>
      <c r="B44" s="42">
        <v>60387.3</v>
      </c>
      <c r="C44" s="46">
        <v>1.1179040902669293</v>
      </c>
    </row>
    <row r="45" spans="1:3" x14ac:dyDescent="0.3">
      <c r="A45" s="43">
        <v>45371</v>
      </c>
      <c r="B45" s="42">
        <v>3635.92</v>
      </c>
      <c r="C45" s="46">
        <v>0.77752977077993335</v>
      </c>
    </row>
    <row r="46" spans="1:3" x14ac:dyDescent="0.3">
      <c r="A46" s="43">
        <v>45372</v>
      </c>
      <c r="B46" s="42">
        <v>39687.760000000002</v>
      </c>
      <c r="C46" s="46">
        <v>1.2645295646051828</v>
      </c>
    </row>
    <row r="47" spans="1:3" x14ac:dyDescent="0.3">
      <c r="A47" s="43">
        <v>45373</v>
      </c>
      <c r="B47" s="42">
        <v>21304.400000000001</v>
      </c>
      <c r="C47" s="46">
        <v>1.1811215005383602</v>
      </c>
    </row>
    <row r="48" spans="1:3" x14ac:dyDescent="0.3">
      <c r="A48" s="43">
        <v>45375</v>
      </c>
      <c r="B48" s="42">
        <v>13355.2</v>
      </c>
      <c r="C48" s="46">
        <v>0.60618600345338558</v>
      </c>
    </row>
    <row r="49" spans="1:3" x14ac:dyDescent="0.3">
      <c r="A49" s="43">
        <v>45376</v>
      </c>
      <c r="B49" s="42">
        <v>3987.06</v>
      </c>
      <c r="C49" s="46">
        <v>1.2613521184834795</v>
      </c>
    </row>
    <row r="50" spans="1:3" x14ac:dyDescent="0.3">
      <c r="A50" s="43">
        <v>45377</v>
      </c>
      <c r="B50" s="42">
        <v>47150.6</v>
      </c>
      <c r="C50" s="46">
        <v>1.1823988889950554</v>
      </c>
    </row>
    <row r="51" spans="1:3" x14ac:dyDescent="0.3">
      <c r="A51" s="43">
        <v>45379</v>
      </c>
      <c r="B51" s="42">
        <v>467.97</v>
      </c>
      <c r="C51" s="46">
        <v>0.49228936928140515</v>
      </c>
    </row>
    <row r="52" spans="1:3" x14ac:dyDescent="0.3">
      <c r="A52" s="43">
        <v>45380</v>
      </c>
      <c r="B52" s="42">
        <v>2147.2800000000002</v>
      </c>
      <c r="C52" s="46">
        <v>1.0442690319901731</v>
      </c>
    </row>
    <row r="53" spans="1:3" x14ac:dyDescent="0.3">
      <c r="A53" s="43">
        <v>45384</v>
      </c>
      <c r="B53" s="42">
        <v>15594.6</v>
      </c>
      <c r="C53" s="46">
        <v>0.87697648460595323</v>
      </c>
    </row>
    <row r="54" spans="1:3" x14ac:dyDescent="0.3">
      <c r="A54" s="43">
        <v>45385</v>
      </c>
      <c r="B54" s="42">
        <v>25498.55</v>
      </c>
      <c r="C54" s="46">
        <v>1.091891688897566</v>
      </c>
    </row>
    <row r="55" spans="1:3" x14ac:dyDescent="0.3">
      <c r="A55" s="43">
        <v>45386</v>
      </c>
      <c r="B55" s="42">
        <v>781.46</v>
      </c>
      <c r="C55" s="46">
        <v>1.1380177677290793</v>
      </c>
    </row>
    <row r="56" spans="1:3" x14ac:dyDescent="0.3">
      <c r="A56" s="43">
        <v>45387</v>
      </c>
      <c r="B56" s="42">
        <v>10726.1</v>
      </c>
      <c r="C56" s="46">
        <v>1.2613521184834795</v>
      </c>
    </row>
    <row r="57" spans="1:3" x14ac:dyDescent="0.3">
      <c r="A57" s="43">
        <v>45388</v>
      </c>
      <c r="B57" s="42">
        <v>6091.2</v>
      </c>
      <c r="C57" s="46">
        <v>1.2924504041967433</v>
      </c>
    </row>
    <row r="58" spans="1:3" x14ac:dyDescent="0.3">
      <c r="A58" s="43">
        <v>45392</v>
      </c>
      <c r="B58" s="42">
        <v>4783.68</v>
      </c>
      <c r="C58" s="46">
        <v>1.004064087077414</v>
      </c>
    </row>
    <row r="59" spans="1:3" x14ac:dyDescent="0.3">
      <c r="A59" s="43">
        <v>45393</v>
      </c>
      <c r="B59" s="42">
        <v>936.27</v>
      </c>
      <c r="C59" s="46">
        <v>1.0639254018133246</v>
      </c>
    </row>
    <row r="60" spans="1:3" x14ac:dyDescent="0.3">
      <c r="A60" s="43">
        <v>45394</v>
      </c>
      <c r="B60" s="42">
        <v>4366.8</v>
      </c>
      <c r="C60" s="46">
        <v>0.87253691973759373</v>
      </c>
    </row>
    <row r="61" spans="1:3" x14ac:dyDescent="0.3">
      <c r="A61" s="43">
        <v>45395</v>
      </c>
      <c r="B61" s="42">
        <v>15687.3</v>
      </c>
      <c r="C61" s="46">
        <v>1.1712446034641584</v>
      </c>
    </row>
    <row r="62" spans="1:3" x14ac:dyDescent="0.3">
      <c r="A62" s="43">
        <v>45397</v>
      </c>
      <c r="B62" s="42">
        <v>29516.85</v>
      </c>
      <c r="C62" s="46">
        <v>1.0532019286715961</v>
      </c>
    </row>
    <row r="63" spans="1:3" x14ac:dyDescent="0.3">
      <c r="A63" s="43">
        <v>45400</v>
      </c>
      <c r="B63" s="42">
        <v>32121.27</v>
      </c>
      <c r="C63" s="46">
        <v>0.60544873223965212</v>
      </c>
    </row>
    <row r="64" spans="1:3" x14ac:dyDescent="0.3">
      <c r="A64" s="43">
        <v>45401</v>
      </c>
      <c r="B64" s="42">
        <v>38021.159999999996</v>
      </c>
      <c r="C64" s="46">
        <v>1.0136489400352069</v>
      </c>
    </row>
    <row r="65" spans="1:3" x14ac:dyDescent="0.3">
      <c r="A65" s="43">
        <v>45402</v>
      </c>
      <c r="B65" s="42">
        <v>5171.58</v>
      </c>
      <c r="C65" s="46">
        <v>1.1652746077890304</v>
      </c>
    </row>
    <row r="66" spans="1:3" x14ac:dyDescent="0.3">
      <c r="A66" s="43">
        <v>45403</v>
      </c>
      <c r="B66" s="42">
        <v>13590.72</v>
      </c>
      <c r="C66" s="46">
        <v>0.87253691973759373</v>
      </c>
    </row>
    <row r="67" spans="1:3" x14ac:dyDescent="0.3">
      <c r="A67" s="43">
        <v>45404</v>
      </c>
      <c r="B67" s="42">
        <v>11456.64</v>
      </c>
      <c r="C67" s="46">
        <v>0.60618600345338558</v>
      </c>
    </row>
    <row r="68" spans="1:3" x14ac:dyDescent="0.3">
      <c r="A68" s="43">
        <v>45405</v>
      </c>
      <c r="B68" s="42">
        <v>46856.619999999995</v>
      </c>
      <c r="C68" s="46">
        <v>1.0922376463518362</v>
      </c>
    </row>
    <row r="69" spans="1:3" x14ac:dyDescent="0.3">
      <c r="A69" s="43">
        <v>45407</v>
      </c>
      <c r="B69" s="42">
        <v>71044.820000000007</v>
      </c>
      <c r="C69" s="46">
        <v>1.2701504184097911</v>
      </c>
    </row>
    <row r="70" spans="1:3" x14ac:dyDescent="0.3">
      <c r="A70" s="43">
        <v>45408</v>
      </c>
      <c r="B70" s="42">
        <v>34164.9</v>
      </c>
      <c r="C70" s="46">
        <v>1.2211155869038119</v>
      </c>
    </row>
    <row r="71" spans="1:3" x14ac:dyDescent="0.3">
      <c r="A71" s="43">
        <v>45412</v>
      </c>
      <c r="B71" s="42">
        <v>7260.88</v>
      </c>
      <c r="C71" s="46">
        <v>1.091891688897566</v>
      </c>
    </row>
    <row r="72" spans="1:3" x14ac:dyDescent="0.3">
      <c r="A72" s="43">
        <v>45413</v>
      </c>
      <c r="B72" s="42">
        <v>3085.38</v>
      </c>
      <c r="C72" s="46">
        <v>0.85939497595865577</v>
      </c>
    </row>
    <row r="73" spans="1:3" x14ac:dyDescent="0.3">
      <c r="A73" s="43">
        <v>45414</v>
      </c>
      <c r="B73" s="42">
        <v>1343.16</v>
      </c>
      <c r="C73" s="46">
        <v>1.1380177677290793</v>
      </c>
    </row>
    <row r="74" spans="1:3" x14ac:dyDescent="0.3">
      <c r="A74" s="43">
        <v>45415</v>
      </c>
      <c r="B74" s="42">
        <v>2911.28</v>
      </c>
      <c r="C74" s="46">
        <v>1.004064087077414</v>
      </c>
    </row>
    <row r="75" spans="1:3" x14ac:dyDescent="0.3">
      <c r="A75" s="43">
        <v>45417</v>
      </c>
      <c r="B75" s="42">
        <v>2154.52</v>
      </c>
      <c r="C75" s="46">
        <v>1.2534329213670852</v>
      </c>
    </row>
    <row r="76" spans="1:3" x14ac:dyDescent="0.3">
      <c r="A76" s="43">
        <v>45418</v>
      </c>
      <c r="B76" s="42">
        <v>37650.960000000006</v>
      </c>
      <c r="C76" s="46">
        <v>1.0853050448566832</v>
      </c>
    </row>
    <row r="77" spans="1:3" x14ac:dyDescent="0.3">
      <c r="A77" s="43">
        <v>45419</v>
      </c>
      <c r="B77" s="42">
        <v>674.14</v>
      </c>
      <c r="C77" s="46">
        <v>0.48207846470171545</v>
      </c>
    </row>
    <row r="78" spans="1:3" x14ac:dyDescent="0.3">
      <c r="A78" s="43">
        <v>45420</v>
      </c>
      <c r="B78" s="42">
        <v>19759.629999999997</v>
      </c>
      <c r="C78" s="46">
        <v>1.0417485345496471</v>
      </c>
    </row>
    <row r="79" spans="1:3" x14ac:dyDescent="0.3">
      <c r="A79" s="43">
        <v>45423</v>
      </c>
      <c r="B79" s="42">
        <v>35607.599999999999</v>
      </c>
      <c r="C79" s="46">
        <v>1.1048797952126035</v>
      </c>
    </row>
    <row r="80" spans="1:3" x14ac:dyDescent="0.3">
      <c r="A80" s="43">
        <v>45428</v>
      </c>
      <c r="B80" s="42">
        <v>14352</v>
      </c>
      <c r="C80" s="46">
        <v>0.61978352208080911</v>
      </c>
    </row>
    <row r="81" spans="1:3" x14ac:dyDescent="0.3">
      <c r="A81" s="43">
        <v>45430</v>
      </c>
      <c r="B81" s="42">
        <v>1797.84</v>
      </c>
      <c r="C81" s="46">
        <v>1.090911854619717</v>
      </c>
    </row>
    <row r="82" spans="1:3" x14ac:dyDescent="0.3">
      <c r="A82" s="43">
        <v>45432</v>
      </c>
      <c r="B82" s="42">
        <v>42602.400000000001</v>
      </c>
      <c r="C82" s="46">
        <v>0.94141192387172257</v>
      </c>
    </row>
    <row r="83" spans="1:3" x14ac:dyDescent="0.3">
      <c r="A83" s="43">
        <v>45436</v>
      </c>
      <c r="B83" s="42">
        <v>11425.7</v>
      </c>
      <c r="C83" s="46">
        <v>0.63279479180358211</v>
      </c>
    </row>
    <row r="84" spans="1:3" x14ac:dyDescent="0.3">
      <c r="A84" s="43">
        <v>45437</v>
      </c>
      <c r="B84" s="42">
        <v>21516.48</v>
      </c>
      <c r="C84" s="46">
        <v>1.146382399415335</v>
      </c>
    </row>
    <row r="85" spans="1:3" x14ac:dyDescent="0.3">
      <c r="A85" s="43">
        <v>45439</v>
      </c>
      <c r="B85" s="42">
        <v>20642.04</v>
      </c>
      <c r="C85" s="46">
        <v>1.0442690319901731</v>
      </c>
    </row>
    <row r="86" spans="1:3" x14ac:dyDescent="0.3">
      <c r="A86" s="43">
        <v>45441</v>
      </c>
      <c r="B86" s="42">
        <v>8407.68</v>
      </c>
      <c r="C86" s="46">
        <v>1.004064087077414</v>
      </c>
    </row>
    <row r="87" spans="1:3" x14ac:dyDescent="0.3">
      <c r="A87" s="43">
        <v>45442</v>
      </c>
      <c r="B87" s="42">
        <v>3777.2400000000002</v>
      </c>
      <c r="C87" s="46">
        <v>1.0230607732808317</v>
      </c>
    </row>
    <row r="88" spans="1:3" x14ac:dyDescent="0.3">
      <c r="A88" s="43">
        <v>45443</v>
      </c>
      <c r="B88" s="42">
        <v>68687.839999999997</v>
      </c>
      <c r="C88" s="46">
        <v>1.0043880819837154</v>
      </c>
    </row>
    <row r="89" spans="1:3" x14ac:dyDescent="0.3">
      <c r="A89" s="43">
        <v>45444</v>
      </c>
      <c r="B89" s="42">
        <v>75315.510000000009</v>
      </c>
      <c r="C89" s="46">
        <v>1.0474455572429735</v>
      </c>
    </row>
    <row r="90" spans="1:3" x14ac:dyDescent="0.3">
      <c r="A90" s="43">
        <v>45447</v>
      </c>
      <c r="B90" s="42">
        <v>3196.8</v>
      </c>
      <c r="C90" s="46">
        <v>0.48207846470171545</v>
      </c>
    </row>
    <row r="91" spans="1:3" x14ac:dyDescent="0.3">
      <c r="A91" s="43">
        <v>45448</v>
      </c>
      <c r="B91" s="42">
        <v>16371.9</v>
      </c>
      <c r="C91" s="46">
        <v>0.66985624173744263</v>
      </c>
    </row>
    <row r="92" spans="1:3" x14ac:dyDescent="0.3">
      <c r="A92" s="43">
        <v>45449</v>
      </c>
      <c r="B92" s="42">
        <v>1026.78</v>
      </c>
      <c r="C92" s="46">
        <v>1.2492617363415901</v>
      </c>
    </row>
    <row r="93" spans="1:3" x14ac:dyDescent="0.3">
      <c r="A93" s="43">
        <v>45453</v>
      </c>
      <c r="B93" s="42">
        <v>16854.18</v>
      </c>
      <c r="C93" s="46">
        <v>1.074662920936448</v>
      </c>
    </row>
    <row r="94" spans="1:3" x14ac:dyDescent="0.3">
      <c r="A94" s="43">
        <v>45455</v>
      </c>
      <c r="B94" s="42">
        <v>17656.32</v>
      </c>
      <c r="C94" s="46">
        <v>1.2285117637749232</v>
      </c>
    </row>
    <row r="95" spans="1:3" x14ac:dyDescent="0.3">
      <c r="A95" s="43">
        <v>45457</v>
      </c>
      <c r="B95" s="42">
        <v>22471.350000000002</v>
      </c>
      <c r="C95" s="46">
        <v>0.97302340181977087</v>
      </c>
    </row>
    <row r="96" spans="1:3" x14ac:dyDescent="0.3">
      <c r="A96" s="43">
        <v>45459</v>
      </c>
      <c r="B96" s="42">
        <v>4030.29</v>
      </c>
      <c r="C96" s="46">
        <v>1.1052670964534672</v>
      </c>
    </row>
    <row r="97" spans="1:3" x14ac:dyDescent="0.3">
      <c r="A97" s="43">
        <v>45460</v>
      </c>
      <c r="B97" s="42">
        <v>32740.49</v>
      </c>
      <c r="C97" s="46">
        <v>0.83723171213350778</v>
      </c>
    </row>
    <row r="98" spans="1:3" x14ac:dyDescent="0.3">
      <c r="A98" s="43">
        <v>45462</v>
      </c>
      <c r="B98" s="42">
        <v>4985.6000000000004</v>
      </c>
      <c r="C98" s="46">
        <v>1.1380177677290793</v>
      </c>
    </row>
    <row r="99" spans="1:3" x14ac:dyDescent="0.3">
      <c r="A99" s="43">
        <v>45463</v>
      </c>
      <c r="B99" s="42">
        <v>34650.42</v>
      </c>
      <c r="C99" s="46">
        <v>1.156860538871155</v>
      </c>
    </row>
    <row r="100" spans="1:3" x14ac:dyDescent="0.3">
      <c r="A100" s="43">
        <v>45465</v>
      </c>
      <c r="B100" s="42">
        <v>13739.04</v>
      </c>
      <c r="C100" s="46">
        <v>0.95045855659291101</v>
      </c>
    </row>
    <row r="101" spans="1:3" x14ac:dyDescent="0.3">
      <c r="A101" s="43">
        <v>45469</v>
      </c>
      <c r="B101" s="42">
        <v>18532.8</v>
      </c>
      <c r="C101" s="46">
        <v>1.2285117637749232</v>
      </c>
    </row>
    <row r="102" spans="1:3" x14ac:dyDescent="0.3">
      <c r="A102" s="43">
        <v>45472</v>
      </c>
      <c r="B102" s="42">
        <v>31382.73</v>
      </c>
      <c r="C102" s="46">
        <v>1.1092755429753849</v>
      </c>
    </row>
    <row r="103" spans="1:3" x14ac:dyDescent="0.3">
      <c r="A103" s="43">
        <v>45474</v>
      </c>
      <c r="B103" s="42">
        <v>7527.32</v>
      </c>
      <c r="C103" s="46">
        <v>1.0224549107101657</v>
      </c>
    </row>
    <row r="104" spans="1:3" x14ac:dyDescent="0.3">
      <c r="A104" s="43">
        <v>45475</v>
      </c>
      <c r="B104" s="42">
        <v>1003.44</v>
      </c>
      <c r="C104" s="46">
        <v>0.48207846470171545</v>
      </c>
    </row>
    <row r="105" spans="1:3" x14ac:dyDescent="0.3">
      <c r="A105" s="43">
        <v>45476</v>
      </c>
      <c r="B105" s="42">
        <v>8873.67</v>
      </c>
      <c r="C105" s="46">
        <v>0.9301595695537741</v>
      </c>
    </row>
    <row r="106" spans="1:3" x14ac:dyDescent="0.3">
      <c r="A106" s="43">
        <v>45477</v>
      </c>
      <c r="B106" s="42">
        <v>31632.53</v>
      </c>
      <c r="C106" s="46">
        <v>1.0249768433319213</v>
      </c>
    </row>
    <row r="107" spans="1:3" x14ac:dyDescent="0.3">
      <c r="A107" s="43">
        <v>45479</v>
      </c>
      <c r="B107" s="42">
        <v>14635.72</v>
      </c>
      <c r="C107" s="46">
        <v>1.091891688897566</v>
      </c>
    </row>
    <row r="108" spans="1:3" x14ac:dyDescent="0.3">
      <c r="A108" s="43">
        <v>45480</v>
      </c>
      <c r="B108" s="42">
        <v>23026.5</v>
      </c>
      <c r="C108" s="46">
        <v>1.2211155869038119</v>
      </c>
    </row>
    <row r="109" spans="1:3" x14ac:dyDescent="0.3">
      <c r="A109" s="43">
        <v>45481</v>
      </c>
      <c r="B109" s="42">
        <v>2118.88</v>
      </c>
      <c r="C109" s="46">
        <v>0.60618600345338558</v>
      </c>
    </row>
    <row r="110" spans="1:3" x14ac:dyDescent="0.3">
      <c r="A110" s="43">
        <v>45486</v>
      </c>
      <c r="B110" s="42">
        <v>28563.66</v>
      </c>
      <c r="C110" s="46">
        <v>1.1392445938169746</v>
      </c>
    </row>
    <row r="111" spans="1:3" x14ac:dyDescent="0.3">
      <c r="A111" s="43">
        <v>45488</v>
      </c>
      <c r="B111" s="42">
        <v>12184.96</v>
      </c>
      <c r="C111" s="46">
        <v>0.87697648460595323</v>
      </c>
    </row>
    <row r="112" spans="1:3" x14ac:dyDescent="0.3">
      <c r="A112" s="43">
        <v>45489</v>
      </c>
      <c r="B112" s="42">
        <v>47668.68</v>
      </c>
      <c r="C112" s="46">
        <v>1.14389385556863</v>
      </c>
    </row>
    <row r="113" spans="1:3" x14ac:dyDescent="0.3">
      <c r="A113" s="43">
        <v>45490</v>
      </c>
      <c r="B113" s="42">
        <v>35932.82</v>
      </c>
      <c r="C113" s="46">
        <v>1.1543045444787856</v>
      </c>
    </row>
    <row r="114" spans="1:3" x14ac:dyDescent="0.3">
      <c r="A114" s="43">
        <v>45491</v>
      </c>
      <c r="B114" s="42">
        <v>6783.21</v>
      </c>
      <c r="C114" s="46">
        <v>1.201983921544433</v>
      </c>
    </row>
    <row r="115" spans="1:3" x14ac:dyDescent="0.3">
      <c r="A115" s="43">
        <v>45496</v>
      </c>
      <c r="B115" s="42">
        <v>889.44</v>
      </c>
      <c r="C115" s="46">
        <v>1.2492617363415901</v>
      </c>
    </row>
    <row r="116" spans="1:3" x14ac:dyDescent="0.3">
      <c r="A116" s="43">
        <v>45497</v>
      </c>
      <c r="B116" s="42">
        <v>1822.62</v>
      </c>
      <c r="C116" s="46">
        <v>0.48207846470171545</v>
      </c>
    </row>
    <row r="117" spans="1:3" x14ac:dyDescent="0.3">
      <c r="A117" s="43">
        <v>45498</v>
      </c>
      <c r="B117" s="42">
        <v>1364.96</v>
      </c>
      <c r="C117" s="46">
        <v>0.49228936928140515</v>
      </c>
    </row>
    <row r="118" spans="1:3" x14ac:dyDescent="0.3">
      <c r="A118" s="43">
        <v>45505</v>
      </c>
      <c r="B118" s="42">
        <v>5359.2</v>
      </c>
      <c r="C118" s="46">
        <v>1.090911854619717</v>
      </c>
    </row>
    <row r="119" spans="1:3" x14ac:dyDescent="0.3">
      <c r="A119" s="43">
        <v>45506</v>
      </c>
      <c r="B119" s="42">
        <v>1060.56</v>
      </c>
      <c r="C119" s="46">
        <v>1.1299122280728893</v>
      </c>
    </row>
    <row r="120" spans="1:3" x14ac:dyDescent="0.3">
      <c r="A120" s="43">
        <v>45507</v>
      </c>
      <c r="B120" s="42">
        <v>7464.6</v>
      </c>
      <c r="C120" s="46">
        <v>1.295099725340312</v>
      </c>
    </row>
    <row r="121" spans="1:3" x14ac:dyDescent="0.3">
      <c r="A121" s="43">
        <v>45508</v>
      </c>
      <c r="B121" s="42">
        <v>19751.899999999998</v>
      </c>
      <c r="C121" s="46">
        <v>0.94672033304989045</v>
      </c>
    </row>
    <row r="122" spans="1:3" x14ac:dyDescent="0.3">
      <c r="A122" s="43">
        <v>45509</v>
      </c>
      <c r="B122" s="42">
        <v>14106.81</v>
      </c>
      <c r="C122" s="46">
        <v>1.1494709895543445</v>
      </c>
    </row>
    <row r="123" spans="1:3" x14ac:dyDescent="0.3">
      <c r="A123" s="43">
        <v>45510</v>
      </c>
      <c r="B123" s="42">
        <v>16167.68</v>
      </c>
      <c r="C123" s="46">
        <v>0.60618600345338558</v>
      </c>
    </row>
    <row r="124" spans="1:3" x14ac:dyDescent="0.3">
      <c r="A124" s="43">
        <v>45511</v>
      </c>
      <c r="B124" s="42">
        <v>12588.24</v>
      </c>
      <c r="C124" s="46">
        <v>1.1222998672791016</v>
      </c>
    </row>
    <row r="125" spans="1:3" x14ac:dyDescent="0.3">
      <c r="A125" s="43">
        <v>45512</v>
      </c>
      <c r="B125" s="42">
        <v>37934.04</v>
      </c>
      <c r="C125" s="46">
        <v>1.2891541230894032</v>
      </c>
    </row>
    <row r="126" spans="1:3" x14ac:dyDescent="0.3">
      <c r="A126" s="43">
        <v>45513</v>
      </c>
      <c r="B126" s="42">
        <v>11339.58</v>
      </c>
      <c r="C126" s="46">
        <v>0.61560139883047071</v>
      </c>
    </row>
    <row r="127" spans="1:3" x14ac:dyDescent="0.3">
      <c r="A127" s="43">
        <v>45515</v>
      </c>
      <c r="B127" s="42">
        <v>35804.94</v>
      </c>
      <c r="C127" s="46">
        <v>0.64426251920101263</v>
      </c>
    </row>
    <row r="128" spans="1:3" x14ac:dyDescent="0.3">
      <c r="A128" s="43">
        <v>45517</v>
      </c>
      <c r="B128" s="42">
        <v>53261</v>
      </c>
      <c r="C128" s="46">
        <v>1.0885099794111019</v>
      </c>
    </row>
    <row r="129" spans="1:3" x14ac:dyDescent="0.3">
      <c r="A129" s="43">
        <v>45518</v>
      </c>
      <c r="B129" s="42">
        <v>24892.75</v>
      </c>
      <c r="C129" s="46">
        <v>1.0986765505996516</v>
      </c>
    </row>
    <row r="130" spans="1:3" x14ac:dyDescent="0.3">
      <c r="A130" s="43">
        <v>45521</v>
      </c>
      <c r="B130" s="42">
        <v>20252</v>
      </c>
      <c r="C130" s="46">
        <v>0.94141192387172257</v>
      </c>
    </row>
    <row r="131" spans="1:3" x14ac:dyDescent="0.3">
      <c r="A131" s="43">
        <v>45523</v>
      </c>
      <c r="B131" s="42">
        <v>10321.200000000001</v>
      </c>
      <c r="C131" s="46">
        <v>1.2534329213670852</v>
      </c>
    </row>
    <row r="132" spans="1:3" x14ac:dyDescent="0.3">
      <c r="A132" s="43">
        <v>45525</v>
      </c>
      <c r="B132" s="42">
        <v>46896.800000000003</v>
      </c>
      <c r="C132" s="46">
        <v>0.90626180333755102</v>
      </c>
    </row>
    <row r="133" spans="1:3" x14ac:dyDescent="0.3">
      <c r="A133" s="43">
        <v>45528</v>
      </c>
      <c r="B133" s="42">
        <v>2772.25</v>
      </c>
      <c r="C133" s="46">
        <v>1.1337978990834567</v>
      </c>
    </row>
    <row r="134" spans="1:3" x14ac:dyDescent="0.3">
      <c r="A134" s="43">
        <v>45529</v>
      </c>
      <c r="B134" s="42">
        <v>16261.56</v>
      </c>
      <c r="C134" s="46">
        <v>0.77341585664882262</v>
      </c>
    </row>
    <row r="135" spans="1:3" x14ac:dyDescent="0.3">
      <c r="A135" s="43">
        <v>45530</v>
      </c>
      <c r="B135" s="42">
        <v>2100.9</v>
      </c>
      <c r="C135" s="46">
        <v>0.77752977077993335</v>
      </c>
    </row>
    <row r="136" spans="1:3" x14ac:dyDescent="0.3">
      <c r="A136" s="43">
        <v>45532</v>
      </c>
      <c r="B136" s="42">
        <v>4234.5600000000004</v>
      </c>
      <c r="C136" s="46">
        <v>1.090911854619717</v>
      </c>
    </row>
    <row r="137" spans="1:3" x14ac:dyDescent="0.3">
      <c r="A137" s="43">
        <v>45533</v>
      </c>
      <c r="B137" s="42">
        <v>2672.2</v>
      </c>
      <c r="C137" s="46">
        <v>0.78589030594960996</v>
      </c>
    </row>
    <row r="138" spans="1:3" x14ac:dyDescent="0.3">
      <c r="A138" s="43">
        <v>45534</v>
      </c>
      <c r="B138" s="42">
        <v>17704.96</v>
      </c>
      <c r="C138" s="46">
        <v>1.145676754756227</v>
      </c>
    </row>
    <row r="139" spans="1:3" x14ac:dyDescent="0.3">
      <c r="A139" s="43">
        <v>45535</v>
      </c>
      <c r="B139" s="42">
        <v>43228.800000000003</v>
      </c>
      <c r="C139" s="46">
        <v>1.2389520972540016</v>
      </c>
    </row>
    <row r="140" spans="1:3" x14ac:dyDescent="0.3">
      <c r="A140" s="43">
        <v>45536</v>
      </c>
      <c r="B140" s="42">
        <v>481.74</v>
      </c>
      <c r="C140" s="46">
        <v>0.78589030594960996</v>
      </c>
    </row>
    <row r="141" spans="1:3" x14ac:dyDescent="0.3">
      <c r="A141" s="43">
        <v>45538</v>
      </c>
      <c r="B141" s="42">
        <v>2717</v>
      </c>
      <c r="C141" s="46">
        <v>0.86552941475057266</v>
      </c>
    </row>
    <row r="142" spans="1:3" x14ac:dyDescent="0.3">
      <c r="A142" s="43">
        <v>45542</v>
      </c>
      <c r="B142" s="42">
        <v>27290.719999999998</v>
      </c>
      <c r="C142" s="46">
        <v>0.80220342933857769</v>
      </c>
    </row>
    <row r="143" spans="1:3" x14ac:dyDescent="0.3">
      <c r="A143" s="43">
        <v>45545</v>
      </c>
      <c r="B143" s="42">
        <v>20889.599999999999</v>
      </c>
      <c r="C143" s="46">
        <v>0.60618600345338558</v>
      </c>
    </row>
    <row r="144" spans="1:3" x14ac:dyDescent="0.3">
      <c r="A144" s="43">
        <v>45546</v>
      </c>
      <c r="B144" s="42">
        <v>14472.64</v>
      </c>
      <c r="C144" s="46">
        <v>0.61492138121778384</v>
      </c>
    </row>
    <row r="145" spans="1:3" x14ac:dyDescent="0.3">
      <c r="A145" s="43">
        <v>45547</v>
      </c>
      <c r="B145" s="42">
        <v>2101.4</v>
      </c>
      <c r="C145" s="46">
        <v>1.145676754756227</v>
      </c>
    </row>
    <row r="146" spans="1:3" x14ac:dyDescent="0.3">
      <c r="A146" s="43">
        <v>45548</v>
      </c>
      <c r="B146" s="42">
        <v>25415.040000000001</v>
      </c>
      <c r="C146" s="46">
        <v>0.94141192387172257</v>
      </c>
    </row>
    <row r="147" spans="1:3" x14ac:dyDescent="0.3">
      <c r="A147" s="43">
        <v>45549</v>
      </c>
      <c r="B147" s="42">
        <v>21844.16</v>
      </c>
      <c r="C147" s="46">
        <v>0.56885985453480381</v>
      </c>
    </row>
    <row r="148" spans="1:3" x14ac:dyDescent="0.3">
      <c r="A148" s="43">
        <v>45550</v>
      </c>
      <c r="B148" s="42">
        <v>24538.57</v>
      </c>
      <c r="C148" s="46">
        <v>0.60544873223965212</v>
      </c>
    </row>
    <row r="149" spans="1:3" x14ac:dyDescent="0.3">
      <c r="A149" s="43">
        <v>45551</v>
      </c>
      <c r="B149" s="42">
        <v>3603.32</v>
      </c>
      <c r="C149" s="46">
        <v>1.0949277529395489</v>
      </c>
    </row>
    <row r="150" spans="1:3" x14ac:dyDescent="0.3">
      <c r="A150" s="43">
        <v>45554</v>
      </c>
      <c r="B150" s="42">
        <v>39252</v>
      </c>
      <c r="C150" s="46">
        <v>1.1257780150233685</v>
      </c>
    </row>
    <row r="151" spans="1:3" x14ac:dyDescent="0.3">
      <c r="A151" s="43">
        <v>45555</v>
      </c>
      <c r="B151" s="42">
        <v>41662.44</v>
      </c>
      <c r="C151" s="46">
        <v>1.2036451337614722</v>
      </c>
    </row>
    <row r="152" spans="1:3" x14ac:dyDescent="0.3">
      <c r="A152" s="43">
        <v>45559</v>
      </c>
      <c r="B152" s="42">
        <v>19463.64</v>
      </c>
      <c r="C152" s="46">
        <v>0.61560139883047071</v>
      </c>
    </row>
    <row r="153" spans="1:3" x14ac:dyDescent="0.3">
      <c r="A153" s="43">
        <v>45560</v>
      </c>
      <c r="B153" s="42">
        <v>81990.959999999992</v>
      </c>
      <c r="C153" s="46">
        <v>0.87926430311617121</v>
      </c>
    </row>
    <row r="154" spans="1:3" x14ac:dyDescent="0.3">
      <c r="A154" s="43">
        <v>45567</v>
      </c>
      <c r="B154" s="42">
        <v>15130</v>
      </c>
      <c r="C154" s="46">
        <v>0.56885985453480381</v>
      </c>
    </row>
    <row r="155" spans="1:3" x14ac:dyDescent="0.3">
      <c r="A155" s="43">
        <v>45568</v>
      </c>
      <c r="B155" s="42">
        <v>20321.68</v>
      </c>
      <c r="C155" s="46">
        <v>0.97988699045257022</v>
      </c>
    </row>
    <row r="156" spans="1:3" x14ac:dyDescent="0.3">
      <c r="A156" s="43">
        <v>45569</v>
      </c>
      <c r="B156" s="42">
        <v>25026.3</v>
      </c>
      <c r="C156" s="46">
        <v>0.64941711876219077</v>
      </c>
    </row>
    <row r="157" spans="1:3" x14ac:dyDescent="0.3">
      <c r="A157" s="43">
        <v>45570</v>
      </c>
      <c r="B157" s="42">
        <v>1686.7</v>
      </c>
      <c r="C157" s="46">
        <v>1.0639254018133246</v>
      </c>
    </row>
    <row r="158" spans="1:3" x14ac:dyDescent="0.3">
      <c r="A158" s="43">
        <v>45572</v>
      </c>
      <c r="B158" s="42">
        <v>25345.35</v>
      </c>
      <c r="C158" s="46">
        <v>0.9301595695537741</v>
      </c>
    </row>
    <row r="159" spans="1:3" x14ac:dyDescent="0.3">
      <c r="A159" s="43">
        <v>45573</v>
      </c>
      <c r="B159" s="42">
        <v>26011.439999999999</v>
      </c>
      <c r="C159" s="46">
        <v>0.60544873223965212</v>
      </c>
    </row>
    <row r="160" spans="1:3" x14ac:dyDescent="0.3">
      <c r="A160" s="43">
        <v>45577</v>
      </c>
      <c r="B160" s="42">
        <v>4199.58</v>
      </c>
      <c r="C160" s="46">
        <v>1.090911854619717</v>
      </c>
    </row>
    <row r="161" spans="1:3" x14ac:dyDescent="0.3">
      <c r="A161" s="43">
        <v>45578</v>
      </c>
      <c r="B161" s="42">
        <v>26677.360000000001</v>
      </c>
      <c r="C161" s="46">
        <v>1.2891541230894032</v>
      </c>
    </row>
    <row r="162" spans="1:3" x14ac:dyDescent="0.3">
      <c r="A162" s="43">
        <v>45579</v>
      </c>
      <c r="B162" s="42">
        <v>32775.300000000003</v>
      </c>
      <c r="C162" s="46">
        <v>1.1652746077890304</v>
      </c>
    </row>
    <row r="163" spans="1:3" x14ac:dyDescent="0.3">
      <c r="A163" s="43">
        <v>45584</v>
      </c>
      <c r="B163" s="42">
        <v>3131.28</v>
      </c>
      <c r="C163" s="46">
        <v>0.79670086147933206</v>
      </c>
    </row>
    <row r="164" spans="1:3" x14ac:dyDescent="0.3">
      <c r="A164" s="43">
        <v>45585</v>
      </c>
      <c r="B164" s="42">
        <v>263.07</v>
      </c>
      <c r="C164" s="46">
        <v>0.48207846470171545</v>
      </c>
    </row>
    <row r="165" spans="1:3" x14ac:dyDescent="0.3">
      <c r="A165" s="43">
        <v>45586</v>
      </c>
      <c r="B165" s="42">
        <v>4252.8</v>
      </c>
      <c r="C165" s="46">
        <v>0.6457720287448665</v>
      </c>
    </row>
    <row r="166" spans="1:3" x14ac:dyDescent="0.3">
      <c r="A166" s="43">
        <v>45588</v>
      </c>
      <c r="B166" s="42">
        <v>28369.620000000003</v>
      </c>
      <c r="C166" s="46">
        <v>1.0344244881918396</v>
      </c>
    </row>
    <row r="167" spans="1:3" x14ac:dyDescent="0.3">
      <c r="A167" s="43">
        <v>45589</v>
      </c>
      <c r="B167" s="42">
        <v>2562.56</v>
      </c>
      <c r="C167" s="46">
        <v>0.63279479180358211</v>
      </c>
    </row>
    <row r="168" spans="1:3" x14ac:dyDescent="0.3">
      <c r="A168" s="43">
        <v>45591</v>
      </c>
      <c r="B168" s="42">
        <v>42948.799999999996</v>
      </c>
      <c r="C168" s="46">
        <v>1.1148909793674122</v>
      </c>
    </row>
    <row r="169" spans="1:3" x14ac:dyDescent="0.3">
      <c r="A169" s="43">
        <v>45592</v>
      </c>
      <c r="B169" s="42">
        <v>5955.06</v>
      </c>
      <c r="C169" s="46">
        <v>1.1058813560956686</v>
      </c>
    </row>
    <row r="170" spans="1:3" x14ac:dyDescent="0.3">
      <c r="A170" s="43">
        <v>45593</v>
      </c>
      <c r="B170" s="42">
        <v>17006.759999999998</v>
      </c>
      <c r="C170" s="46">
        <v>0.66759195015811268</v>
      </c>
    </row>
    <row r="171" spans="1:3" x14ac:dyDescent="0.3">
      <c r="A171" s="43">
        <v>45595</v>
      </c>
      <c r="B171" s="42">
        <v>7651.05</v>
      </c>
      <c r="C171" s="46">
        <v>1.1154053571383626</v>
      </c>
    </row>
    <row r="172" spans="1:3" x14ac:dyDescent="0.3">
      <c r="A172" s="43">
        <v>45597</v>
      </c>
      <c r="B172" s="42">
        <v>34292.69</v>
      </c>
      <c r="C172" s="46">
        <v>1.1347584505108286</v>
      </c>
    </row>
    <row r="173" spans="1:3" x14ac:dyDescent="0.3">
      <c r="A173" s="43">
        <v>45599</v>
      </c>
      <c r="B173" s="42">
        <v>21847.72</v>
      </c>
      <c r="C173" s="46">
        <v>0.82758195764984654</v>
      </c>
    </row>
    <row r="174" spans="1:3" x14ac:dyDescent="0.3">
      <c r="A174" s="43">
        <v>45600</v>
      </c>
      <c r="B174" s="42">
        <v>11715.26</v>
      </c>
      <c r="C174" s="46">
        <v>0.97345319005760556</v>
      </c>
    </row>
    <row r="175" spans="1:3" x14ac:dyDescent="0.3">
      <c r="A175" s="43">
        <v>45601</v>
      </c>
      <c r="B175" s="42">
        <v>18356</v>
      </c>
      <c r="C175" s="46">
        <v>1.295099725340312</v>
      </c>
    </row>
    <row r="176" spans="1:3" x14ac:dyDescent="0.3">
      <c r="A176" s="43">
        <v>45603</v>
      </c>
      <c r="B176" s="42">
        <v>17714.400000000001</v>
      </c>
      <c r="C176" s="46">
        <v>0.94141192387172257</v>
      </c>
    </row>
    <row r="177" spans="1:3" x14ac:dyDescent="0.3">
      <c r="A177" s="43">
        <v>45604</v>
      </c>
      <c r="B177" s="42">
        <v>16027.44</v>
      </c>
      <c r="C177" s="46">
        <v>0.63279479180358211</v>
      </c>
    </row>
    <row r="178" spans="1:3" x14ac:dyDescent="0.3">
      <c r="A178" s="43">
        <v>45605</v>
      </c>
      <c r="B178" s="42">
        <v>7839</v>
      </c>
      <c r="C178" s="46">
        <v>1.1337978990834567</v>
      </c>
    </row>
    <row r="179" spans="1:3" x14ac:dyDescent="0.3">
      <c r="A179" s="43">
        <v>45609</v>
      </c>
      <c r="B179" s="42">
        <v>20387.16</v>
      </c>
      <c r="C179" s="46">
        <v>1.2989564278455152</v>
      </c>
    </row>
    <row r="180" spans="1:3" x14ac:dyDescent="0.3">
      <c r="A180" s="43">
        <v>45610</v>
      </c>
      <c r="B180" s="42">
        <v>5441.04</v>
      </c>
      <c r="C180" s="46">
        <v>1.0173247055455787</v>
      </c>
    </row>
    <row r="181" spans="1:3" x14ac:dyDescent="0.3">
      <c r="A181" s="43">
        <v>45611</v>
      </c>
      <c r="B181" s="42">
        <v>15067.94</v>
      </c>
      <c r="C181" s="46">
        <v>0.70083661344444437</v>
      </c>
    </row>
    <row r="182" spans="1:3" x14ac:dyDescent="0.3">
      <c r="A182" s="43">
        <v>45614</v>
      </c>
      <c r="B182" s="42">
        <v>45214.740000000005</v>
      </c>
      <c r="C182" s="46">
        <v>0.64426251920101263</v>
      </c>
    </row>
    <row r="183" spans="1:3" x14ac:dyDescent="0.3">
      <c r="A183" s="43">
        <v>45616</v>
      </c>
      <c r="B183" s="42">
        <v>831.6</v>
      </c>
      <c r="C183" s="46">
        <v>1.1299122280728893</v>
      </c>
    </row>
    <row r="184" spans="1:3" x14ac:dyDescent="0.3">
      <c r="A184" s="43">
        <v>45617</v>
      </c>
      <c r="B184" s="42">
        <v>18316.48</v>
      </c>
      <c r="C184" s="46">
        <v>1.0949277529395489</v>
      </c>
    </row>
    <row r="185" spans="1:3" x14ac:dyDescent="0.3">
      <c r="A185" s="43">
        <v>45620</v>
      </c>
      <c r="B185" s="42">
        <v>16158.9</v>
      </c>
      <c r="C185" s="46">
        <v>0.85939497595865577</v>
      </c>
    </row>
    <row r="186" spans="1:3" x14ac:dyDescent="0.3">
      <c r="A186" s="43">
        <v>45621</v>
      </c>
      <c r="B186" s="42">
        <v>3703.6</v>
      </c>
      <c r="C186" s="46">
        <v>0.77752977077993335</v>
      </c>
    </row>
    <row r="187" spans="1:3" x14ac:dyDescent="0.3">
      <c r="A187" s="43">
        <v>45622</v>
      </c>
      <c r="B187" s="42">
        <v>6066.45</v>
      </c>
      <c r="C187" s="46">
        <v>1.1811215005383602</v>
      </c>
    </row>
    <row r="188" spans="1:3" x14ac:dyDescent="0.3">
      <c r="A188" s="43">
        <v>45625</v>
      </c>
      <c r="B188" s="42">
        <v>34195.42</v>
      </c>
      <c r="C188" s="46">
        <v>1.2209702454311253</v>
      </c>
    </row>
    <row r="189" spans="1:3" x14ac:dyDescent="0.3">
      <c r="A189" s="43">
        <v>45628</v>
      </c>
      <c r="B189" s="42">
        <v>13350.61</v>
      </c>
      <c r="C189" s="46">
        <v>1.1811215005383602</v>
      </c>
    </row>
    <row r="190" spans="1:3" x14ac:dyDescent="0.3">
      <c r="A190" s="43">
        <v>45629</v>
      </c>
      <c r="B190" s="42">
        <v>52926.9</v>
      </c>
      <c r="C190" s="46">
        <v>1.193724931184349</v>
      </c>
    </row>
    <row r="191" spans="1:3" x14ac:dyDescent="0.3">
      <c r="A191" s="43">
        <v>45631</v>
      </c>
      <c r="B191" s="42">
        <v>23097.200000000001</v>
      </c>
      <c r="C191" s="46">
        <v>0.85150348280042754</v>
      </c>
    </row>
    <row r="192" spans="1:3" x14ac:dyDescent="0.3">
      <c r="A192" s="43">
        <v>45632</v>
      </c>
      <c r="B192" s="42">
        <v>34432.259999999995</v>
      </c>
      <c r="C192" s="46">
        <v>1.085005769896217</v>
      </c>
    </row>
    <row r="193" spans="1:3" x14ac:dyDescent="0.3">
      <c r="A193" s="43">
        <v>45633</v>
      </c>
      <c r="B193" s="42">
        <v>30213</v>
      </c>
      <c r="C193" s="46">
        <v>0.9301595695537741</v>
      </c>
    </row>
    <row r="194" spans="1:3" x14ac:dyDescent="0.3">
      <c r="A194" s="43">
        <v>45634</v>
      </c>
      <c r="B194" s="42">
        <v>7181.1</v>
      </c>
      <c r="C194" s="46">
        <v>1.0639254018133246</v>
      </c>
    </row>
    <row r="195" spans="1:3" x14ac:dyDescent="0.3">
      <c r="A195" s="43">
        <v>45637</v>
      </c>
      <c r="B195" s="42">
        <v>999.6</v>
      </c>
      <c r="C195" s="46">
        <v>1.2471330688462265</v>
      </c>
    </row>
    <row r="196" spans="1:3" x14ac:dyDescent="0.3">
      <c r="A196" s="43">
        <v>45638</v>
      </c>
      <c r="B196" s="42">
        <v>52630.500000000007</v>
      </c>
      <c r="C196" s="46">
        <v>0.98145876934273502</v>
      </c>
    </row>
    <row r="197" spans="1:3" x14ac:dyDescent="0.3">
      <c r="A197" s="43">
        <v>45639</v>
      </c>
      <c r="B197" s="42">
        <v>9036.2800000000007</v>
      </c>
      <c r="C197" s="46">
        <v>0.72164794563579959</v>
      </c>
    </row>
    <row r="198" spans="1:3" x14ac:dyDescent="0.3">
      <c r="A198" s="43">
        <v>45640</v>
      </c>
      <c r="B198" s="42">
        <v>27913.019999999997</v>
      </c>
      <c r="C198" s="46">
        <v>0.73749307392348129</v>
      </c>
    </row>
    <row r="199" spans="1:3" x14ac:dyDescent="0.3">
      <c r="A199" s="43">
        <v>45644</v>
      </c>
      <c r="B199" s="42">
        <v>35712.18</v>
      </c>
      <c r="C199" s="46">
        <v>1.1010346879707416</v>
      </c>
    </row>
    <row r="200" spans="1:3" x14ac:dyDescent="0.3">
      <c r="A200" s="43">
        <v>45645</v>
      </c>
      <c r="B200" s="42">
        <v>52633.259999999995</v>
      </c>
      <c r="C200" s="46">
        <v>0.99282109774476801</v>
      </c>
    </row>
    <row r="201" spans="1:3" x14ac:dyDescent="0.3">
      <c r="A201" s="43">
        <v>45646</v>
      </c>
      <c r="B201" s="42">
        <v>14894.04</v>
      </c>
      <c r="C201" s="46">
        <v>1.0949277529395489</v>
      </c>
    </row>
    <row r="202" spans="1:3" x14ac:dyDescent="0.3">
      <c r="A202" s="43">
        <v>45649</v>
      </c>
      <c r="B202" s="42">
        <v>69725.179999999993</v>
      </c>
      <c r="C202" s="46">
        <v>1.2040623884253061</v>
      </c>
    </row>
    <row r="203" spans="1:3" x14ac:dyDescent="0.3">
      <c r="A203" s="43">
        <v>45650</v>
      </c>
      <c r="B203" s="42">
        <v>3425.76</v>
      </c>
      <c r="C203" s="46">
        <v>1.1299122280728893</v>
      </c>
    </row>
    <row r="204" spans="1:3" x14ac:dyDescent="0.3">
      <c r="A204" s="43">
        <v>45651</v>
      </c>
      <c r="B204" s="42">
        <v>8004</v>
      </c>
      <c r="C204" s="46">
        <v>1.0442690319901731</v>
      </c>
    </row>
    <row r="205" spans="1:3" x14ac:dyDescent="0.3">
      <c r="A205" s="43">
        <v>45653</v>
      </c>
      <c r="B205" s="42">
        <v>9906</v>
      </c>
      <c r="C205" s="46">
        <v>1.1222998672791016</v>
      </c>
    </row>
    <row r="206" spans="1:3" x14ac:dyDescent="0.3">
      <c r="A206" s="43">
        <v>45654</v>
      </c>
      <c r="B206" s="42">
        <v>2351.44</v>
      </c>
      <c r="C206" s="46">
        <v>1.145676754756227</v>
      </c>
    </row>
    <row r="207" spans="1:3" x14ac:dyDescent="0.3">
      <c r="A207" s="43">
        <v>45656</v>
      </c>
      <c r="B207" s="42">
        <v>7160.36</v>
      </c>
      <c r="C207" s="46">
        <v>0.66759195015811268</v>
      </c>
    </row>
    <row r="208" spans="1:3" x14ac:dyDescent="0.3">
      <c r="A208" s="43" t="s">
        <v>3032</v>
      </c>
      <c r="B208" s="44">
        <v>3905749.6699999981</v>
      </c>
      <c r="C208" s="4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P2001"/>
  <sheetViews>
    <sheetView workbookViewId="0">
      <pane ySplit="1" topLeftCell="A2" activePane="bottomLeft" state="frozen"/>
      <selection pane="bottomLeft" sqref="A1:P2001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6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39" t="s">
        <v>3026</v>
      </c>
      <c r="M1" s="39" t="s">
        <v>3027</v>
      </c>
      <c r="N1" s="39" t="s">
        <v>3028</v>
      </c>
      <c r="O1" s="39" t="s">
        <v>3029</v>
      </c>
      <c r="P1" s="39" t="s">
        <v>3030</v>
      </c>
    </row>
    <row r="2" spans="1:16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PROPER(TRIM(K2))</f>
        <v>Pune</v>
      </c>
      <c r="M2" t="str">
        <f>_xlfn.XLOOKUP(D2, Products!A:A, Products!C:C)</f>
        <v>Apparel</v>
      </c>
      <c r="N2" t="str">
        <f>_xlfn.XLOOKUP(E2, Sales_Reps!A:A, Sales_Reps!C:C)</f>
        <v>North</v>
      </c>
      <c r="O2">
        <f>_xlfn.XLOOKUP(D2, Products!A:A, Products!D:D)</f>
        <v>2509</v>
      </c>
      <c r="P2">
        <f>_xlfn.XLOOKUP(D2, Products!A:A, Products!E:E)</f>
        <v>3620</v>
      </c>
    </row>
    <row r="3" spans="1:16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 t="shared" ref="L3:L66" si="0">PROPER(TRIM(K3))</f>
        <v>Chennai</v>
      </c>
      <c r="M3" t="str">
        <f>_xlfn.XLOOKUP(D3, Products!A:A, Products!C:C)</f>
        <v>Apparel</v>
      </c>
      <c r="N3" t="str">
        <f>_xlfn.XLOOKUP(E3, Sales_Reps!A:A, Sales_Reps!C:C)</f>
        <v>North</v>
      </c>
      <c r="O3">
        <f>_xlfn.XLOOKUP(D3, Products!A:A, Products!D:D)</f>
        <v>391</v>
      </c>
      <c r="P3">
        <f>_xlfn.XLOOKUP(D3, Products!A:A, Products!E:E)</f>
        <v>820</v>
      </c>
    </row>
    <row r="4" spans="1:16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 t="shared" si="0"/>
        <v>Delhi</v>
      </c>
      <c r="M4" t="str">
        <f>_xlfn.XLOOKUP(D4, Products!A:A, Products!C:C)</f>
        <v>Sports</v>
      </c>
      <c r="N4" t="str">
        <f>_xlfn.XLOOKUP(E4, Sales_Reps!A:A, Sales_Reps!C:C)</f>
        <v>South</v>
      </c>
      <c r="O4">
        <f>_xlfn.XLOOKUP(D4, Products!A:A, Products!D:D)</f>
        <v>302</v>
      </c>
      <c r="P4">
        <f>_xlfn.XLOOKUP(D4, Products!A:A, Products!E:E)</f>
        <v>470</v>
      </c>
    </row>
    <row r="5" spans="1:16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 t="shared" si="0"/>
        <v>Delhi</v>
      </c>
      <c r="M5" t="str">
        <f>_xlfn.XLOOKUP(D5, Products!A:A, Products!C:C)</f>
        <v>Grocery</v>
      </c>
      <c r="N5" t="str">
        <f>_xlfn.XLOOKUP(E5, Sales_Reps!A:A, Sales_Reps!C:C)</f>
        <v>North</v>
      </c>
      <c r="O5">
        <f>_xlfn.XLOOKUP(D5, Products!A:A, Products!D:D)</f>
        <v>2214</v>
      </c>
      <c r="P5">
        <f>_xlfn.XLOOKUP(D5, Products!A:A, Products!E:E)</f>
        <v>3660</v>
      </c>
    </row>
    <row r="6" spans="1:16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 t="shared" si="0"/>
        <v>Chennai</v>
      </c>
      <c r="M6" t="str">
        <f>_xlfn.XLOOKUP(D6, Products!A:A, Products!C:C)</f>
        <v>Apparel</v>
      </c>
      <c r="N6" t="str">
        <f>_xlfn.XLOOKUP(E6, Sales_Reps!A:A, Sales_Reps!C:C)</f>
        <v>North</v>
      </c>
      <c r="O6">
        <f>_xlfn.XLOOKUP(D6, Products!A:A, Products!D:D)</f>
        <v>1886</v>
      </c>
      <c r="P6">
        <f>_xlfn.XLOOKUP(D6, Products!A:A, Products!E:E)</f>
        <v>3160</v>
      </c>
    </row>
    <row r="7" spans="1:16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 t="shared" si="0"/>
        <v>Mumbai</v>
      </c>
      <c r="M7" t="str">
        <f>_xlfn.XLOOKUP(D7, Products!A:A, Products!C:C)</f>
        <v>Home</v>
      </c>
      <c r="N7" t="str">
        <f>_xlfn.XLOOKUP(E7, Sales_Reps!A:A, Sales_Reps!C:C)</f>
        <v>West</v>
      </c>
      <c r="O7">
        <f>_xlfn.XLOOKUP(D7, Products!A:A, Products!D:D)</f>
        <v>288</v>
      </c>
      <c r="P7">
        <f>_xlfn.XLOOKUP(D7, Products!A:A, Products!E:E)</f>
        <v>370</v>
      </c>
    </row>
    <row r="8" spans="1:16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 t="shared" si="0"/>
        <v>Bengaluru</v>
      </c>
      <c r="M8" t="str">
        <f>_xlfn.XLOOKUP(D8, Products!A:A, Products!C:C)</f>
        <v>Sports</v>
      </c>
      <c r="N8" t="str">
        <f>_xlfn.XLOOKUP(E8, Sales_Reps!A:A, Sales_Reps!C:C)</f>
        <v>West</v>
      </c>
      <c r="O8">
        <f>_xlfn.XLOOKUP(D8, Products!A:A, Products!D:D)</f>
        <v>705</v>
      </c>
      <c r="P8">
        <f>_xlfn.XLOOKUP(D8, Products!A:A, Products!E:E)</f>
        <v>960</v>
      </c>
    </row>
    <row r="9" spans="1:16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 t="shared" si="0"/>
        <v>Bengaluru</v>
      </c>
      <c r="M9" t="str">
        <f>_xlfn.XLOOKUP(D9, Products!A:A, Products!C:C)</f>
        <v>Electronics</v>
      </c>
      <c r="N9" t="str">
        <f>_xlfn.XLOOKUP(E9, Sales_Reps!A:A, Sales_Reps!C:C)</f>
        <v>East</v>
      </c>
      <c r="O9">
        <f>_xlfn.XLOOKUP(D9, Products!A:A, Products!D:D)</f>
        <v>861</v>
      </c>
      <c r="P9">
        <f>_xlfn.XLOOKUP(D9, Products!A:A, Products!E:E)</f>
        <v>1430</v>
      </c>
    </row>
    <row r="10" spans="1:16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 t="shared" si="0"/>
        <v>Bengaluru</v>
      </c>
      <c r="M10" t="str">
        <f>_xlfn.XLOOKUP(D10, Products!A:A, Products!C:C)</f>
        <v>Home</v>
      </c>
      <c r="N10" t="str">
        <f>_xlfn.XLOOKUP(E10, Sales_Reps!A:A, Sales_Reps!C:C)</f>
        <v>North</v>
      </c>
      <c r="O10">
        <f>_xlfn.XLOOKUP(D10, Products!A:A, Products!D:D)</f>
        <v>2549</v>
      </c>
      <c r="P10">
        <f>_xlfn.XLOOKUP(D10, Products!A:A, Products!E:E)</f>
        <v>5490</v>
      </c>
    </row>
    <row r="11" spans="1:16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 t="shared" si="0"/>
        <v>Pune</v>
      </c>
      <c r="M11" t="str">
        <f>_xlfn.XLOOKUP(D11, Products!A:A, Products!C:C)</f>
        <v>Grocery</v>
      </c>
      <c r="N11" t="str">
        <f>_xlfn.XLOOKUP(E11, Sales_Reps!A:A, Sales_Reps!C:C)</f>
        <v>West</v>
      </c>
      <c r="O11">
        <f>_xlfn.XLOOKUP(D11, Products!A:A, Products!D:D)</f>
        <v>434</v>
      </c>
      <c r="P11">
        <f>_xlfn.XLOOKUP(D11, Products!A:A, Products!E:E)</f>
        <v>970</v>
      </c>
    </row>
    <row r="12" spans="1:16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 t="shared" si="0"/>
        <v>Hyderabad</v>
      </c>
      <c r="M12" t="str">
        <f>_xlfn.XLOOKUP(D12, Products!A:A, Products!C:C)</f>
        <v>Grocery</v>
      </c>
      <c r="N12" t="str">
        <f>_xlfn.XLOOKUP(E12, Sales_Reps!A:A, Sales_Reps!C:C)</f>
        <v>South</v>
      </c>
      <c r="O12">
        <f>_xlfn.XLOOKUP(D12, Products!A:A, Products!D:D)</f>
        <v>1203</v>
      </c>
      <c r="P12">
        <f>_xlfn.XLOOKUP(D12, Products!A:A, Products!E:E)</f>
        <v>2270</v>
      </c>
    </row>
    <row r="13" spans="1:16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 t="shared" si="0"/>
        <v>Pune</v>
      </c>
      <c r="M13" t="str">
        <f>_xlfn.XLOOKUP(D13, Products!A:A, Products!C:C)</f>
        <v>Electronics</v>
      </c>
      <c r="N13" t="str">
        <f>_xlfn.XLOOKUP(E13, Sales_Reps!A:A, Sales_Reps!C:C)</f>
        <v>West</v>
      </c>
      <c r="O13">
        <f>_xlfn.XLOOKUP(D13, Products!A:A, Products!D:D)</f>
        <v>1149</v>
      </c>
      <c r="P13">
        <f>_xlfn.XLOOKUP(D13, Products!A:A, Products!E:E)</f>
        <v>2640</v>
      </c>
    </row>
    <row r="14" spans="1:16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 t="shared" si="0"/>
        <v>Delhi</v>
      </c>
      <c r="M14" t="str">
        <f>_xlfn.XLOOKUP(D14, Products!A:A, Products!C:C)</f>
        <v>Electronics</v>
      </c>
      <c r="N14" t="str">
        <f>_xlfn.XLOOKUP(E14, Sales_Reps!A:A, Sales_Reps!C:C)</f>
        <v>North</v>
      </c>
      <c r="O14">
        <f>_xlfn.XLOOKUP(D14, Products!A:A, Products!D:D)</f>
        <v>1052</v>
      </c>
      <c r="P14">
        <f>_xlfn.XLOOKUP(D14, Products!A:A, Products!E:E)</f>
        <v>2600</v>
      </c>
    </row>
    <row r="15" spans="1:16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 t="shared" si="0"/>
        <v>Pune</v>
      </c>
      <c r="M15" t="str">
        <f>_xlfn.XLOOKUP(D15, Products!A:A, Products!C:C)</f>
        <v>Home</v>
      </c>
      <c r="N15" t="str">
        <f>_xlfn.XLOOKUP(E15, Sales_Reps!A:A, Sales_Reps!C:C)</f>
        <v>West</v>
      </c>
      <c r="O15">
        <f>_xlfn.XLOOKUP(D15, Products!A:A, Products!D:D)</f>
        <v>1556</v>
      </c>
      <c r="P15">
        <f>_xlfn.XLOOKUP(D15, Products!A:A, Products!E:E)</f>
        <v>3250</v>
      </c>
    </row>
    <row r="16" spans="1:16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 t="shared" si="0"/>
        <v>Pune</v>
      </c>
      <c r="M16" t="str">
        <f>_xlfn.XLOOKUP(D16, Products!A:A, Products!C:C)</f>
        <v>Sports</v>
      </c>
      <c r="N16" t="str">
        <f>_xlfn.XLOOKUP(E16, Sales_Reps!A:A, Sales_Reps!C:C)</f>
        <v>North</v>
      </c>
      <c r="O16">
        <f>_xlfn.XLOOKUP(D16, Products!A:A, Products!D:D)</f>
        <v>147</v>
      </c>
      <c r="P16">
        <f>_xlfn.XLOOKUP(D16, Products!A:A, Products!E:E)</f>
        <v>190</v>
      </c>
    </row>
    <row r="17" spans="1:16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 t="shared" si="0"/>
        <v>Pune</v>
      </c>
      <c r="M17" t="str">
        <f>_xlfn.XLOOKUP(D17, Products!A:A, Products!C:C)</f>
        <v>Sports</v>
      </c>
      <c r="N17" t="str">
        <f>_xlfn.XLOOKUP(E17, Sales_Reps!A:A, Sales_Reps!C:C)</f>
        <v>South</v>
      </c>
      <c r="O17">
        <f>_xlfn.XLOOKUP(D17, Products!A:A, Products!D:D)</f>
        <v>974</v>
      </c>
      <c r="P17">
        <f>_xlfn.XLOOKUP(D17, Products!A:A, Products!E:E)</f>
        <v>2400</v>
      </c>
    </row>
    <row r="18" spans="1:16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 t="shared" si="0"/>
        <v>Bengaluru</v>
      </c>
      <c r="M18" t="str">
        <f>_xlfn.XLOOKUP(D18, Products!A:A, Products!C:C)</f>
        <v>Grocery</v>
      </c>
      <c r="N18" t="str">
        <f>_xlfn.XLOOKUP(E18, Sales_Reps!A:A, Sales_Reps!C:C)</f>
        <v>East</v>
      </c>
      <c r="O18">
        <f>_xlfn.XLOOKUP(D18, Products!A:A, Products!D:D)</f>
        <v>2214</v>
      </c>
      <c r="P18">
        <f>_xlfn.XLOOKUP(D18, Products!A:A, Products!E:E)</f>
        <v>3660</v>
      </c>
    </row>
    <row r="19" spans="1:16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 t="shared" si="0"/>
        <v>Hyderabad</v>
      </c>
      <c r="M19" t="str">
        <f>_xlfn.XLOOKUP(D19, Products!A:A, Products!C:C)</f>
        <v>Beauty</v>
      </c>
      <c r="N19" t="str">
        <f>_xlfn.XLOOKUP(E19, Sales_Reps!A:A, Sales_Reps!C:C)</f>
        <v>East</v>
      </c>
      <c r="O19">
        <f>_xlfn.XLOOKUP(D19, Products!A:A, Products!D:D)</f>
        <v>2420</v>
      </c>
      <c r="P19">
        <f>_xlfn.XLOOKUP(D19, Products!A:A, Products!E:E)</f>
        <v>3450</v>
      </c>
    </row>
    <row r="20" spans="1:16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 t="shared" si="0"/>
        <v>Mumbai</v>
      </c>
      <c r="M20" t="str">
        <f>_xlfn.XLOOKUP(D20, Products!A:A, Products!C:C)</f>
        <v>Sports</v>
      </c>
      <c r="N20" t="str">
        <f>_xlfn.XLOOKUP(E20, Sales_Reps!A:A, Sales_Reps!C:C)</f>
        <v>East</v>
      </c>
      <c r="O20">
        <f>_xlfn.XLOOKUP(D20, Products!A:A, Products!D:D)</f>
        <v>2467</v>
      </c>
      <c r="P20">
        <f>_xlfn.XLOOKUP(D20, Products!A:A, Products!E:E)</f>
        <v>3450</v>
      </c>
    </row>
    <row r="21" spans="1:16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 t="shared" si="0"/>
        <v>Chennai</v>
      </c>
      <c r="M21" t="str">
        <f>_xlfn.XLOOKUP(D21, Products!A:A, Products!C:C)</f>
        <v>Home</v>
      </c>
      <c r="N21" t="str">
        <f>_xlfn.XLOOKUP(E21, Sales_Reps!A:A, Sales_Reps!C:C)</f>
        <v>East</v>
      </c>
      <c r="O21">
        <f>_xlfn.XLOOKUP(D21, Products!A:A, Products!D:D)</f>
        <v>519</v>
      </c>
      <c r="P21">
        <f>_xlfn.XLOOKUP(D21, Products!A:A, Products!E:E)</f>
        <v>1080</v>
      </c>
    </row>
    <row r="22" spans="1:16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 t="shared" si="0"/>
        <v>Hyderabad</v>
      </c>
      <c r="M22" t="str">
        <f>_xlfn.XLOOKUP(D22, Products!A:A, Products!C:C)</f>
        <v>Apparel</v>
      </c>
      <c r="N22" t="str">
        <f>_xlfn.XLOOKUP(E22, Sales_Reps!A:A, Sales_Reps!C:C)</f>
        <v>North</v>
      </c>
      <c r="O22">
        <f>_xlfn.XLOOKUP(D22, Products!A:A, Products!D:D)</f>
        <v>1173</v>
      </c>
      <c r="P22">
        <f>_xlfn.XLOOKUP(D22, Products!A:A, Products!E:E)</f>
        <v>2480</v>
      </c>
    </row>
    <row r="23" spans="1:16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 t="shared" si="0"/>
        <v>Mumbai</v>
      </c>
      <c r="M23" t="str">
        <f>_xlfn.XLOOKUP(D23, Products!A:A, Products!C:C)</f>
        <v>Home</v>
      </c>
      <c r="N23" t="str">
        <f>_xlfn.XLOOKUP(E23, Sales_Reps!A:A, Sales_Reps!C:C)</f>
        <v>West</v>
      </c>
      <c r="O23">
        <f>_xlfn.XLOOKUP(D23, Products!A:A, Products!D:D)</f>
        <v>1556</v>
      </c>
      <c r="P23">
        <f>_xlfn.XLOOKUP(D23, Products!A:A, Products!E:E)</f>
        <v>3250</v>
      </c>
    </row>
    <row r="24" spans="1:16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 t="shared" si="0"/>
        <v>Pune</v>
      </c>
      <c r="M24" t="str">
        <f>_xlfn.XLOOKUP(D24, Products!A:A, Products!C:C)</f>
        <v>Apparel</v>
      </c>
      <c r="N24" t="str">
        <f>_xlfn.XLOOKUP(E24, Sales_Reps!A:A, Sales_Reps!C:C)</f>
        <v>West</v>
      </c>
      <c r="O24">
        <f>_xlfn.XLOOKUP(D24, Products!A:A, Products!D:D)</f>
        <v>1962</v>
      </c>
      <c r="P24">
        <f>_xlfn.XLOOKUP(D24, Products!A:A, Products!E:E)</f>
        <v>2720</v>
      </c>
    </row>
    <row r="25" spans="1:16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 t="shared" si="0"/>
        <v>Hyderabad</v>
      </c>
      <c r="M25" t="str">
        <f>_xlfn.XLOOKUP(D25, Products!A:A, Products!C:C)</f>
        <v>Beauty</v>
      </c>
      <c r="N25" t="str">
        <f>_xlfn.XLOOKUP(E25, Sales_Reps!A:A, Sales_Reps!C:C)</f>
        <v>North</v>
      </c>
      <c r="O25">
        <f>_xlfn.XLOOKUP(D25, Products!A:A, Products!D:D)</f>
        <v>1222</v>
      </c>
      <c r="P25">
        <f>_xlfn.XLOOKUP(D25, Products!A:A, Products!E:E)</f>
        <v>1650</v>
      </c>
    </row>
    <row r="26" spans="1:16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 t="shared" si="0"/>
        <v>Chennai</v>
      </c>
      <c r="M26" t="str">
        <f>_xlfn.XLOOKUP(D26, Products!A:A, Products!C:C)</f>
        <v>Beauty</v>
      </c>
      <c r="N26" t="str">
        <f>_xlfn.XLOOKUP(E26, Sales_Reps!A:A, Sales_Reps!C:C)</f>
        <v>East</v>
      </c>
      <c r="O26">
        <f>_xlfn.XLOOKUP(D26, Products!A:A, Products!D:D)</f>
        <v>1728</v>
      </c>
      <c r="P26">
        <f>_xlfn.XLOOKUP(D26, Products!A:A, Products!E:E)</f>
        <v>3350</v>
      </c>
    </row>
    <row r="27" spans="1:16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 t="shared" si="0"/>
        <v>Delhi</v>
      </c>
      <c r="M27" t="str">
        <f>_xlfn.XLOOKUP(D27, Products!A:A, Products!C:C)</f>
        <v>Sports</v>
      </c>
      <c r="N27" t="str">
        <f>_xlfn.XLOOKUP(E27, Sales_Reps!A:A, Sales_Reps!C:C)</f>
        <v>East</v>
      </c>
      <c r="O27">
        <f>_xlfn.XLOOKUP(D27, Products!A:A, Products!D:D)</f>
        <v>516</v>
      </c>
      <c r="P27">
        <f>_xlfn.XLOOKUP(D27, Products!A:A, Products!E:E)</f>
        <v>1010</v>
      </c>
    </row>
    <row r="28" spans="1:16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 t="shared" si="0"/>
        <v>Delhi</v>
      </c>
      <c r="M28" t="str">
        <f>_xlfn.XLOOKUP(D28, Products!A:A, Products!C:C)</f>
        <v>Beauty</v>
      </c>
      <c r="N28" t="str">
        <f>_xlfn.XLOOKUP(E28, Sales_Reps!A:A, Sales_Reps!C:C)</f>
        <v>North</v>
      </c>
      <c r="O28">
        <f>_xlfn.XLOOKUP(D28, Products!A:A, Products!D:D)</f>
        <v>2768</v>
      </c>
      <c r="P28">
        <f>_xlfn.XLOOKUP(D28, Products!A:A, Products!E:E)</f>
        <v>4880</v>
      </c>
    </row>
    <row r="29" spans="1:16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 t="shared" si="0"/>
        <v>Chennai</v>
      </c>
      <c r="M29" t="str">
        <f>_xlfn.XLOOKUP(D29, Products!A:A, Products!C:C)</f>
        <v>Electronics</v>
      </c>
      <c r="N29" t="str">
        <f>_xlfn.XLOOKUP(E29, Sales_Reps!A:A, Sales_Reps!C:C)</f>
        <v>South</v>
      </c>
      <c r="O29">
        <f>_xlfn.XLOOKUP(D29, Products!A:A, Products!D:D)</f>
        <v>1665</v>
      </c>
      <c r="P29">
        <f>_xlfn.XLOOKUP(D29, Products!A:A, Products!E:E)</f>
        <v>3570</v>
      </c>
    </row>
    <row r="30" spans="1:16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 t="shared" si="0"/>
        <v>Hyderabad</v>
      </c>
      <c r="M30" t="str">
        <f>_xlfn.XLOOKUP(D30, Products!A:A, Products!C:C)</f>
        <v>Beauty</v>
      </c>
      <c r="N30" t="str">
        <f>_xlfn.XLOOKUP(E30, Sales_Reps!A:A, Sales_Reps!C:C)</f>
        <v>East</v>
      </c>
      <c r="O30">
        <f>_xlfn.XLOOKUP(D30, Products!A:A, Products!D:D)</f>
        <v>2237</v>
      </c>
      <c r="P30">
        <f>_xlfn.XLOOKUP(D30, Products!A:A, Products!E:E)</f>
        <v>5100</v>
      </c>
    </row>
    <row r="31" spans="1:16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 t="shared" si="0"/>
        <v>Pune</v>
      </c>
      <c r="M31" t="str">
        <f>_xlfn.XLOOKUP(D31, Products!A:A, Products!C:C)</f>
        <v>Sports</v>
      </c>
      <c r="N31" t="str">
        <f>_xlfn.XLOOKUP(E31, Sales_Reps!A:A, Sales_Reps!C:C)</f>
        <v>North</v>
      </c>
      <c r="O31">
        <f>_xlfn.XLOOKUP(D31, Products!A:A, Products!D:D)</f>
        <v>2028</v>
      </c>
      <c r="P31">
        <f>_xlfn.XLOOKUP(D31, Products!A:A, Products!E:E)</f>
        <v>2860</v>
      </c>
    </row>
    <row r="32" spans="1:16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 t="shared" si="0"/>
        <v>Pune</v>
      </c>
      <c r="M32" t="str">
        <f>_xlfn.XLOOKUP(D32, Products!A:A, Products!C:C)</f>
        <v>Grocery</v>
      </c>
      <c r="N32" t="str">
        <f>_xlfn.XLOOKUP(E32, Sales_Reps!A:A, Sales_Reps!C:C)</f>
        <v>North</v>
      </c>
      <c r="O32">
        <f>_xlfn.XLOOKUP(D32, Products!A:A, Products!D:D)</f>
        <v>434</v>
      </c>
      <c r="P32">
        <f>_xlfn.XLOOKUP(D32, Products!A:A, Products!E:E)</f>
        <v>970</v>
      </c>
    </row>
    <row r="33" spans="1:16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 t="shared" si="0"/>
        <v>Hyderabad</v>
      </c>
      <c r="M33" t="str">
        <f>_xlfn.XLOOKUP(D33, Products!A:A, Products!C:C)</f>
        <v>Grocery</v>
      </c>
      <c r="N33" t="str">
        <f>_xlfn.XLOOKUP(E33, Sales_Reps!A:A, Sales_Reps!C:C)</f>
        <v>West</v>
      </c>
      <c r="O33">
        <f>_xlfn.XLOOKUP(D33, Products!A:A, Products!D:D)</f>
        <v>1435</v>
      </c>
      <c r="P33">
        <f>_xlfn.XLOOKUP(D33, Products!A:A, Products!E:E)</f>
        <v>2760</v>
      </c>
    </row>
    <row r="34" spans="1:16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 t="shared" si="0"/>
        <v>Hyderabad</v>
      </c>
      <c r="M34" t="str">
        <f>_xlfn.XLOOKUP(D34, Products!A:A, Products!C:C)</f>
        <v>Home</v>
      </c>
      <c r="N34" t="str">
        <f>_xlfn.XLOOKUP(E34, Sales_Reps!A:A, Sales_Reps!C:C)</f>
        <v>South</v>
      </c>
      <c r="O34">
        <f>_xlfn.XLOOKUP(D34, Products!A:A, Products!D:D)</f>
        <v>329</v>
      </c>
      <c r="P34">
        <f>_xlfn.XLOOKUP(D34, Products!A:A, Products!E:E)</f>
        <v>660</v>
      </c>
    </row>
    <row r="35" spans="1:16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 t="shared" si="0"/>
        <v>Hyderabad</v>
      </c>
      <c r="M35" t="str">
        <f>_xlfn.XLOOKUP(D35, Products!A:A, Products!C:C)</f>
        <v>Home</v>
      </c>
      <c r="N35" t="str">
        <f>_xlfn.XLOOKUP(E35, Sales_Reps!A:A, Sales_Reps!C:C)</f>
        <v>East</v>
      </c>
      <c r="O35">
        <f>_xlfn.XLOOKUP(D35, Products!A:A, Products!D:D)</f>
        <v>1556</v>
      </c>
      <c r="P35">
        <f>_xlfn.XLOOKUP(D35, Products!A:A, Products!E:E)</f>
        <v>3250</v>
      </c>
    </row>
    <row r="36" spans="1:16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 t="shared" si="0"/>
        <v>Hyderabad</v>
      </c>
      <c r="M36" t="str">
        <f>_xlfn.XLOOKUP(D36, Products!A:A, Products!C:C)</f>
        <v>Beauty</v>
      </c>
      <c r="N36" t="str">
        <f>_xlfn.XLOOKUP(E36, Sales_Reps!A:A, Sales_Reps!C:C)</f>
        <v>East</v>
      </c>
      <c r="O36">
        <f>_xlfn.XLOOKUP(D36, Products!A:A, Products!D:D)</f>
        <v>2237</v>
      </c>
      <c r="P36">
        <f>_xlfn.XLOOKUP(D36, Products!A:A, Products!E:E)</f>
        <v>5100</v>
      </c>
    </row>
    <row r="37" spans="1:16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 t="shared" si="0"/>
        <v>Delhi</v>
      </c>
      <c r="M37" t="str">
        <f>_xlfn.XLOOKUP(D37, Products!A:A, Products!C:C)</f>
        <v>Home</v>
      </c>
      <c r="N37" t="str">
        <f>_xlfn.XLOOKUP(E37, Sales_Reps!A:A, Sales_Reps!C:C)</f>
        <v>East</v>
      </c>
      <c r="O37">
        <f>_xlfn.XLOOKUP(D37, Products!A:A, Products!D:D)</f>
        <v>519</v>
      </c>
      <c r="P37">
        <f>_xlfn.XLOOKUP(D37, Products!A:A, Products!E:E)</f>
        <v>1080</v>
      </c>
    </row>
    <row r="38" spans="1:16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 t="shared" si="0"/>
        <v>Mumbai</v>
      </c>
      <c r="M38" t="str">
        <f>_xlfn.XLOOKUP(D38, Products!A:A, Products!C:C)</f>
        <v>Home</v>
      </c>
      <c r="N38" t="str">
        <f>_xlfn.XLOOKUP(E38, Sales_Reps!A:A, Sales_Reps!C:C)</f>
        <v>South</v>
      </c>
      <c r="O38">
        <f>_xlfn.XLOOKUP(D38, Products!A:A, Products!D:D)</f>
        <v>2549</v>
      </c>
      <c r="P38">
        <f>_xlfn.XLOOKUP(D38, Products!A:A, Products!E:E)</f>
        <v>5490</v>
      </c>
    </row>
    <row r="39" spans="1:16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 t="shared" si="0"/>
        <v>Bengaluru</v>
      </c>
      <c r="M39" t="str">
        <f>_xlfn.XLOOKUP(D39, Products!A:A, Products!C:C)</f>
        <v>Sports</v>
      </c>
      <c r="N39" t="str">
        <f>_xlfn.XLOOKUP(E39, Sales_Reps!A:A, Sales_Reps!C:C)</f>
        <v>North</v>
      </c>
      <c r="O39">
        <f>_xlfn.XLOOKUP(D39, Products!A:A, Products!D:D)</f>
        <v>147</v>
      </c>
      <c r="P39">
        <f>_xlfn.XLOOKUP(D39, Products!A:A, Products!E:E)</f>
        <v>190</v>
      </c>
    </row>
    <row r="40" spans="1:16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 t="shared" si="0"/>
        <v>Chennai</v>
      </c>
      <c r="M40" t="str">
        <f>_xlfn.XLOOKUP(D40, Products!A:A, Products!C:C)</f>
        <v>Sports</v>
      </c>
      <c r="N40" t="str">
        <f>_xlfn.XLOOKUP(E40, Sales_Reps!A:A, Sales_Reps!C:C)</f>
        <v>South</v>
      </c>
      <c r="O40">
        <f>_xlfn.XLOOKUP(D40, Products!A:A, Products!D:D)</f>
        <v>974</v>
      </c>
      <c r="P40">
        <f>_xlfn.XLOOKUP(D40, Products!A:A, Products!E:E)</f>
        <v>2400</v>
      </c>
    </row>
    <row r="41" spans="1:16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 t="shared" si="0"/>
        <v>Delhi</v>
      </c>
      <c r="M41" t="str">
        <f>_xlfn.XLOOKUP(D41, Products!A:A, Products!C:C)</f>
        <v>Beauty</v>
      </c>
      <c r="N41" t="str">
        <f>_xlfn.XLOOKUP(E41, Sales_Reps!A:A, Sales_Reps!C:C)</f>
        <v>East</v>
      </c>
      <c r="O41">
        <f>_xlfn.XLOOKUP(D41, Products!A:A, Products!D:D)</f>
        <v>1222</v>
      </c>
      <c r="P41">
        <f>_xlfn.XLOOKUP(D41, Products!A:A, Products!E:E)</f>
        <v>1650</v>
      </c>
    </row>
    <row r="42" spans="1:16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 t="shared" si="0"/>
        <v>Chennai</v>
      </c>
      <c r="M42" t="str">
        <f>_xlfn.XLOOKUP(D42, Products!A:A, Products!C:C)</f>
        <v>Home</v>
      </c>
      <c r="N42" t="str">
        <f>_xlfn.XLOOKUP(E42, Sales_Reps!A:A, Sales_Reps!C:C)</f>
        <v>North</v>
      </c>
      <c r="O42">
        <f>_xlfn.XLOOKUP(D42, Products!A:A, Products!D:D)</f>
        <v>2549</v>
      </c>
      <c r="P42">
        <f>_xlfn.XLOOKUP(D42, Products!A:A, Products!E:E)</f>
        <v>5490</v>
      </c>
    </row>
    <row r="43" spans="1:16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 t="shared" si="0"/>
        <v>Delhi</v>
      </c>
      <c r="M43" t="str">
        <f>_xlfn.XLOOKUP(D43, Products!A:A, Products!C:C)</f>
        <v>Beauty</v>
      </c>
      <c r="N43" t="str">
        <f>_xlfn.XLOOKUP(E43, Sales_Reps!A:A, Sales_Reps!C:C)</f>
        <v>South</v>
      </c>
      <c r="O43">
        <f>_xlfn.XLOOKUP(D43, Products!A:A, Products!D:D)</f>
        <v>2768</v>
      </c>
      <c r="P43">
        <f>_xlfn.XLOOKUP(D43, Products!A:A, Products!E:E)</f>
        <v>4880</v>
      </c>
    </row>
    <row r="44" spans="1:16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 t="shared" si="0"/>
        <v>Chennai</v>
      </c>
      <c r="M44" t="str">
        <f>_xlfn.XLOOKUP(D44, Products!A:A, Products!C:C)</f>
        <v>Home</v>
      </c>
      <c r="N44" t="str">
        <f>_xlfn.XLOOKUP(E44, Sales_Reps!A:A, Sales_Reps!C:C)</f>
        <v>East</v>
      </c>
      <c r="O44">
        <f>_xlfn.XLOOKUP(D44, Products!A:A, Products!D:D)</f>
        <v>2135</v>
      </c>
      <c r="P44">
        <f>_xlfn.XLOOKUP(D44, Products!A:A, Products!E:E)</f>
        <v>3730</v>
      </c>
    </row>
    <row r="45" spans="1:16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 t="shared" si="0"/>
        <v>Mumbai</v>
      </c>
      <c r="M45" t="str">
        <f>_xlfn.XLOOKUP(D45, Products!A:A, Products!C:C)</f>
        <v>Beauty</v>
      </c>
      <c r="N45" t="str">
        <f>_xlfn.XLOOKUP(E45, Sales_Reps!A:A, Sales_Reps!C:C)</f>
        <v>West</v>
      </c>
      <c r="O45">
        <f>_xlfn.XLOOKUP(D45, Products!A:A, Products!D:D)</f>
        <v>2420</v>
      </c>
      <c r="P45">
        <f>_xlfn.XLOOKUP(D45, Products!A:A, Products!E:E)</f>
        <v>3450</v>
      </c>
    </row>
    <row r="46" spans="1:16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 t="shared" si="0"/>
        <v>Bengaluru</v>
      </c>
      <c r="M46" t="str">
        <f>_xlfn.XLOOKUP(D46, Products!A:A, Products!C:C)</f>
        <v>Apparel</v>
      </c>
      <c r="N46" t="str">
        <f>_xlfn.XLOOKUP(E46, Sales_Reps!A:A, Sales_Reps!C:C)</f>
        <v>East</v>
      </c>
      <c r="O46">
        <f>_xlfn.XLOOKUP(D46, Products!A:A, Products!D:D)</f>
        <v>1173</v>
      </c>
      <c r="P46">
        <f>_xlfn.XLOOKUP(D46, Products!A:A, Products!E:E)</f>
        <v>2480</v>
      </c>
    </row>
    <row r="47" spans="1:16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 t="shared" si="0"/>
        <v>Pune</v>
      </c>
      <c r="M47" t="str">
        <f>_xlfn.XLOOKUP(D47, Products!A:A, Products!C:C)</f>
        <v>Grocery</v>
      </c>
      <c r="N47" t="str">
        <f>_xlfn.XLOOKUP(E47, Sales_Reps!A:A, Sales_Reps!C:C)</f>
        <v>South</v>
      </c>
      <c r="O47">
        <f>_xlfn.XLOOKUP(D47, Products!A:A, Products!D:D)</f>
        <v>2436</v>
      </c>
      <c r="P47">
        <f>_xlfn.XLOOKUP(D47, Products!A:A, Products!E:E)</f>
        <v>3780</v>
      </c>
    </row>
    <row r="48" spans="1:16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 t="shared" si="0"/>
        <v>Hyderabad</v>
      </c>
      <c r="M48" t="str">
        <f>_xlfn.XLOOKUP(D48, Products!A:A, Products!C:C)</f>
        <v>Apparel</v>
      </c>
      <c r="N48" t="str">
        <f>_xlfn.XLOOKUP(E48, Sales_Reps!A:A, Sales_Reps!C:C)</f>
        <v>East</v>
      </c>
      <c r="O48">
        <f>_xlfn.XLOOKUP(D48, Products!A:A, Products!D:D)</f>
        <v>2611</v>
      </c>
      <c r="P48">
        <f>_xlfn.XLOOKUP(D48, Products!A:A, Products!E:E)</f>
        <v>3640</v>
      </c>
    </row>
    <row r="49" spans="1:16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 t="shared" si="0"/>
        <v>Pune</v>
      </c>
      <c r="M49" t="str">
        <f>_xlfn.XLOOKUP(D49, Products!A:A, Products!C:C)</f>
        <v>Beauty</v>
      </c>
      <c r="N49" t="str">
        <f>_xlfn.XLOOKUP(E49, Sales_Reps!A:A, Sales_Reps!C:C)</f>
        <v>North</v>
      </c>
      <c r="O49">
        <f>_xlfn.XLOOKUP(D49, Products!A:A, Products!D:D)</f>
        <v>2617</v>
      </c>
      <c r="P49">
        <f>_xlfn.XLOOKUP(D49, Products!A:A, Products!E:E)</f>
        <v>6080</v>
      </c>
    </row>
    <row r="50" spans="1:16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 t="shared" si="0"/>
        <v>Chennai</v>
      </c>
      <c r="M50" t="str">
        <f>_xlfn.XLOOKUP(D50, Products!A:A, Products!C:C)</f>
        <v>Grocery</v>
      </c>
      <c r="N50" t="str">
        <f>_xlfn.XLOOKUP(E50, Sales_Reps!A:A, Sales_Reps!C:C)</f>
        <v>North</v>
      </c>
      <c r="O50">
        <f>_xlfn.XLOOKUP(D50, Products!A:A, Products!D:D)</f>
        <v>434</v>
      </c>
      <c r="P50">
        <f>_xlfn.XLOOKUP(D50, Products!A:A, Products!E:E)</f>
        <v>970</v>
      </c>
    </row>
    <row r="51" spans="1:16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 t="shared" si="0"/>
        <v>Chennai</v>
      </c>
      <c r="M51" t="str">
        <f>_xlfn.XLOOKUP(D51, Products!A:A, Products!C:C)</f>
        <v>Grocery</v>
      </c>
      <c r="N51" t="str">
        <f>_xlfn.XLOOKUP(E51, Sales_Reps!A:A, Sales_Reps!C:C)</f>
        <v>West</v>
      </c>
      <c r="O51">
        <f>_xlfn.XLOOKUP(D51, Products!A:A, Products!D:D)</f>
        <v>1412</v>
      </c>
      <c r="P51">
        <f>_xlfn.XLOOKUP(D51, Products!A:A, Products!E:E)</f>
        <v>2270</v>
      </c>
    </row>
    <row r="52" spans="1:16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 t="shared" si="0"/>
        <v>Bengaluru</v>
      </c>
      <c r="M52" t="str">
        <f>_xlfn.XLOOKUP(D52, Products!A:A, Products!C:C)</f>
        <v>Electronics</v>
      </c>
      <c r="N52" t="str">
        <f>_xlfn.XLOOKUP(E52, Sales_Reps!A:A, Sales_Reps!C:C)</f>
        <v>East</v>
      </c>
      <c r="O52">
        <f>_xlfn.XLOOKUP(D52, Products!A:A, Products!D:D)</f>
        <v>1559</v>
      </c>
      <c r="P52">
        <f>_xlfn.XLOOKUP(D52, Products!A:A, Products!E:E)</f>
        <v>3870</v>
      </c>
    </row>
    <row r="53" spans="1:16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 t="shared" si="0"/>
        <v>Bengaluru</v>
      </c>
      <c r="M53" t="str">
        <f>_xlfn.XLOOKUP(D53, Products!A:A, Products!C:C)</f>
        <v>Beauty</v>
      </c>
      <c r="N53" t="str">
        <f>_xlfn.XLOOKUP(E53, Sales_Reps!A:A, Sales_Reps!C:C)</f>
        <v>South</v>
      </c>
      <c r="O53">
        <f>_xlfn.XLOOKUP(D53, Products!A:A, Products!D:D)</f>
        <v>2768</v>
      </c>
      <c r="P53">
        <f>_xlfn.XLOOKUP(D53, Products!A:A, Products!E:E)</f>
        <v>4880</v>
      </c>
    </row>
    <row r="54" spans="1:16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 t="shared" si="0"/>
        <v>Chennai</v>
      </c>
      <c r="M54" t="str">
        <f>_xlfn.XLOOKUP(D54, Products!A:A, Products!C:C)</f>
        <v>Grocery</v>
      </c>
      <c r="N54" t="str">
        <f>_xlfn.XLOOKUP(E54, Sales_Reps!A:A, Sales_Reps!C:C)</f>
        <v>South</v>
      </c>
      <c r="O54">
        <f>_xlfn.XLOOKUP(D54, Products!A:A, Products!D:D)</f>
        <v>2436</v>
      </c>
      <c r="P54">
        <f>_xlfn.XLOOKUP(D54, Products!A:A, Products!E:E)</f>
        <v>3780</v>
      </c>
    </row>
    <row r="55" spans="1:16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 t="shared" si="0"/>
        <v>Chennai</v>
      </c>
      <c r="M55" t="str">
        <f>_xlfn.XLOOKUP(D55, Products!A:A, Products!C:C)</f>
        <v>Home</v>
      </c>
      <c r="N55" t="str">
        <f>_xlfn.XLOOKUP(E55, Sales_Reps!A:A, Sales_Reps!C:C)</f>
        <v>East</v>
      </c>
      <c r="O55">
        <f>_xlfn.XLOOKUP(D55, Products!A:A, Products!D:D)</f>
        <v>1556</v>
      </c>
      <c r="P55">
        <f>_xlfn.XLOOKUP(D55, Products!A:A, Products!E:E)</f>
        <v>3250</v>
      </c>
    </row>
    <row r="56" spans="1:16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 t="shared" si="0"/>
        <v>Hyderabad</v>
      </c>
      <c r="M56" t="str">
        <f>_xlfn.XLOOKUP(D56, Products!A:A, Products!C:C)</f>
        <v>Apparel</v>
      </c>
      <c r="N56" t="str">
        <f>_xlfn.XLOOKUP(E56, Sales_Reps!A:A, Sales_Reps!C:C)</f>
        <v>North</v>
      </c>
      <c r="O56">
        <f>_xlfn.XLOOKUP(D56, Products!A:A, Products!D:D)</f>
        <v>2611</v>
      </c>
      <c r="P56">
        <f>_xlfn.XLOOKUP(D56, Products!A:A, Products!E:E)</f>
        <v>3640</v>
      </c>
    </row>
    <row r="57" spans="1:16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 t="shared" si="0"/>
        <v>Delhi</v>
      </c>
      <c r="M57" t="str">
        <f>_xlfn.XLOOKUP(D57, Products!A:A, Products!C:C)</f>
        <v>Beauty</v>
      </c>
      <c r="N57" t="str">
        <f>_xlfn.XLOOKUP(E57, Sales_Reps!A:A, Sales_Reps!C:C)</f>
        <v>East</v>
      </c>
      <c r="O57">
        <f>_xlfn.XLOOKUP(D57, Products!A:A, Products!D:D)</f>
        <v>647</v>
      </c>
      <c r="P57">
        <f>_xlfn.XLOOKUP(D57, Products!A:A, Products!E:E)</f>
        <v>1540</v>
      </c>
    </row>
    <row r="58" spans="1:16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 t="shared" si="0"/>
        <v>Delhi</v>
      </c>
      <c r="M58" t="str">
        <f>_xlfn.XLOOKUP(D58, Products!A:A, Products!C:C)</f>
        <v>Home</v>
      </c>
      <c r="N58" t="str">
        <f>_xlfn.XLOOKUP(E58, Sales_Reps!A:A, Sales_Reps!C:C)</f>
        <v>East</v>
      </c>
      <c r="O58">
        <f>_xlfn.XLOOKUP(D58, Products!A:A, Products!D:D)</f>
        <v>519</v>
      </c>
      <c r="P58">
        <f>_xlfn.XLOOKUP(D58, Products!A:A, Products!E:E)</f>
        <v>1080</v>
      </c>
    </row>
    <row r="59" spans="1:16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 t="shared" si="0"/>
        <v>Hyderabad</v>
      </c>
      <c r="M59" t="str">
        <f>_xlfn.XLOOKUP(D59, Products!A:A, Products!C:C)</f>
        <v>Grocery</v>
      </c>
      <c r="N59" t="str">
        <f>_xlfn.XLOOKUP(E59, Sales_Reps!A:A, Sales_Reps!C:C)</f>
        <v>North</v>
      </c>
      <c r="O59">
        <f>_xlfn.XLOOKUP(D59, Products!A:A, Products!D:D)</f>
        <v>2027</v>
      </c>
      <c r="P59">
        <f>_xlfn.XLOOKUP(D59, Products!A:A, Products!E:E)</f>
        <v>4070</v>
      </c>
    </row>
    <row r="60" spans="1:16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 t="shared" si="0"/>
        <v>Delhi</v>
      </c>
      <c r="M60" t="str">
        <f>_xlfn.XLOOKUP(D60, Products!A:A, Products!C:C)</f>
        <v>Electronics</v>
      </c>
      <c r="N60" t="str">
        <f>_xlfn.XLOOKUP(E60, Sales_Reps!A:A, Sales_Reps!C:C)</f>
        <v>West</v>
      </c>
      <c r="O60">
        <f>_xlfn.XLOOKUP(D60, Products!A:A, Products!D:D)</f>
        <v>517</v>
      </c>
      <c r="P60">
        <f>_xlfn.XLOOKUP(D60, Products!A:A, Products!E:E)</f>
        <v>1220</v>
      </c>
    </row>
    <row r="61" spans="1:16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 t="shared" si="0"/>
        <v>Mumbai</v>
      </c>
      <c r="M61" t="str">
        <f>_xlfn.XLOOKUP(D61, Products!A:A, Products!C:C)</f>
        <v>Home</v>
      </c>
      <c r="N61" t="str">
        <f>_xlfn.XLOOKUP(E61, Sales_Reps!A:A, Sales_Reps!C:C)</f>
        <v>West</v>
      </c>
      <c r="O61">
        <f>_xlfn.XLOOKUP(D61, Products!A:A, Products!D:D)</f>
        <v>1850</v>
      </c>
      <c r="P61">
        <f>_xlfn.XLOOKUP(D61, Products!A:A, Products!E:E)</f>
        <v>4610</v>
      </c>
    </row>
    <row r="62" spans="1:16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 t="shared" si="0"/>
        <v>Chennai</v>
      </c>
      <c r="M62" t="str">
        <f>_xlfn.XLOOKUP(D62, Products!A:A, Products!C:C)</f>
        <v>Home</v>
      </c>
      <c r="N62" t="str">
        <f>_xlfn.XLOOKUP(E62, Sales_Reps!A:A, Sales_Reps!C:C)</f>
        <v>South</v>
      </c>
      <c r="O62">
        <f>_xlfn.XLOOKUP(D62, Products!A:A, Products!D:D)</f>
        <v>519</v>
      </c>
      <c r="P62">
        <f>_xlfn.XLOOKUP(D62, Products!A:A, Products!E:E)</f>
        <v>1080</v>
      </c>
    </row>
    <row r="63" spans="1:16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 t="shared" si="0"/>
        <v>Pune</v>
      </c>
      <c r="M63" t="str">
        <f>_xlfn.XLOOKUP(D63, Products!A:A, Products!C:C)</f>
        <v>Beauty</v>
      </c>
      <c r="N63" t="str">
        <f>_xlfn.XLOOKUP(E63, Sales_Reps!A:A, Sales_Reps!C:C)</f>
        <v>North</v>
      </c>
      <c r="O63">
        <f>_xlfn.XLOOKUP(D63, Products!A:A, Products!D:D)</f>
        <v>1626</v>
      </c>
      <c r="P63">
        <f>_xlfn.XLOOKUP(D63, Products!A:A, Products!E:E)</f>
        <v>3020</v>
      </c>
    </row>
    <row r="64" spans="1:16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 t="shared" si="0"/>
        <v>Hyderabad</v>
      </c>
      <c r="M64" t="str">
        <f>_xlfn.XLOOKUP(D64, Products!A:A, Products!C:C)</f>
        <v>Electronics</v>
      </c>
      <c r="N64" t="str">
        <f>_xlfn.XLOOKUP(E64, Sales_Reps!A:A, Sales_Reps!C:C)</f>
        <v>East</v>
      </c>
      <c r="O64">
        <f>_xlfn.XLOOKUP(D64, Products!A:A, Products!D:D)</f>
        <v>1259</v>
      </c>
      <c r="P64">
        <f>_xlfn.XLOOKUP(D64, Products!A:A, Products!E:E)</f>
        <v>2660</v>
      </c>
    </row>
    <row r="65" spans="1:16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 t="shared" si="0"/>
        <v>Pune</v>
      </c>
      <c r="M65" t="str">
        <f>_xlfn.XLOOKUP(D65, Products!A:A, Products!C:C)</f>
        <v>Electronics</v>
      </c>
      <c r="N65" t="str">
        <f>_xlfn.XLOOKUP(E65, Sales_Reps!A:A, Sales_Reps!C:C)</f>
        <v>North</v>
      </c>
      <c r="O65">
        <f>_xlfn.XLOOKUP(D65, Products!A:A, Products!D:D)</f>
        <v>128</v>
      </c>
      <c r="P65">
        <f>_xlfn.XLOOKUP(D65, Products!A:A, Products!E:E)</f>
        <v>300</v>
      </c>
    </row>
    <row r="66" spans="1:16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 t="shared" si="0"/>
        <v>Chennai</v>
      </c>
      <c r="M66" t="str">
        <f>_xlfn.XLOOKUP(D66, Products!A:A, Products!C:C)</f>
        <v>Electronics</v>
      </c>
      <c r="N66" t="str">
        <f>_xlfn.XLOOKUP(E66, Sales_Reps!A:A, Sales_Reps!C:C)</f>
        <v>East</v>
      </c>
      <c r="O66">
        <f>_xlfn.XLOOKUP(D66, Products!A:A, Products!D:D)</f>
        <v>1149</v>
      </c>
      <c r="P66">
        <f>_xlfn.XLOOKUP(D66, Products!A:A, Products!E:E)</f>
        <v>2640</v>
      </c>
    </row>
    <row r="67" spans="1:16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 t="shared" ref="L67:L130" si="1">PROPER(TRIM(K67))</f>
        <v>Delhi</v>
      </c>
      <c r="M67" t="str">
        <f>_xlfn.XLOOKUP(D67, Products!A:A, Products!C:C)</f>
        <v>Apparel</v>
      </c>
      <c r="N67" t="str">
        <f>_xlfn.XLOOKUP(E67, Sales_Reps!A:A, Sales_Reps!C:C)</f>
        <v>East</v>
      </c>
      <c r="O67">
        <f>_xlfn.XLOOKUP(D67, Products!A:A, Products!D:D)</f>
        <v>391</v>
      </c>
      <c r="P67">
        <f>_xlfn.XLOOKUP(D67, Products!A:A, Products!E:E)</f>
        <v>820</v>
      </c>
    </row>
    <row r="68" spans="1:16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 t="shared" si="1"/>
        <v>Chennai</v>
      </c>
      <c r="M68" t="str">
        <f>_xlfn.XLOOKUP(D68, Products!A:A, Products!C:C)</f>
        <v>Grocery</v>
      </c>
      <c r="N68" t="str">
        <f>_xlfn.XLOOKUP(E68, Sales_Reps!A:A, Sales_Reps!C:C)</f>
        <v>West</v>
      </c>
      <c r="O68">
        <f>_xlfn.XLOOKUP(D68, Products!A:A, Products!D:D)</f>
        <v>1435</v>
      </c>
      <c r="P68">
        <f>_xlfn.XLOOKUP(D68, Products!A:A, Products!E:E)</f>
        <v>2760</v>
      </c>
    </row>
    <row r="69" spans="1:16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 t="shared" si="1"/>
        <v>Chennai</v>
      </c>
      <c r="M69" t="str">
        <f>_xlfn.XLOOKUP(D69, Products!A:A, Products!C:C)</f>
        <v>Apparel</v>
      </c>
      <c r="N69" t="str">
        <f>_xlfn.XLOOKUP(E69, Sales_Reps!A:A, Sales_Reps!C:C)</f>
        <v>East</v>
      </c>
      <c r="O69">
        <f>_xlfn.XLOOKUP(D69, Products!A:A, Products!D:D)</f>
        <v>2509</v>
      </c>
      <c r="P69">
        <f>_xlfn.XLOOKUP(D69, Products!A:A, Products!E:E)</f>
        <v>3620</v>
      </c>
    </row>
    <row r="70" spans="1:16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 t="shared" si="1"/>
        <v>Delhi</v>
      </c>
      <c r="M70" t="str">
        <f>_xlfn.XLOOKUP(D70, Products!A:A, Products!C:C)</f>
        <v>Apparel</v>
      </c>
      <c r="N70" t="str">
        <f>_xlfn.XLOOKUP(E70, Sales_Reps!A:A, Sales_Reps!C:C)</f>
        <v>West</v>
      </c>
      <c r="O70">
        <f>_xlfn.XLOOKUP(D70, Products!A:A, Products!D:D)</f>
        <v>396</v>
      </c>
      <c r="P70">
        <f>_xlfn.XLOOKUP(D70, Products!A:A, Products!E:E)</f>
        <v>620</v>
      </c>
    </row>
    <row r="71" spans="1:16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 t="shared" si="1"/>
        <v>Hyderabad</v>
      </c>
      <c r="M71" t="str">
        <f>_xlfn.XLOOKUP(D71, Products!A:A, Products!C:C)</f>
        <v>Home</v>
      </c>
      <c r="N71" t="str">
        <f>_xlfn.XLOOKUP(E71, Sales_Reps!A:A, Sales_Reps!C:C)</f>
        <v>West</v>
      </c>
      <c r="O71">
        <f>_xlfn.XLOOKUP(D71, Products!A:A, Products!D:D)</f>
        <v>1143</v>
      </c>
      <c r="P71">
        <f>_xlfn.XLOOKUP(D71, Products!A:A, Products!E:E)</f>
        <v>2030</v>
      </c>
    </row>
    <row r="72" spans="1:16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 t="shared" si="1"/>
        <v>Chennai</v>
      </c>
      <c r="M72" t="str">
        <f>_xlfn.XLOOKUP(D72, Products!A:A, Products!C:C)</f>
        <v>Apparel</v>
      </c>
      <c r="N72" t="str">
        <f>_xlfn.XLOOKUP(E72, Sales_Reps!A:A, Sales_Reps!C:C)</f>
        <v>North</v>
      </c>
      <c r="O72">
        <f>_xlfn.XLOOKUP(D72, Products!A:A, Products!D:D)</f>
        <v>1886</v>
      </c>
      <c r="P72">
        <f>_xlfn.XLOOKUP(D72, Products!A:A, Products!E:E)</f>
        <v>3160</v>
      </c>
    </row>
    <row r="73" spans="1:16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 t="shared" si="1"/>
        <v>Hyderabad</v>
      </c>
      <c r="M73" t="str">
        <f>_xlfn.XLOOKUP(D73, Products!A:A, Products!C:C)</f>
        <v>Grocery</v>
      </c>
      <c r="N73" t="str">
        <f>_xlfn.XLOOKUP(E73, Sales_Reps!A:A, Sales_Reps!C:C)</f>
        <v>North</v>
      </c>
      <c r="O73">
        <f>_xlfn.XLOOKUP(D73, Products!A:A, Products!D:D)</f>
        <v>434</v>
      </c>
      <c r="P73">
        <f>_xlfn.XLOOKUP(D73, Products!A:A, Products!E:E)</f>
        <v>970</v>
      </c>
    </row>
    <row r="74" spans="1:16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 t="shared" si="1"/>
        <v>Chennai</v>
      </c>
      <c r="M74" t="str">
        <f>_xlfn.XLOOKUP(D74, Products!A:A, Products!C:C)</f>
        <v>Beauty</v>
      </c>
      <c r="N74" t="str">
        <f>_xlfn.XLOOKUP(E74, Sales_Reps!A:A, Sales_Reps!C:C)</f>
        <v>North</v>
      </c>
      <c r="O74">
        <f>_xlfn.XLOOKUP(D74, Products!A:A, Products!D:D)</f>
        <v>1728</v>
      </c>
      <c r="P74">
        <f>_xlfn.XLOOKUP(D74, Products!A:A, Products!E:E)</f>
        <v>3350</v>
      </c>
    </row>
    <row r="75" spans="1:16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 t="shared" si="1"/>
        <v>Delhi</v>
      </c>
      <c r="M75" t="str">
        <f>_xlfn.XLOOKUP(D75, Products!A:A, Products!C:C)</f>
        <v>Home</v>
      </c>
      <c r="N75" t="str">
        <f>_xlfn.XLOOKUP(E75, Sales_Reps!A:A, Sales_Reps!C:C)</f>
        <v>East</v>
      </c>
      <c r="O75">
        <f>_xlfn.XLOOKUP(D75, Products!A:A, Products!D:D)</f>
        <v>288</v>
      </c>
      <c r="P75">
        <f>_xlfn.XLOOKUP(D75, Products!A:A, Products!E:E)</f>
        <v>370</v>
      </c>
    </row>
    <row r="76" spans="1:16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 t="shared" si="1"/>
        <v>Hyderabad</v>
      </c>
      <c r="M76" t="str">
        <f>_xlfn.XLOOKUP(D76, Products!A:A, Products!C:C)</f>
        <v>Grocery</v>
      </c>
      <c r="N76" t="str">
        <f>_xlfn.XLOOKUP(E76, Sales_Reps!A:A, Sales_Reps!C:C)</f>
        <v>South</v>
      </c>
      <c r="O76">
        <f>_xlfn.XLOOKUP(D76, Products!A:A, Products!D:D)</f>
        <v>434</v>
      </c>
      <c r="P76">
        <f>_xlfn.XLOOKUP(D76, Products!A:A, Products!E:E)</f>
        <v>970</v>
      </c>
    </row>
    <row r="77" spans="1:16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 t="shared" si="1"/>
        <v>Pune</v>
      </c>
      <c r="M77" t="str">
        <f>_xlfn.XLOOKUP(D77, Products!A:A, Products!C:C)</f>
        <v>Grocery</v>
      </c>
      <c r="N77" t="str">
        <f>_xlfn.XLOOKUP(E77, Sales_Reps!A:A, Sales_Reps!C:C)</f>
        <v>East</v>
      </c>
      <c r="O77">
        <f>_xlfn.XLOOKUP(D77, Products!A:A, Products!D:D)</f>
        <v>1435</v>
      </c>
      <c r="P77">
        <f>_xlfn.XLOOKUP(D77, Products!A:A, Products!E:E)</f>
        <v>2760</v>
      </c>
    </row>
    <row r="78" spans="1:16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 t="shared" si="1"/>
        <v>Pune</v>
      </c>
      <c r="M78" t="str">
        <f>_xlfn.XLOOKUP(D78, Products!A:A, Products!C:C)</f>
        <v>Grocery</v>
      </c>
      <c r="N78" t="str">
        <f>_xlfn.XLOOKUP(E78, Sales_Reps!A:A, Sales_Reps!C:C)</f>
        <v>East</v>
      </c>
      <c r="O78">
        <f>_xlfn.XLOOKUP(D78, Products!A:A, Products!D:D)</f>
        <v>1435</v>
      </c>
      <c r="P78">
        <f>_xlfn.XLOOKUP(D78, Products!A:A, Products!E:E)</f>
        <v>2760</v>
      </c>
    </row>
    <row r="79" spans="1:16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 t="shared" si="1"/>
        <v>Bengaluru</v>
      </c>
      <c r="M79" t="str">
        <f>_xlfn.XLOOKUP(D79, Products!A:A, Products!C:C)</f>
        <v>Electronics</v>
      </c>
      <c r="N79" t="str">
        <f>_xlfn.XLOOKUP(E79, Sales_Reps!A:A, Sales_Reps!C:C)</f>
        <v>East</v>
      </c>
      <c r="O79">
        <f>_xlfn.XLOOKUP(D79, Products!A:A, Products!D:D)</f>
        <v>517</v>
      </c>
      <c r="P79">
        <f>_xlfn.XLOOKUP(D79, Products!A:A, Products!E:E)</f>
        <v>1220</v>
      </c>
    </row>
    <row r="80" spans="1:16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 t="shared" si="1"/>
        <v>Hyderabad</v>
      </c>
      <c r="M80" t="str">
        <f>_xlfn.XLOOKUP(D80, Products!A:A, Products!C:C)</f>
        <v>Electronics</v>
      </c>
      <c r="N80" t="str">
        <f>_xlfn.XLOOKUP(E80, Sales_Reps!A:A, Sales_Reps!C:C)</f>
        <v>West</v>
      </c>
      <c r="O80">
        <f>_xlfn.XLOOKUP(D80, Products!A:A, Products!D:D)</f>
        <v>1052</v>
      </c>
      <c r="P80">
        <f>_xlfn.XLOOKUP(D80, Products!A:A, Products!E:E)</f>
        <v>2600</v>
      </c>
    </row>
    <row r="81" spans="1:16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 t="shared" si="1"/>
        <v>Pune</v>
      </c>
      <c r="M81" t="str">
        <f>_xlfn.XLOOKUP(D81, Products!A:A, Products!C:C)</f>
        <v>Grocery</v>
      </c>
      <c r="N81" t="str">
        <f>_xlfn.XLOOKUP(E81, Sales_Reps!A:A, Sales_Reps!C:C)</f>
        <v>West</v>
      </c>
      <c r="O81">
        <f>_xlfn.XLOOKUP(D81, Products!A:A, Products!D:D)</f>
        <v>2027</v>
      </c>
      <c r="P81">
        <f>_xlfn.XLOOKUP(D81, Products!A:A, Products!E:E)</f>
        <v>4070</v>
      </c>
    </row>
    <row r="82" spans="1:16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 t="shared" si="1"/>
        <v>Pune</v>
      </c>
      <c r="M82" t="str">
        <f>_xlfn.XLOOKUP(D82, Products!A:A, Products!C:C)</f>
        <v>Grocery</v>
      </c>
      <c r="N82" t="str">
        <f>_xlfn.XLOOKUP(E82, Sales_Reps!A:A, Sales_Reps!C:C)</f>
        <v>North</v>
      </c>
      <c r="O82">
        <f>_xlfn.XLOOKUP(D82, Products!A:A, Products!D:D)</f>
        <v>1203</v>
      </c>
      <c r="P82">
        <f>_xlfn.XLOOKUP(D82, Products!A:A, Products!E:E)</f>
        <v>2270</v>
      </c>
    </row>
    <row r="83" spans="1:16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 t="shared" si="1"/>
        <v>Chennai</v>
      </c>
      <c r="M83" t="str">
        <f>_xlfn.XLOOKUP(D83, Products!A:A, Products!C:C)</f>
        <v>Apparel</v>
      </c>
      <c r="N83" t="str">
        <f>_xlfn.XLOOKUP(E83, Sales_Reps!A:A, Sales_Reps!C:C)</f>
        <v>East</v>
      </c>
      <c r="O83">
        <f>_xlfn.XLOOKUP(D83, Products!A:A, Products!D:D)</f>
        <v>1886</v>
      </c>
      <c r="P83">
        <f>_xlfn.XLOOKUP(D83, Products!A:A, Products!E:E)</f>
        <v>3160</v>
      </c>
    </row>
    <row r="84" spans="1:16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 t="shared" si="1"/>
        <v>Hyderabad</v>
      </c>
      <c r="M84" t="str">
        <f>_xlfn.XLOOKUP(D84, Products!A:A, Products!C:C)</f>
        <v>Apparel</v>
      </c>
      <c r="N84" t="str">
        <f>_xlfn.XLOOKUP(E84, Sales_Reps!A:A, Sales_Reps!C:C)</f>
        <v>North</v>
      </c>
      <c r="O84">
        <f>_xlfn.XLOOKUP(D84, Products!A:A, Products!D:D)</f>
        <v>1173</v>
      </c>
      <c r="P84">
        <f>_xlfn.XLOOKUP(D84, Products!A:A, Products!E:E)</f>
        <v>2480</v>
      </c>
    </row>
    <row r="85" spans="1:16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 t="shared" si="1"/>
        <v>Delhi</v>
      </c>
      <c r="M85" t="str">
        <f>_xlfn.XLOOKUP(D85, Products!A:A, Products!C:C)</f>
        <v>Electronics</v>
      </c>
      <c r="N85" t="str">
        <f>_xlfn.XLOOKUP(E85, Sales_Reps!A:A, Sales_Reps!C:C)</f>
        <v>West</v>
      </c>
      <c r="O85">
        <f>_xlfn.XLOOKUP(D85, Products!A:A, Products!D:D)</f>
        <v>1259</v>
      </c>
      <c r="P85">
        <f>_xlfn.XLOOKUP(D85, Products!A:A, Products!E:E)</f>
        <v>2660</v>
      </c>
    </row>
    <row r="86" spans="1:16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 t="shared" si="1"/>
        <v>Hyderabad</v>
      </c>
      <c r="M86" t="str">
        <f>_xlfn.XLOOKUP(D86, Products!A:A, Products!C:C)</f>
        <v>Beauty</v>
      </c>
      <c r="N86" t="str">
        <f>_xlfn.XLOOKUP(E86, Sales_Reps!A:A, Sales_Reps!C:C)</f>
        <v>South</v>
      </c>
      <c r="O86">
        <f>_xlfn.XLOOKUP(D86, Products!A:A, Products!D:D)</f>
        <v>1626</v>
      </c>
      <c r="P86">
        <f>_xlfn.XLOOKUP(D86, Products!A:A, Products!E:E)</f>
        <v>3020</v>
      </c>
    </row>
    <row r="87" spans="1:16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 t="shared" si="1"/>
        <v>Pune</v>
      </c>
      <c r="M87" t="str">
        <f>_xlfn.XLOOKUP(D87, Products!A:A, Products!C:C)</f>
        <v>Apparel</v>
      </c>
      <c r="N87" t="str">
        <f>_xlfn.XLOOKUP(E87, Sales_Reps!A:A, Sales_Reps!C:C)</f>
        <v>West</v>
      </c>
      <c r="O87">
        <f>_xlfn.XLOOKUP(D87, Products!A:A, Products!D:D)</f>
        <v>396</v>
      </c>
      <c r="P87">
        <f>_xlfn.XLOOKUP(D87, Products!A:A, Products!E:E)</f>
        <v>620</v>
      </c>
    </row>
    <row r="88" spans="1:16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 t="shared" si="1"/>
        <v>Chennai</v>
      </c>
      <c r="M88" t="str">
        <f>_xlfn.XLOOKUP(D88, Products!A:A, Products!C:C)</f>
        <v>Sports</v>
      </c>
      <c r="N88" t="str">
        <f>_xlfn.XLOOKUP(E88, Sales_Reps!A:A, Sales_Reps!C:C)</f>
        <v>West</v>
      </c>
      <c r="O88">
        <f>_xlfn.XLOOKUP(D88, Products!A:A, Products!D:D)</f>
        <v>302</v>
      </c>
      <c r="P88">
        <f>_xlfn.XLOOKUP(D88, Products!A:A, Products!E:E)</f>
        <v>470</v>
      </c>
    </row>
    <row r="89" spans="1:16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 t="shared" si="1"/>
        <v>Pune</v>
      </c>
      <c r="M89" t="str">
        <f>_xlfn.XLOOKUP(D89, Products!A:A, Products!C:C)</f>
        <v>Electronics</v>
      </c>
      <c r="N89" t="str">
        <f>_xlfn.XLOOKUP(E89, Sales_Reps!A:A, Sales_Reps!C:C)</f>
        <v>South</v>
      </c>
      <c r="O89">
        <f>_xlfn.XLOOKUP(D89, Products!A:A, Products!D:D)</f>
        <v>861</v>
      </c>
      <c r="P89">
        <f>_xlfn.XLOOKUP(D89, Products!A:A, Products!E:E)</f>
        <v>1430</v>
      </c>
    </row>
    <row r="90" spans="1:16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 t="shared" si="1"/>
        <v>Bengaluru</v>
      </c>
      <c r="M90" t="str">
        <f>_xlfn.XLOOKUP(D90, Products!A:A, Products!C:C)</f>
        <v>Apparel</v>
      </c>
      <c r="N90" t="str">
        <f>_xlfn.XLOOKUP(E90, Sales_Reps!A:A, Sales_Reps!C:C)</f>
        <v>North</v>
      </c>
      <c r="O90">
        <f>_xlfn.XLOOKUP(D90, Products!A:A, Products!D:D)</f>
        <v>396</v>
      </c>
      <c r="P90">
        <f>_xlfn.XLOOKUP(D90, Products!A:A, Products!E:E)</f>
        <v>620</v>
      </c>
    </row>
    <row r="91" spans="1:16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 t="shared" si="1"/>
        <v>Hyderabad</v>
      </c>
      <c r="M91" t="str">
        <f>_xlfn.XLOOKUP(D91, Products!A:A, Products!C:C)</f>
        <v>Electronics</v>
      </c>
      <c r="N91" t="str">
        <f>_xlfn.XLOOKUP(E91, Sales_Reps!A:A, Sales_Reps!C:C)</f>
        <v>South</v>
      </c>
      <c r="O91">
        <f>_xlfn.XLOOKUP(D91, Products!A:A, Products!D:D)</f>
        <v>1665</v>
      </c>
      <c r="P91">
        <f>_xlfn.XLOOKUP(D91, Products!A:A, Products!E:E)</f>
        <v>3570</v>
      </c>
    </row>
    <row r="92" spans="1:16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 t="shared" si="1"/>
        <v>Hyderabad</v>
      </c>
      <c r="M92" t="str">
        <f>_xlfn.XLOOKUP(D92, Products!A:A, Products!C:C)</f>
        <v>Grocery</v>
      </c>
      <c r="N92" t="str">
        <f>_xlfn.XLOOKUP(E92, Sales_Reps!A:A, Sales_Reps!C:C)</f>
        <v>South</v>
      </c>
      <c r="O92">
        <f>_xlfn.XLOOKUP(D92, Products!A:A, Products!D:D)</f>
        <v>1412</v>
      </c>
      <c r="P92">
        <f>_xlfn.XLOOKUP(D92, Products!A:A, Products!E:E)</f>
        <v>2270</v>
      </c>
    </row>
    <row r="93" spans="1:16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 t="shared" si="1"/>
        <v>Mumbai</v>
      </c>
      <c r="M93" t="str">
        <f>_xlfn.XLOOKUP(D93, Products!A:A, Products!C:C)</f>
        <v>Apparel</v>
      </c>
      <c r="N93" t="str">
        <f>_xlfn.XLOOKUP(E93, Sales_Reps!A:A, Sales_Reps!C:C)</f>
        <v>South</v>
      </c>
      <c r="O93">
        <f>_xlfn.XLOOKUP(D93, Products!A:A, Products!D:D)</f>
        <v>1962</v>
      </c>
      <c r="P93">
        <f>_xlfn.XLOOKUP(D93, Products!A:A, Products!E:E)</f>
        <v>2720</v>
      </c>
    </row>
    <row r="94" spans="1:16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 t="shared" si="1"/>
        <v>Chennai</v>
      </c>
      <c r="M94" t="str">
        <f>_xlfn.XLOOKUP(D94, Products!A:A, Products!C:C)</f>
        <v>Grocery</v>
      </c>
      <c r="N94" t="str">
        <f>_xlfn.XLOOKUP(E94, Sales_Reps!A:A, Sales_Reps!C:C)</f>
        <v>North</v>
      </c>
      <c r="O94">
        <f>_xlfn.XLOOKUP(D94, Products!A:A, Products!D:D)</f>
        <v>1010</v>
      </c>
      <c r="P94">
        <f>_xlfn.XLOOKUP(D94, Products!A:A, Products!E:E)</f>
        <v>2210</v>
      </c>
    </row>
    <row r="95" spans="1:16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 t="shared" si="1"/>
        <v>Pune</v>
      </c>
      <c r="M95" t="str">
        <f>_xlfn.XLOOKUP(D95, Products!A:A, Products!C:C)</f>
        <v>Sports</v>
      </c>
      <c r="N95" t="str">
        <f>_xlfn.XLOOKUP(E95, Sales_Reps!A:A, Sales_Reps!C:C)</f>
        <v>West</v>
      </c>
      <c r="O95">
        <f>_xlfn.XLOOKUP(D95, Products!A:A, Products!D:D)</f>
        <v>147</v>
      </c>
      <c r="P95">
        <f>_xlfn.XLOOKUP(D95, Products!A:A, Products!E:E)</f>
        <v>190</v>
      </c>
    </row>
    <row r="96" spans="1:16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 t="shared" si="1"/>
        <v>Chennai</v>
      </c>
      <c r="M96" t="str">
        <f>_xlfn.XLOOKUP(D96, Products!A:A, Products!C:C)</f>
        <v>Beauty</v>
      </c>
      <c r="N96" t="str">
        <f>_xlfn.XLOOKUP(E96, Sales_Reps!A:A, Sales_Reps!C:C)</f>
        <v>West</v>
      </c>
      <c r="O96">
        <f>_xlfn.XLOOKUP(D96, Products!A:A, Products!D:D)</f>
        <v>2237</v>
      </c>
      <c r="P96">
        <f>_xlfn.XLOOKUP(D96, Products!A:A, Products!E:E)</f>
        <v>5100</v>
      </c>
    </row>
    <row r="97" spans="1:16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 t="shared" si="1"/>
        <v>Chennai</v>
      </c>
      <c r="M97" t="str">
        <f>_xlfn.XLOOKUP(D97, Products!A:A, Products!C:C)</f>
        <v>Sports</v>
      </c>
      <c r="N97" t="str">
        <f>_xlfn.XLOOKUP(E97, Sales_Reps!A:A, Sales_Reps!C:C)</f>
        <v>South</v>
      </c>
      <c r="O97">
        <f>_xlfn.XLOOKUP(D97, Products!A:A, Products!D:D)</f>
        <v>516</v>
      </c>
      <c r="P97">
        <f>_xlfn.XLOOKUP(D97, Products!A:A, Products!E:E)</f>
        <v>1010</v>
      </c>
    </row>
    <row r="98" spans="1:16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 t="shared" si="1"/>
        <v>Hyderabad</v>
      </c>
      <c r="M98" t="str">
        <f>_xlfn.XLOOKUP(D98, Products!A:A, Products!C:C)</f>
        <v>Home</v>
      </c>
      <c r="N98" t="str">
        <f>_xlfn.XLOOKUP(E98, Sales_Reps!A:A, Sales_Reps!C:C)</f>
        <v>West</v>
      </c>
      <c r="O98">
        <f>_xlfn.XLOOKUP(D98, Products!A:A, Products!D:D)</f>
        <v>2135</v>
      </c>
      <c r="P98">
        <f>_xlfn.XLOOKUP(D98, Products!A:A, Products!E:E)</f>
        <v>3730</v>
      </c>
    </row>
    <row r="99" spans="1:16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 t="shared" si="1"/>
        <v>Chennai</v>
      </c>
      <c r="M99" t="str">
        <f>_xlfn.XLOOKUP(D99, Products!A:A, Products!C:C)</f>
        <v>Electronics</v>
      </c>
      <c r="N99" t="str">
        <f>_xlfn.XLOOKUP(E99, Sales_Reps!A:A, Sales_Reps!C:C)</f>
        <v>West</v>
      </c>
      <c r="O99">
        <f>_xlfn.XLOOKUP(D99, Products!A:A, Products!D:D)</f>
        <v>1052</v>
      </c>
      <c r="P99">
        <f>_xlfn.XLOOKUP(D99, Products!A:A, Products!E:E)</f>
        <v>2600</v>
      </c>
    </row>
    <row r="100" spans="1:16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 t="shared" si="1"/>
        <v>Mumbai</v>
      </c>
      <c r="M100" t="str">
        <f>_xlfn.XLOOKUP(D100, Products!A:A, Products!C:C)</f>
        <v>Grocery</v>
      </c>
      <c r="N100" t="str">
        <f>_xlfn.XLOOKUP(E100, Sales_Reps!A:A, Sales_Reps!C:C)</f>
        <v>North</v>
      </c>
      <c r="O100">
        <f>_xlfn.XLOOKUP(D100, Products!A:A, Products!D:D)</f>
        <v>2911</v>
      </c>
      <c r="P100">
        <f>_xlfn.XLOOKUP(D100, Products!A:A, Products!E:E)</f>
        <v>4060</v>
      </c>
    </row>
    <row r="101" spans="1:16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 t="shared" si="1"/>
        <v>Chennai</v>
      </c>
      <c r="M101" t="str">
        <f>_xlfn.XLOOKUP(D101, Products!A:A, Products!C:C)</f>
        <v>Beauty</v>
      </c>
      <c r="N101" t="str">
        <f>_xlfn.XLOOKUP(E101, Sales_Reps!A:A, Sales_Reps!C:C)</f>
        <v>West</v>
      </c>
      <c r="O101">
        <f>_xlfn.XLOOKUP(D101, Products!A:A, Products!D:D)</f>
        <v>2617</v>
      </c>
      <c r="P101">
        <f>_xlfn.XLOOKUP(D101, Products!A:A, Products!E:E)</f>
        <v>6080</v>
      </c>
    </row>
    <row r="102" spans="1:16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 t="shared" si="1"/>
        <v>Pune</v>
      </c>
      <c r="M102" t="str">
        <f>_xlfn.XLOOKUP(D102, Products!A:A, Products!C:C)</f>
        <v>Apparel</v>
      </c>
      <c r="N102" t="str">
        <f>_xlfn.XLOOKUP(E102, Sales_Reps!A:A, Sales_Reps!C:C)</f>
        <v>West</v>
      </c>
      <c r="O102">
        <f>_xlfn.XLOOKUP(D102, Products!A:A, Products!D:D)</f>
        <v>1075</v>
      </c>
      <c r="P102">
        <f>_xlfn.XLOOKUP(D102, Products!A:A, Products!E:E)</f>
        <v>2510</v>
      </c>
    </row>
    <row r="103" spans="1:16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 t="shared" si="1"/>
        <v>Delhi</v>
      </c>
      <c r="M103" t="str">
        <f>_xlfn.XLOOKUP(D103, Products!A:A, Products!C:C)</f>
        <v>Home</v>
      </c>
      <c r="N103" t="str">
        <f>_xlfn.XLOOKUP(E103, Sales_Reps!A:A, Sales_Reps!C:C)</f>
        <v>West</v>
      </c>
      <c r="O103">
        <f>_xlfn.XLOOKUP(D103, Products!A:A, Products!D:D)</f>
        <v>1556</v>
      </c>
      <c r="P103">
        <f>_xlfn.XLOOKUP(D103, Products!A:A, Products!E:E)</f>
        <v>3250</v>
      </c>
    </row>
    <row r="104" spans="1:16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 t="shared" si="1"/>
        <v>Delhi</v>
      </c>
      <c r="M104" t="str">
        <f>_xlfn.XLOOKUP(D104, Products!A:A, Products!C:C)</f>
        <v>Sports</v>
      </c>
      <c r="N104" t="str">
        <f>_xlfn.XLOOKUP(E104, Sales_Reps!A:A, Sales_Reps!C:C)</f>
        <v>North</v>
      </c>
      <c r="O104">
        <f>_xlfn.XLOOKUP(D104, Products!A:A, Products!D:D)</f>
        <v>2265</v>
      </c>
      <c r="P104">
        <f>_xlfn.XLOOKUP(D104, Products!A:A, Products!E:E)</f>
        <v>5410</v>
      </c>
    </row>
    <row r="105" spans="1:16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 t="shared" si="1"/>
        <v>Chennai</v>
      </c>
      <c r="M105" t="str">
        <f>_xlfn.XLOOKUP(D105, Products!A:A, Products!C:C)</f>
        <v>Electronics</v>
      </c>
      <c r="N105" t="str">
        <f>_xlfn.XLOOKUP(E105, Sales_Reps!A:A, Sales_Reps!C:C)</f>
        <v>East</v>
      </c>
      <c r="O105">
        <f>_xlfn.XLOOKUP(D105, Products!A:A, Products!D:D)</f>
        <v>1665</v>
      </c>
      <c r="P105">
        <f>_xlfn.XLOOKUP(D105, Products!A:A, Products!E:E)</f>
        <v>3570</v>
      </c>
    </row>
    <row r="106" spans="1:16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 t="shared" si="1"/>
        <v>Mumbai</v>
      </c>
      <c r="M106" t="str">
        <f>_xlfn.XLOOKUP(D106, Products!A:A, Products!C:C)</f>
        <v>Electronics</v>
      </c>
      <c r="N106" t="str">
        <f>_xlfn.XLOOKUP(E106, Sales_Reps!A:A, Sales_Reps!C:C)</f>
        <v>North</v>
      </c>
      <c r="O106">
        <f>_xlfn.XLOOKUP(D106, Products!A:A, Products!D:D)</f>
        <v>2405</v>
      </c>
      <c r="P106">
        <f>_xlfn.XLOOKUP(D106, Products!A:A, Products!E:E)</f>
        <v>5330</v>
      </c>
    </row>
    <row r="107" spans="1:16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 t="shared" si="1"/>
        <v>Mumbai</v>
      </c>
      <c r="M107" t="str">
        <f>_xlfn.XLOOKUP(D107, Products!A:A, Products!C:C)</f>
        <v>Grocery</v>
      </c>
      <c r="N107" t="str">
        <f>_xlfn.XLOOKUP(E107, Sales_Reps!A:A, Sales_Reps!C:C)</f>
        <v>East</v>
      </c>
      <c r="O107">
        <f>_xlfn.XLOOKUP(D107, Products!A:A, Products!D:D)</f>
        <v>1182</v>
      </c>
      <c r="P107">
        <f>_xlfn.XLOOKUP(D107, Products!A:A, Products!E:E)</f>
        <v>2380</v>
      </c>
    </row>
    <row r="108" spans="1:16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 t="shared" si="1"/>
        <v>Chennai</v>
      </c>
      <c r="M108" t="str">
        <f>_xlfn.XLOOKUP(D108, Products!A:A, Products!C:C)</f>
        <v>Sports</v>
      </c>
      <c r="N108" t="str">
        <f>_xlfn.XLOOKUP(E108, Sales_Reps!A:A, Sales_Reps!C:C)</f>
        <v>West</v>
      </c>
      <c r="O108">
        <f>_xlfn.XLOOKUP(D108, Products!A:A, Products!D:D)</f>
        <v>516</v>
      </c>
      <c r="P108">
        <f>_xlfn.XLOOKUP(D108, Products!A:A, Products!E:E)</f>
        <v>1010</v>
      </c>
    </row>
    <row r="109" spans="1:16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 t="shared" si="1"/>
        <v>Mumbai</v>
      </c>
      <c r="M109" t="str">
        <f>_xlfn.XLOOKUP(D109, Products!A:A, Products!C:C)</f>
        <v>Grocery</v>
      </c>
      <c r="N109" t="str">
        <f>_xlfn.XLOOKUP(E109, Sales_Reps!A:A, Sales_Reps!C:C)</f>
        <v>West</v>
      </c>
      <c r="O109">
        <f>_xlfn.XLOOKUP(D109, Products!A:A, Products!D:D)</f>
        <v>2214</v>
      </c>
      <c r="P109">
        <f>_xlfn.XLOOKUP(D109, Products!A:A, Products!E:E)</f>
        <v>3660</v>
      </c>
    </row>
    <row r="110" spans="1:16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 t="shared" si="1"/>
        <v>Pune</v>
      </c>
      <c r="M110" t="str">
        <f>_xlfn.XLOOKUP(D110, Products!A:A, Products!C:C)</f>
        <v>Grocery</v>
      </c>
      <c r="N110" t="str">
        <f>_xlfn.XLOOKUP(E110, Sales_Reps!A:A, Sales_Reps!C:C)</f>
        <v>South</v>
      </c>
      <c r="O110">
        <f>_xlfn.XLOOKUP(D110, Products!A:A, Products!D:D)</f>
        <v>2027</v>
      </c>
      <c r="P110">
        <f>_xlfn.XLOOKUP(D110, Products!A:A, Products!E:E)</f>
        <v>4070</v>
      </c>
    </row>
    <row r="111" spans="1:16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 t="shared" si="1"/>
        <v>Hyderabad</v>
      </c>
      <c r="M111" t="str">
        <f>_xlfn.XLOOKUP(D111, Products!A:A, Products!C:C)</f>
        <v>Home</v>
      </c>
      <c r="N111" t="str">
        <f>_xlfn.XLOOKUP(E111, Sales_Reps!A:A, Sales_Reps!C:C)</f>
        <v>West</v>
      </c>
      <c r="O111">
        <f>_xlfn.XLOOKUP(D111, Products!A:A, Products!D:D)</f>
        <v>329</v>
      </c>
      <c r="P111">
        <f>_xlfn.XLOOKUP(D111, Products!A:A, Products!E:E)</f>
        <v>660</v>
      </c>
    </row>
    <row r="112" spans="1:16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 t="shared" si="1"/>
        <v>Bengaluru</v>
      </c>
      <c r="M112" t="str">
        <f>_xlfn.XLOOKUP(D112, Products!A:A, Products!C:C)</f>
        <v>Home</v>
      </c>
      <c r="N112" t="str">
        <f>_xlfn.XLOOKUP(E112, Sales_Reps!A:A, Sales_Reps!C:C)</f>
        <v>West</v>
      </c>
      <c r="O112">
        <f>_xlfn.XLOOKUP(D112, Products!A:A, Products!D:D)</f>
        <v>519</v>
      </c>
      <c r="P112">
        <f>_xlfn.XLOOKUP(D112, Products!A:A, Products!E:E)</f>
        <v>1080</v>
      </c>
    </row>
    <row r="113" spans="1:16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 t="shared" si="1"/>
        <v>Chennai</v>
      </c>
      <c r="M113" t="str">
        <f>_xlfn.XLOOKUP(D113, Products!A:A, Products!C:C)</f>
        <v>Apparel</v>
      </c>
      <c r="N113" t="str">
        <f>_xlfn.XLOOKUP(E113, Sales_Reps!A:A, Sales_Reps!C:C)</f>
        <v>North</v>
      </c>
      <c r="O113">
        <f>_xlfn.XLOOKUP(D113, Products!A:A, Products!D:D)</f>
        <v>391</v>
      </c>
      <c r="P113">
        <f>_xlfn.XLOOKUP(D113, Products!A:A, Products!E:E)</f>
        <v>820</v>
      </c>
    </row>
    <row r="114" spans="1:16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 t="shared" si="1"/>
        <v>Delhi</v>
      </c>
      <c r="M114" t="str">
        <f>_xlfn.XLOOKUP(D114, Products!A:A, Products!C:C)</f>
        <v>Beauty</v>
      </c>
      <c r="N114" t="str">
        <f>_xlfn.XLOOKUP(E114, Sales_Reps!A:A, Sales_Reps!C:C)</f>
        <v>West</v>
      </c>
      <c r="O114">
        <f>_xlfn.XLOOKUP(D114, Products!A:A, Products!D:D)</f>
        <v>675</v>
      </c>
      <c r="P114">
        <f>_xlfn.XLOOKUP(D114, Products!A:A, Products!E:E)</f>
        <v>960</v>
      </c>
    </row>
    <row r="115" spans="1:16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 t="shared" si="1"/>
        <v>Delhi</v>
      </c>
      <c r="M115" t="str">
        <f>_xlfn.XLOOKUP(D115, Products!A:A, Products!C:C)</f>
        <v>Electronics</v>
      </c>
      <c r="N115" t="str">
        <f>_xlfn.XLOOKUP(E115, Sales_Reps!A:A, Sales_Reps!C:C)</f>
        <v>South</v>
      </c>
      <c r="O115">
        <f>_xlfn.XLOOKUP(D115, Products!A:A, Products!D:D)</f>
        <v>1052</v>
      </c>
      <c r="P115">
        <f>_xlfn.XLOOKUP(D115, Products!A:A, Products!E:E)</f>
        <v>2600</v>
      </c>
    </row>
    <row r="116" spans="1:16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 t="shared" si="1"/>
        <v>Pune</v>
      </c>
      <c r="M116" t="str">
        <f>_xlfn.XLOOKUP(D116, Products!A:A, Products!C:C)</f>
        <v>Home</v>
      </c>
      <c r="N116" t="str">
        <f>_xlfn.XLOOKUP(E116, Sales_Reps!A:A, Sales_Reps!C:C)</f>
        <v>West</v>
      </c>
      <c r="O116">
        <f>_xlfn.XLOOKUP(D116, Products!A:A, Products!D:D)</f>
        <v>1143</v>
      </c>
      <c r="P116">
        <f>_xlfn.XLOOKUP(D116, Products!A:A, Products!E:E)</f>
        <v>2030</v>
      </c>
    </row>
    <row r="117" spans="1:16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 t="shared" si="1"/>
        <v>Bengaluru</v>
      </c>
      <c r="M117" t="str">
        <f>_xlfn.XLOOKUP(D117, Products!A:A, Products!C:C)</f>
        <v>Beauty</v>
      </c>
      <c r="N117" t="str">
        <f>_xlfn.XLOOKUP(E117, Sales_Reps!A:A, Sales_Reps!C:C)</f>
        <v>West</v>
      </c>
      <c r="O117">
        <f>_xlfn.XLOOKUP(D117, Products!A:A, Products!D:D)</f>
        <v>1219</v>
      </c>
      <c r="P117">
        <f>_xlfn.XLOOKUP(D117, Products!A:A, Products!E:E)</f>
        <v>2290</v>
      </c>
    </row>
    <row r="118" spans="1:16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 t="shared" si="1"/>
        <v>Hyderabad</v>
      </c>
      <c r="M118" t="str">
        <f>_xlfn.XLOOKUP(D118, Products!A:A, Products!C:C)</f>
        <v>Home</v>
      </c>
      <c r="N118" t="str">
        <f>_xlfn.XLOOKUP(E118, Sales_Reps!A:A, Sales_Reps!C:C)</f>
        <v>West</v>
      </c>
      <c r="O118">
        <f>_xlfn.XLOOKUP(D118, Products!A:A, Products!D:D)</f>
        <v>2135</v>
      </c>
      <c r="P118">
        <f>_xlfn.XLOOKUP(D118, Products!A:A, Products!E:E)</f>
        <v>3730</v>
      </c>
    </row>
    <row r="119" spans="1:16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 t="shared" si="1"/>
        <v>Pune</v>
      </c>
      <c r="M119" t="str">
        <f>_xlfn.XLOOKUP(D119, Products!A:A, Products!C:C)</f>
        <v>Electronics</v>
      </c>
      <c r="N119" t="str">
        <f>_xlfn.XLOOKUP(E119, Sales_Reps!A:A, Sales_Reps!C:C)</f>
        <v>South</v>
      </c>
      <c r="O119">
        <f>_xlfn.XLOOKUP(D119, Products!A:A, Products!D:D)</f>
        <v>128</v>
      </c>
      <c r="P119">
        <f>_xlfn.XLOOKUP(D119, Products!A:A, Products!E:E)</f>
        <v>300</v>
      </c>
    </row>
    <row r="120" spans="1:16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 t="shared" si="1"/>
        <v>Mumbai</v>
      </c>
      <c r="M120" t="str">
        <f>_xlfn.XLOOKUP(D120, Products!A:A, Products!C:C)</f>
        <v>Electronics</v>
      </c>
      <c r="N120" t="str">
        <f>_xlfn.XLOOKUP(E120, Sales_Reps!A:A, Sales_Reps!C:C)</f>
        <v>South</v>
      </c>
      <c r="O120">
        <f>_xlfn.XLOOKUP(D120, Products!A:A, Products!D:D)</f>
        <v>128</v>
      </c>
      <c r="P120">
        <f>_xlfn.XLOOKUP(D120, Products!A:A, Products!E:E)</f>
        <v>300</v>
      </c>
    </row>
    <row r="121" spans="1:16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 t="shared" si="1"/>
        <v>Bengaluru</v>
      </c>
      <c r="M121" t="str">
        <f>_xlfn.XLOOKUP(D121, Products!A:A, Products!C:C)</f>
        <v>Beauty</v>
      </c>
      <c r="N121" t="str">
        <f>_xlfn.XLOOKUP(E121, Sales_Reps!A:A, Sales_Reps!C:C)</f>
        <v>North</v>
      </c>
      <c r="O121">
        <f>_xlfn.XLOOKUP(D121, Products!A:A, Products!D:D)</f>
        <v>1728</v>
      </c>
      <c r="P121">
        <f>_xlfn.XLOOKUP(D121, Products!A:A, Products!E:E)</f>
        <v>3350</v>
      </c>
    </row>
    <row r="122" spans="1:16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 t="shared" si="1"/>
        <v>Bengaluru</v>
      </c>
      <c r="M122" t="str">
        <f>_xlfn.XLOOKUP(D122, Products!A:A, Products!C:C)</f>
        <v>Electronics</v>
      </c>
      <c r="N122" t="str">
        <f>_xlfn.XLOOKUP(E122, Sales_Reps!A:A, Sales_Reps!C:C)</f>
        <v>North</v>
      </c>
      <c r="O122">
        <f>_xlfn.XLOOKUP(D122, Products!A:A, Products!D:D)</f>
        <v>2405</v>
      </c>
      <c r="P122">
        <f>_xlfn.XLOOKUP(D122, Products!A:A, Products!E:E)</f>
        <v>5330</v>
      </c>
    </row>
    <row r="123" spans="1:16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 t="shared" si="1"/>
        <v>Delhi</v>
      </c>
      <c r="M123" t="str">
        <f>_xlfn.XLOOKUP(D123, Products!A:A, Products!C:C)</f>
        <v>Apparel</v>
      </c>
      <c r="N123" t="str">
        <f>_xlfn.XLOOKUP(E123, Sales_Reps!A:A, Sales_Reps!C:C)</f>
        <v>North</v>
      </c>
      <c r="O123">
        <f>_xlfn.XLOOKUP(D123, Products!A:A, Products!D:D)</f>
        <v>2509</v>
      </c>
      <c r="P123">
        <f>_xlfn.XLOOKUP(D123, Products!A:A, Products!E:E)</f>
        <v>3620</v>
      </c>
    </row>
    <row r="124" spans="1:16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 t="shared" si="1"/>
        <v>Delhi</v>
      </c>
      <c r="M124" t="str">
        <f>_xlfn.XLOOKUP(D124, Products!A:A, Products!C:C)</f>
        <v>Apparel</v>
      </c>
      <c r="N124" t="str">
        <f>_xlfn.XLOOKUP(E124, Sales_Reps!A:A, Sales_Reps!C:C)</f>
        <v>North</v>
      </c>
      <c r="O124">
        <f>_xlfn.XLOOKUP(D124, Products!A:A, Products!D:D)</f>
        <v>2509</v>
      </c>
      <c r="P124">
        <f>_xlfn.XLOOKUP(D124, Products!A:A, Products!E:E)</f>
        <v>3620</v>
      </c>
    </row>
    <row r="125" spans="1:16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 t="shared" si="1"/>
        <v>Chennai</v>
      </c>
      <c r="M125" t="str">
        <f>_xlfn.XLOOKUP(D125, Products!A:A, Products!C:C)</f>
        <v>Sports</v>
      </c>
      <c r="N125" t="str">
        <f>_xlfn.XLOOKUP(E125, Sales_Reps!A:A, Sales_Reps!C:C)</f>
        <v>North</v>
      </c>
      <c r="O125">
        <f>_xlfn.XLOOKUP(D125, Products!A:A, Products!D:D)</f>
        <v>705</v>
      </c>
      <c r="P125">
        <f>_xlfn.XLOOKUP(D125, Products!A:A, Products!E:E)</f>
        <v>960</v>
      </c>
    </row>
    <row r="126" spans="1:16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 t="shared" si="1"/>
        <v>Bengaluru</v>
      </c>
      <c r="M126" t="str">
        <f>_xlfn.XLOOKUP(D126, Products!A:A, Products!C:C)</f>
        <v>Beauty</v>
      </c>
      <c r="N126" t="str">
        <f>_xlfn.XLOOKUP(E126, Sales_Reps!A:A, Sales_Reps!C:C)</f>
        <v>West</v>
      </c>
      <c r="O126">
        <f>_xlfn.XLOOKUP(D126, Products!A:A, Products!D:D)</f>
        <v>1222</v>
      </c>
      <c r="P126">
        <f>_xlfn.XLOOKUP(D126, Products!A:A, Products!E:E)</f>
        <v>1650</v>
      </c>
    </row>
    <row r="127" spans="1:16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 t="shared" si="1"/>
        <v>Chennai</v>
      </c>
      <c r="M127" t="str">
        <f>_xlfn.XLOOKUP(D127, Products!A:A, Products!C:C)</f>
        <v>Beauty</v>
      </c>
      <c r="N127" t="str">
        <f>_xlfn.XLOOKUP(E127, Sales_Reps!A:A, Sales_Reps!C:C)</f>
        <v>South</v>
      </c>
      <c r="O127">
        <f>_xlfn.XLOOKUP(D127, Products!A:A, Products!D:D)</f>
        <v>675</v>
      </c>
      <c r="P127">
        <f>_xlfn.XLOOKUP(D127, Products!A:A, Products!E:E)</f>
        <v>960</v>
      </c>
    </row>
    <row r="128" spans="1:16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 t="shared" si="1"/>
        <v>Pune</v>
      </c>
      <c r="M128" t="str">
        <f>_xlfn.XLOOKUP(D128, Products!A:A, Products!C:C)</f>
        <v>Electronics</v>
      </c>
      <c r="N128" t="str">
        <f>_xlfn.XLOOKUP(E128, Sales_Reps!A:A, Sales_Reps!C:C)</f>
        <v>North</v>
      </c>
      <c r="O128">
        <f>_xlfn.XLOOKUP(D128, Products!A:A, Products!D:D)</f>
        <v>2865</v>
      </c>
      <c r="P128">
        <f>_xlfn.XLOOKUP(D128, Products!A:A, Products!E:E)</f>
        <v>3970</v>
      </c>
    </row>
    <row r="129" spans="1:16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 t="shared" si="1"/>
        <v>Hyderabad</v>
      </c>
      <c r="M129" t="str">
        <f>_xlfn.XLOOKUP(D129, Products!A:A, Products!C:C)</f>
        <v>Grocery</v>
      </c>
      <c r="N129" t="str">
        <f>_xlfn.XLOOKUP(E129, Sales_Reps!A:A, Sales_Reps!C:C)</f>
        <v>North</v>
      </c>
      <c r="O129">
        <f>_xlfn.XLOOKUP(D129, Products!A:A, Products!D:D)</f>
        <v>434</v>
      </c>
      <c r="P129">
        <f>_xlfn.XLOOKUP(D129, Products!A:A, Products!E:E)</f>
        <v>970</v>
      </c>
    </row>
    <row r="130" spans="1:16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 t="shared" si="1"/>
        <v>Mumbai</v>
      </c>
      <c r="M130" t="str">
        <f>_xlfn.XLOOKUP(D130, Products!A:A, Products!C:C)</f>
        <v>Home</v>
      </c>
      <c r="N130" t="str">
        <f>_xlfn.XLOOKUP(E130, Sales_Reps!A:A, Sales_Reps!C:C)</f>
        <v>North</v>
      </c>
      <c r="O130">
        <f>_xlfn.XLOOKUP(D130, Products!A:A, Products!D:D)</f>
        <v>1143</v>
      </c>
      <c r="P130">
        <f>_xlfn.XLOOKUP(D130, Products!A:A, Products!E:E)</f>
        <v>2030</v>
      </c>
    </row>
    <row r="131" spans="1:16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 t="shared" ref="L131:L194" si="2">PROPER(TRIM(K131))</f>
        <v>Pune</v>
      </c>
      <c r="M131" t="str">
        <f>_xlfn.XLOOKUP(D131, Products!A:A, Products!C:C)</f>
        <v>Grocery</v>
      </c>
      <c r="N131" t="str">
        <f>_xlfn.XLOOKUP(E131, Sales_Reps!A:A, Sales_Reps!C:C)</f>
        <v>East</v>
      </c>
      <c r="O131">
        <f>_xlfn.XLOOKUP(D131, Products!A:A, Products!D:D)</f>
        <v>1203</v>
      </c>
      <c r="P131">
        <f>_xlfn.XLOOKUP(D131, Products!A:A, Products!E:E)</f>
        <v>2270</v>
      </c>
    </row>
    <row r="132" spans="1:16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 t="shared" si="2"/>
        <v>Hyderabad</v>
      </c>
      <c r="M132" t="str">
        <f>_xlfn.XLOOKUP(D132, Products!A:A, Products!C:C)</f>
        <v>Beauty</v>
      </c>
      <c r="N132" t="str">
        <f>_xlfn.XLOOKUP(E132, Sales_Reps!A:A, Sales_Reps!C:C)</f>
        <v>North</v>
      </c>
      <c r="O132">
        <f>_xlfn.XLOOKUP(D132, Products!A:A, Products!D:D)</f>
        <v>2768</v>
      </c>
      <c r="P132">
        <f>_xlfn.XLOOKUP(D132, Products!A:A, Products!E:E)</f>
        <v>4880</v>
      </c>
    </row>
    <row r="133" spans="1:16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 t="shared" si="2"/>
        <v>Bengaluru</v>
      </c>
      <c r="M133" t="str">
        <f>_xlfn.XLOOKUP(D133, Products!A:A, Products!C:C)</f>
        <v>Electronics</v>
      </c>
      <c r="N133" t="str">
        <f>_xlfn.XLOOKUP(E133, Sales_Reps!A:A, Sales_Reps!C:C)</f>
        <v>South</v>
      </c>
      <c r="O133">
        <f>_xlfn.XLOOKUP(D133, Products!A:A, Products!D:D)</f>
        <v>1559</v>
      </c>
      <c r="P133">
        <f>_xlfn.XLOOKUP(D133, Products!A:A, Products!E:E)</f>
        <v>3870</v>
      </c>
    </row>
    <row r="134" spans="1:16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 t="shared" si="2"/>
        <v>Hyderabad</v>
      </c>
      <c r="M134" t="str">
        <f>_xlfn.XLOOKUP(D134, Products!A:A, Products!C:C)</f>
        <v>Beauty</v>
      </c>
      <c r="N134" t="str">
        <f>_xlfn.XLOOKUP(E134, Sales_Reps!A:A, Sales_Reps!C:C)</f>
        <v>North</v>
      </c>
      <c r="O134">
        <f>_xlfn.XLOOKUP(D134, Products!A:A, Products!D:D)</f>
        <v>1219</v>
      </c>
      <c r="P134">
        <f>_xlfn.XLOOKUP(D134, Products!A:A, Products!E:E)</f>
        <v>2290</v>
      </c>
    </row>
    <row r="135" spans="1:16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 t="shared" si="2"/>
        <v>Delhi</v>
      </c>
      <c r="M135" t="str">
        <f>_xlfn.XLOOKUP(D135, Products!A:A, Products!C:C)</f>
        <v>Grocery</v>
      </c>
      <c r="N135" t="str">
        <f>_xlfn.XLOOKUP(E135, Sales_Reps!A:A, Sales_Reps!C:C)</f>
        <v>East</v>
      </c>
      <c r="O135">
        <f>_xlfn.XLOOKUP(D135, Products!A:A, Products!D:D)</f>
        <v>1182</v>
      </c>
      <c r="P135">
        <f>_xlfn.XLOOKUP(D135, Products!A:A, Products!E:E)</f>
        <v>2380</v>
      </c>
    </row>
    <row r="136" spans="1:16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 t="shared" si="2"/>
        <v>Chennai</v>
      </c>
      <c r="M136" t="str">
        <f>_xlfn.XLOOKUP(D136, Products!A:A, Products!C:C)</f>
        <v>Grocery</v>
      </c>
      <c r="N136" t="str">
        <f>_xlfn.XLOOKUP(E136, Sales_Reps!A:A, Sales_Reps!C:C)</f>
        <v>South</v>
      </c>
      <c r="O136">
        <f>_xlfn.XLOOKUP(D136, Products!A:A, Products!D:D)</f>
        <v>1010</v>
      </c>
      <c r="P136">
        <f>_xlfn.XLOOKUP(D136, Products!A:A, Products!E:E)</f>
        <v>2210</v>
      </c>
    </row>
    <row r="137" spans="1:16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 t="shared" si="2"/>
        <v>Pune</v>
      </c>
      <c r="M137" t="str">
        <f>_xlfn.XLOOKUP(D137, Products!A:A, Products!C:C)</f>
        <v>Electronics</v>
      </c>
      <c r="N137" t="str">
        <f>_xlfn.XLOOKUP(E137, Sales_Reps!A:A, Sales_Reps!C:C)</f>
        <v>East</v>
      </c>
      <c r="O137">
        <f>_xlfn.XLOOKUP(D137, Products!A:A, Products!D:D)</f>
        <v>2405</v>
      </c>
      <c r="P137">
        <f>_xlfn.XLOOKUP(D137, Products!A:A, Products!E:E)</f>
        <v>5330</v>
      </c>
    </row>
    <row r="138" spans="1:16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 t="shared" si="2"/>
        <v>Chennai</v>
      </c>
      <c r="M138" t="str">
        <f>_xlfn.XLOOKUP(D138, Products!A:A, Products!C:C)</f>
        <v>Electronics</v>
      </c>
      <c r="N138" t="str">
        <f>_xlfn.XLOOKUP(E138, Sales_Reps!A:A, Sales_Reps!C:C)</f>
        <v>East</v>
      </c>
      <c r="O138">
        <f>_xlfn.XLOOKUP(D138, Products!A:A, Products!D:D)</f>
        <v>2865</v>
      </c>
      <c r="P138">
        <f>_xlfn.XLOOKUP(D138, Products!A:A, Products!E:E)</f>
        <v>3970</v>
      </c>
    </row>
    <row r="139" spans="1:16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 t="shared" si="2"/>
        <v>Pune</v>
      </c>
      <c r="M139" t="str">
        <f>_xlfn.XLOOKUP(D139, Products!A:A, Products!C:C)</f>
        <v>Apparel</v>
      </c>
      <c r="N139" t="str">
        <f>_xlfn.XLOOKUP(E139, Sales_Reps!A:A, Sales_Reps!C:C)</f>
        <v>East</v>
      </c>
      <c r="O139">
        <f>_xlfn.XLOOKUP(D139, Products!A:A, Products!D:D)</f>
        <v>1886</v>
      </c>
      <c r="P139">
        <f>_xlfn.XLOOKUP(D139, Products!A:A, Products!E:E)</f>
        <v>3160</v>
      </c>
    </row>
    <row r="140" spans="1:16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 t="shared" si="2"/>
        <v>Bengaluru</v>
      </c>
      <c r="M140" t="str">
        <f>_xlfn.XLOOKUP(D140, Products!A:A, Products!C:C)</f>
        <v>Sports</v>
      </c>
      <c r="N140" t="str">
        <f>_xlfn.XLOOKUP(E140, Sales_Reps!A:A, Sales_Reps!C:C)</f>
        <v>South</v>
      </c>
      <c r="O140">
        <f>_xlfn.XLOOKUP(D140, Products!A:A, Products!D:D)</f>
        <v>147</v>
      </c>
      <c r="P140">
        <f>_xlfn.XLOOKUP(D140, Products!A:A, Products!E:E)</f>
        <v>190</v>
      </c>
    </row>
    <row r="141" spans="1:16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 t="shared" si="2"/>
        <v>Delhi</v>
      </c>
      <c r="M141" t="str">
        <f>_xlfn.XLOOKUP(D141, Products!A:A, Products!C:C)</f>
        <v>Grocery</v>
      </c>
      <c r="N141" t="str">
        <f>_xlfn.XLOOKUP(E141, Sales_Reps!A:A, Sales_Reps!C:C)</f>
        <v>North</v>
      </c>
      <c r="O141">
        <f>_xlfn.XLOOKUP(D141, Products!A:A, Products!D:D)</f>
        <v>1435</v>
      </c>
      <c r="P141">
        <f>_xlfn.XLOOKUP(D141, Products!A:A, Products!E:E)</f>
        <v>2760</v>
      </c>
    </row>
    <row r="142" spans="1:16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 t="shared" si="2"/>
        <v>Mumbai</v>
      </c>
      <c r="M142" t="str">
        <f>_xlfn.XLOOKUP(D142, Products!A:A, Products!C:C)</f>
        <v>Grocery</v>
      </c>
      <c r="N142" t="str">
        <f>_xlfn.XLOOKUP(E142, Sales_Reps!A:A, Sales_Reps!C:C)</f>
        <v>East</v>
      </c>
      <c r="O142">
        <f>_xlfn.XLOOKUP(D142, Products!A:A, Products!D:D)</f>
        <v>1412</v>
      </c>
      <c r="P142">
        <f>_xlfn.XLOOKUP(D142, Products!A:A, Products!E:E)</f>
        <v>2270</v>
      </c>
    </row>
    <row r="143" spans="1:16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 t="shared" si="2"/>
        <v>Hyderabad</v>
      </c>
      <c r="M143" t="str">
        <f>_xlfn.XLOOKUP(D143, Products!A:A, Products!C:C)</f>
        <v>Sports</v>
      </c>
      <c r="N143" t="str">
        <f>_xlfn.XLOOKUP(E143, Sales_Reps!A:A, Sales_Reps!C:C)</f>
        <v>North</v>
      </c>
      <c r="O143">
        <f>_xlfn.XLOOKUP(D143, Products!A:A, Products!D:D)</f>
        <v>2265</v>
      </c>
      <c r="P143">
        <f>_xlfn.XLOOKUP(D143, Products!A:A, Products!E:E)</f>
        <v>5410</v>
      </c>
    </row>
    <row r="144" spans="1:16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 t="shared" si="2"/>
        <v>Delhi</v>
      </c>
      <c r="M144" t="str">
        <f>_xlfn.XLOOKUP(D144, Products!A:A, Products!C:C)</f>
        <v>Grocery</v>
      </c>
      <c r="N144" t="str">
        <f>_xlfn.XLOOKUP(E144, Sales_Reps!A:A, Sales_Reps!C:C)</f>
        <v>South</v>
      </c>
      <c r="O144">
        <f>_xlfn.XLOOKUP(D144, Products!A:A, Products!D:D)</f>
        <v>1203</v>
      </c>
      <c r="P144">
        <f>_xlfn.XLOOKUP(D144, Products!A:A, Products!E:E)</f>
        <v>2270</v>
      </c>
    </row>
    <row r="145" spans="1:16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 t="shared" si="2"/>
        <v>Delhi</v>
      </c>
      <c r="M145" t="str">
        <f>_xlfn.XLOOKUP(D145, Products!A:A, Products!C:C)</f>
        <v>Apparel</v>
      </c>
      <c r="N145" t="str">
        <f>_xlfn.XLOOKUP(E145, Sales_Reps!A:A, Sales_Reps!C:C)</f>
        <v>North</v>
      </c>
      <c r="O145">
        <f>_xlfn.XLOOKUP(D145, Products!A:A, Products!D:D)</f>
        <v>1886</v>
      </c>
      <c r="P145">
        <f>_xlfn.XLOOKUP(D145, Products!A:A, Products!E:E)</f>
        <v>3160</v>
      </c>
    </row>
    <row r="146" spans="1:16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 t="shared" si="2"/>
        <v>Pune</v>
      </c>
      <c r="M146" t="str">
        <f>_xlfn.XLOOKUP(D146, Products!A:A, Products!C:C)</f>
        <v>Grocery</v>
      </c>
      <c r="N146" t="str">
        <f>_xlfn.XLOOKUP(E146, Sales_Reps!A:A, Sales_Reps!C:C)</f>
        <v>West</v>
      </c>
      <c r="O146">
        <f>_xlfn.XLOOKUP(D146, Products!A:A, Products!D:D)</f>
        <v>2911</v>
      </c>
      <c r="P146">
        <f>_xlfn.XLOOKUP(D146, Products!A:A, Products!E:E)</f>
        <v>4060</v>
      </c>
    </row>
    <row r="147" spans="1:16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 t="shared" si="2"/>
        <v>Pune</v>
      </c>
      <c r="M147" t="str">
        <f>_xlfn.XLOOKUP(D147, Products!A:A, Products!C:C)</f>
        <v>Apparel</v>
      </c>
      <c r="N147" t="str">
        <f>_xlfn.XLOOKUP(E147, Sales_Reps!A:A, Sales_Reps!C:C)</f>
        <v>East</v>
      </c>
      <c r="O147">
        <f>_xlfn.XLOOKUP(D147, Products!A:A, Products!D:D)</f>
        <v>391</v>
      </c>
      <c r="P147">
        <f>_xlfn.XLOOKUP(D147, Products!A:A, Products!E:E)</f>
        <v>820</v>
      </c>
    </row>
    <row r="148" spans="1:16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 t="shared" si="2"/>
        <v>Pune</v>
      </c>
      <c r="M148" t="str">
        <f>_xlfn.XLOOKUP(D148, Products!A:A, Products!C:C)</f>
        <v>Home</v>
      </c>
      <c r="N148" t="str">
        <f>_xlfn.XLOOKUP(E148, Sales_Reps!A:A, Sales_Reps!C:C)</f>
        <v>North</v>
      </c>
      <c r="O148">
        <f>_xlfn.XLOOKUP(D148, Products!A:A, Products!D:D)</f>
        <v>288</v>
      </c>
      <c r="P148">
        <f>_xlfn.XLOOKUP(D148, Products!A:A, Products!E:E)</f>
        <v>370</v>
      </c>
    </row>
    <row r="149" spans="1:16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 t="shared" si="2"/>
        <v>Pune</v>
      </c>
      <c r="M149" t="str">
        <f>_xlfn.XLOOKUP(D149, Products!A:A, Products!C:C)</f>
        <v>Home</v>
      </c>
      <c r="N149" t="str">
        <f>_xlfn.XLOOKUP(E149, Sales_Reps!A:A, Sales_Reps!C:C)</f>
        <v>North</v>
      </c>
      <c r="O149">
        <f>_xlfn.XLOOKUP(D149, Products!A:A, Products!D:D)</f>
        <v>2459</v>
      </c>
      <c r="P149">
        <f>_xlfn.XLOOKUP(D149, Products!A:A, Products!E:E)</f>
        <v>5080</v>
      </c>
    </row>
    <row r="150" spans="1:16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 t="shared" si="2"/>
        <v>Pune</v>
      </c>
      <c r="M150" t="str">
        <f>_xlfn.XLOOKUP(D150, Products!A:A, Products!C:C)</f>
        <v>Grocery</v>
      </c>
      <c r="N150" t="str">
        <f>_xlfn.XLOOKUP(E150, Sales_Reps!A:A, Sales_Reps!C:C)</f>
        <v>South</v>
      </c>
      <c r="O150">
        <f>_xlfn.XLOOKUP(D150, Products!A:A, Products!D:D)</f>
        <v>2027</v>
      </c>
      <c r="P150">
        <f>_xlfn.XLOOKUP(D150, Products!A:A, Products!E:E)</f>
        <v>4070</v>
      </c>
    </row>
    <row r="151" spans="1:16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 t="shared" si="2"/>
        <v>Pune</v>
      </c>
      <c r="M151" t="str">
        <f>_xlfn.XLOOKUP(D151, Products!A:A, Products!C:C)</f>
        <v>Electronics</v>
      </c>
      <c r="N151" t="str">
        <f>_xlfn.XLOOKUP(E151, Sales_Reps!A:A, Sales_Reps!C:C)</f>
        <v>West</v>
      </c>
      <c r="O151">
        <f>_xlfn.XLOOKUP(D151, Products!A:A, Products!D:D)</f>
        <v>128</v>
      </c>
      <c r="P151">
        <f>_xlfn.XLOOKUP(D151, Products!A:A, Products!E:E)</f>
        <v>300</v>
      </c>
    </row>
    <row r="152" spans="1:16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 t="shared" si="2"/>
        <v>Mumbai</v>
      </c>
      <c r="M152" t="str">
        <f>_xlfn.XLOOKUP(D152, Products!A:A, Products!C:C)</f>
        <v>Beauty</v>
      </c>
      <c r="N152" t="str">
        <f>_xlfn.XLOOKUP(E152, Sales_Reps!A:A, Sales_Reps!C:C)</f>
        <v>South</v>
      </c>
      <c r="O152">
        <f>_xlfn.XLOOKUP(D152, Products!A:A, Products!D:D)</f>
        <v>2237</v>
      </c>
      <c r="P152">
        <f>_xlfn.XLOOKUP(D152, Products!A:A, Products!E:E)</f>
        <v>5100</v>
      </c>
    </row>
    <row r="153" spans="1:16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 t="shared" si="2"/>
        <v>Chennai</v>
      </c>
      <c r="M153" t="str">
        <f>_xlfn.XLOOKUP(D153, Products!A:A, Products!C:C)</f>
        <v>Home</v>
      </c>
      <c r="N153" t="str">
        <f>_xlfn.XLOOKUP(E153, Sales_Reps!A:A, Sales_Reps!C:C)</f>
        <v>South</v>
      </c>
      <c r="O153">
        <f>_xlfn.XLOOKUP(D153, Products!A:A, Products!D:D)</f>
        <v>2549</v>
      </c>
      <c r="P153">
        <f>_xlfn.XLOOKUP(D153, Products!A:A, Products!E:E)</f>
        <v>5490</v>
      </c>
    </row>
    <row r="154" spans="1:16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 t="shared" si="2"/>
        <v>Delhi</v>
      </c>
      <c r="M154" t="str">
        <f>_xlfn.XLOOKUP(D154, Products!A:A, Products!C:C)</f>
        <v>Apparel</v>
      </c>
      <c r="N154" t="str">
        <f>_xlfn.XLOOKUP(E154, Sales_Reps!A:A, Sales_Reps!C:C)</f>
        <v>South</v>
      </c>
      <c r="O154">
        <f>_xlfn.XLOOKUP(D154, Products!A:A, Products!D:D)</f>
        <v>1748</v>
      </c>
      <c r="P154">
        <f>_xlfn.XLOOKUP(D154, Products!A:A, Products!E:E)</f>
        <v>3450</v>
      </c>
    </row>
    <row r="155" spans="1:16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 t="shared" si="2"/>
        <v>Hyderabad</v>
      </c>
      <c r="M155" t="str">
        <f>_xlfn.XLOOKUP(D155, Products!A:A, Products!C:C)</f>
        <v>Grocery</v>
      </c>
      <c r="N155" t="str">
        <f>_xlfn.XLOOKUP(E155, Sales_Reps!A:A, Sales_Reps!C:C)</f>
        <v>North</v>
      </c>
      <c r="O155">
        <f>_xlfn.XLOOKUP(D155, Products!A:A, Products!D:D)</f>
        <v>1010</v>
      </c>
      <c r="P155">
        <f>_xlfn.XLOOKUP(D155, Products!A:A, Products!E:E)</f>
        <v>2210</v>
      </c>
    </row>
    <row r="156" spans="1:16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 t="shared" si="2"/>
        <v>Hyderabad</v>
      </c>
      <c r="M156" t="str">
        <f>_xlfn.XLOOKUP(D156, Products!A:A, Products!C:C)</f>
        <v>Home</v>
      </c>
      <c r="N156" t="str">
        <f>_xlfn.XLOOKUP(E156, Sales_Reps!A:A, Sales_Reps!C:C)</f>
        <v>South</v>
      </c>
      <c r="O156">
        <f>_xlfn.XLOOKUP(D156, Products!A:A, Products!D:D)</f>
        <v>1556</v>
      </c>
      <c r="P156">
        <f>_xlfn.XLOOKUP(D156, Products!A:A, Products!E:E)</f>
        <v>3250</v>
      </c>
    </row>
    <row r="157" spans="1:16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 t="shared" si="2"/>
        <v>Pune</v>
      </c>
      <c r="M157" t="str">
        <f>_xlfn.XLOOKUP(D157, Products!A:A, Products!C:C)</f>
        <v>Apparel</v>
      </c>
      <c r="N157" t="str">
        <f>_xlfn.XLOOKUP(E157, Sales_Reps!A:A, Sales_Reps!C:C)</f>
        <v>North</v>
      </c>
      <c r="O157">
        <f>_xlfn.XLOOKUP(D157, Products!A:A, Products!D:D)</f>
        <v>1886</v>
      </c>
      <c r="P157">
        <f>_xlfn.XLOOKUP(D157, Products!A:A, Products!E:E)</f>
        <v>3160</v>
      </c>
    </row>
    <row r="158" spans="1:16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 t="shared" si="2"/>
        <v>Pune</v>
      </c>
      <c r="M158" t="str">
        <f>_xlfn.XLOOKUP(D158, Products!A:A, Products!C:C)</f>
        <v>Electronics</v>
      </c>
      <c r="N158" t="str">
        <f>_xlfn.XLOOKUP(E158, Sales_Reps!A:A, Sales_Reps!C:C)</f>
        <v>West</v>
      </c>
      <c r="O158">
        <f>_xlfn.XLOOKUP(D158, Products!A:A, Products!D:D)</f>
        <v>1559</v>
      </c>
      <c r="P158">
        <f>_xlfn.XLOOKUP(D158, Products!A:A, Products!E:E)</f>
        <v>3870</v>
      </c>
    </row>
    <row r="159" spans="1:16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 t="shared" si="2"/>
        <v>Pune</v>
      </c>
      <c r="M159" t="str">
        <f>_xlfn.XLOOKUP(D159, Products!A:A, Products!C:C)</f>
        <v>Sports</v>
      </c>
      <c r="N159" t="str">
        <f>_xlfn.XLOOKUP(E159, Sales_Reps!A:A, Sales_Reps!C:C)</f>
        <v>East</v>
      </c>
      <c r="O159">
        <f>_xlfn.XLOOKUP(D159, Products!A:A, Products!D:D)</f>
        <v>1860</v>
      </c>
      <c r="P159">
        <f>_xlfn.XLOOKUP(D159, Products!A:A, Products!E:E)</f>
        <v>3780</v>
      </c>
    </row>
    <row r="160" spans="1:16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 t="shared" si="2"/>
        <v>Bengaluru</v>
      </c>
      <c r="M160" t="str">
        <f>_xlfn.XLOOKUP(D160, Products!A:A, Products!C:C)</f>
        <v>Beauty</v>
      </c>
      <c r="N160" t="str">
        <f>_xlfn.XLOOKUP(E160, Sales_Reps!A:A, Sales_Reps!C:C)</f>
        <v>East</v>
      </c>
      <c r="O160">
        <f>_xlfn.XLOOKUP(D160, Products!A:A, Products!D:D)</f>
        <v>1626</v>
      </c>
      <c r="P160">
        <f>_xlfn.XLOOKUP(D160, Products!A:A, Products!E:E)</f>
        <v>3020</v>
      </c>
    </row>
    <row r="161" spans="1:16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 t="shared" si="2"/>
        <v>Mumbai</v>
      </c>
      <c r="M161" t="str">
        <f>_xlfn.XLOOKUP(D161, Products!A:A, Products!C:C)</f>
        <v>Home</v>
      </c>
      <c r="N161" t="str">
        <f>_xlfn.XLOOKUP(E161, Sales_Reps!A:A, Sales_Reps!C:C)</f>
        <v>South</v>
      </c>
      <c r="O161">
        <f>_xlfn.XLOOKUP(D161, Products!A:A, Products!D:D)</f>
        <v>2135</v>
      </c>
      <c r="P161">
        <f>_xlfn.XLOOKUP(D161, Products!A:A, Products!E:E)</f>
        <v>3730</v>
      </c>
    </row>
    <row r="162" spans="1:16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 t="shared" si="2"/>
        <v>Hyderabad</v>
      </c>
      <c r="M162" t="str">
        <f>_xlfn.XLOOKUP(D162, Products!A:A, Products!C:C)</f>
        <v>Beauty</v>
      </c>
      <c r="N162" t="str">
        <f>_xlfn.XLOOKUP(E162, Sales_Reps!A:A, Sales_Reps!C:C)</f>
        <v>East</v>
      </c>
      <c r="O162">
        <f>_xlfn.XLOOKUP(D162, Products!A:A, Products!D:D)</f>
        <v>2768</v>
      </c>
      <c r="P162">
        <f>_xlfn.XLOOKUP(D162, Products!A:A, Products!E:E)</f>
        <v>4880</v>
      </c>
    </row>
    <row r="163" spans="1:16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 t="shared" si="2"/>
        <v>Pune</v>
      </c>
      <c r="M163" t="str">
        <f>_xlfn.XLOOKUP(D163, Products!A:A, Products!C:C)</f>
        <v>Grocery</v>
      </c>
      <c r="N163" t="str">
        <f>_xlfn.XLOOKUP(E163, Sales_Reps!A:A, Sales_Reps!C:C)</f>
        <v>West</v>
      </c>
      <c r="O163">
        <f>_xlfn.XLOOKUP(D163, Products!A:A, Products!D:D)</f>
        <v>434</v>
      </c>
      <c r="P163">
        <f>_xlfn.XLOOKUP(D163, Products!A:A, Products!E:E)</f>
        <v>970</v>
      </c>
    </row>
    <row r="164" spans="1:16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 t="shared" si="2"/>
        <v>Bengaluru</v>
      </c>
      <c r="M164" t="str">
        <f>_xlfn.XLOOKUP(D164, Products!A:A, Products!C:C)</f>
        <v>Electronics</v>
      </c>
      <c r="N164" t="str">
        <f>_xlfn.XLOOKUP(E164, Sales_Reps!A:A, Sales_Reps!C:C)</f>
        <v>East</v>
      </c>
      <c r="O164">
        <f>_xlfn.XLOOKUP(D164, Products!A:A, Products!D:D)</f>
        <v>1259</v>
      </c>
      <c r="P164">
        <f>_xlfn.XLOOKUP(D164, Products!A:A, Products!E:E)</f>
        <v>2660</v>
      </c>
    </row>
    <row r="165" spans="1:16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 t="shared" si="2"/>
        <v>Delhi</v>
      </c>
      <c r="M165" t="str">
        <f>_xlfn.XLOOKUP(D165, Products!A:A, Products!C:C)</f>
        <v>Apparel</v>
      </c>
      <c r="N165" t="str">
        <f>_xlfn.XLOOKUP(E165, Sales_Reps!A:A, Sales_Reps!C:C)</f>
        <v>South</v>
      </c>
      <c r="O165">
        <f>_xlfn.XLOOKUP(D165, Products!A:A, Products!D:D)</f>
        <v>391</v>
      </c>
      <c r="P165">
        <f>_xlfn.XLOOKUP(D165, Products!A:A, Products!E:E)</f>
        <v>820</v>
      </c>
    </row>
    <row r="166" spans="1:16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 t="shared" si="2"/>
        <v>Chennai</v>
      </c>
      <c r="M166" t="str">
        <f>_xlfn.XLOOKUP(D166, Products!A:A, Products!C:C)</f>
        <v>Home</v>
      </c>
      <c r="N166" t="str">
        <f>_xlfn.XLOOKUP(E166, Sales_Reps!A:A, Sales_Reps!C:C)</f>
        <v>South</v>
      </c>
      <c r="O166">
        <f>_xlfn.XLOOKUP(D166, Products!A:A, Products!D:D)</f>
        <v>1143</v>
      </c>
      <c r="P166">
        <f>_xlfn.XLOOKUP(D166, Products!A:A, Products!E:E)</f>
        <v>2030</v>
      </c>
    </row>
    <row r="167" spans="1:16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 t="shared" si="2"/>
        <v>Delhi</v>
      </c>
      <c r="M167" t="str">
        <f>_xlfn.XLOOKUP(D167, Products!A:A, Products!C:C)</f>
        <v>Apparel</v>
      </c>
      <c r="N167" t="str">
        <f>_xlfn.XLOOKUP(E167, Sales_Reps!A:A, Sales_Reps!C:C)</f>
        <v>South</v>
      </c>
      <c r="O167">
        <f>_xlfn.XLOOKUP(D167, Products!A:A, Products!D:D)</f>
        <v>396</v>
      </c>
      <c r="P167">
        <f>_xlfn.XLOOKUP(D167, Products!A:A, Products!E:E)</f>
        <v>620</v>
      </c>
    </row>
    <row r="168" spans="1:16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 t="shared" si="2"/>
        <v>Delhi</v>
      </c>
      <c r="M168" t="str">
        <f>_xlfn.XLOOKUP(D168, Products!A:A, Products!C:C)</f>
        <v>Grocery</v>
      </c>
      <c r="N168" t="str">
        <f>_xlfn.XLOOKUP(E168, Sales_Reps!A:A, Sales_Reps!C:C)</f>
        <v>East</v>
      </c>
      <c r="O168">
        <f>_xlfn.XLOOKUP(D168, Products!A:A, Products!D:D)</f>
        <v>1412</v>
      </c>
      <c r="P168">
        <f>_xlfn.XLOOKUP(D168, Products!A:A, Products!E:E)</f>
        <v>2270</v>
      </c>
    </row>
    <row r="169" spans="1:16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 t="shared" si="2"/>
        <v>Hyderabad</v>
      </c>
      <c r="M169" t="str">
        <f>_xlfn.XLOOKUP(D169, Products!A:A, Products!C:C)</f>
        <v>Sports</v>
      </c>
      <c r="N169" t="str">
        <f>_xlfn.XLOOKUP(E169, Sales_Reps!A:A, Sales_Reps!C:C)</f>
        <v>South</v>
      </c>
      <c r="O169">
        <f>_xlfn.XLOOKUP(D169, Products!A:A, Products!D:D)</f>
        <v>302</v>
      </c>
      <c r="P169">
        <f>_xlfn.XLOOKUP(D169, Products!A:A, Products!E:E)</f>
        <v>470</v>
      </c>
    </row>
    <row r="170" spans="1:16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 t="shared" si="2"/>
        <v>Pune</v>
      </c>
      <c r="M170" t="str">
        <f>_xlfn.XLOOKUP(D170, Products!A:A, Products!C:C)</f>
        <v>Electronics</v>
      </c>
      <c r="N170" t="str">
        <f>_xlfn.XLOOKUP(E170, Sales_Reps!A:A, Sales_Reps!C:C)</f>
        <v>North</v>
      </c>
      <c r="O170">
        <f>_xlfn.XLOOKUP(D170, Products!A:A, Products!D:D)</f>
        <v>2405</v>
      </c>
      <c r="P170">
        <f>_xlfn.XLOOKUP(D170, Products!A:A, Products!E:E)</f>
        <v>5330</v>
      </c>
    </row>
    <row r="171" spans="1:16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 t="shared" si="2"/>
        <v>Pune</v>
      </c>
      <c r="M171" t="str">
        <f>_xlfn.XLOOKUP(D171, Products!A:A, Products!C:C)</f>
        <v>Beauty</v>
      </c>
      <c r="N171" t="str">
        <f>_xlfn.XLOOKUP(E171, Sales_Reps!A:A, Sales_Reps!C:C)</f>
        <v>North</v>
      </c>
      <c r="O171">
        <f>_xlfn.XLOOKUP(D171, Products!A:A, Products!D:D)</f>
        <v>2617</v>
      </c>
      <c r="P171">
        <f>_xlfn.XLOOKUP(D171, Products!A:A, Products!E:E)</f>
        <v>6080</v>
      </c>
    </row>
    <row r="172" spans="1:16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 t="shared" si="2"/>
        <v>Delhi</v>
      </c>
      <c r="M172" t="str">
        <f>_xlfn.XLOOKUP(D172, Products!A:A, Products!C:C)</f>
        <v>Grocery</v>
      </c>
      <c r="N172" t="str">
        <f>_xlfn.XLOOKUP(E172, Sales_Reps!A:A, Sales_Reps!C:C)</f>
        <v>East</v>
      </c>
      <c r="O172">
        <f>_xlfn.XLOOKUP(D172, Products!A:A, Products!D:D)</f>
        <v>2436</v>
      </c>
      <c r="P172">
        <f>_xlfn.XLOOKUP(D172, Products!A:A, Products!E:E)</f>
        <v>3780</v>
      </c>
    </row>
    <row r="173" spans="1:16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 t="shared" si="2"/>
        <v>Hyderabad</v>
      </c>
      <c r="M173" t="str">
        <f>_xlfn.XLOOKUP(D173, Products!A:A, Products!C:C)</f>
        <v>Apparel</v>
      </c>
      <c r="N173" t="str">
        <f>_xlfn.XLOOKUP(E173, Sales_Reps!A:A, Sales_Reps!C:C)</f>
        <v>South</v>
      </c>
      <c r="O173">
        <f>_xlfn.XLOOKUP(D173, Products!A:A, Products!D:D)</f>
        <v>396</v>
      </c>
      <c r="P173">
        <f>_xlfn.XLOOKUP(D173, Products!A:A, Products!E:E)</f>
        <v>620</v>
      </c>
    </row>
    <row r="174" spans="1:16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 t="shared" si="2"/>
        <v>Pune</v>
      </c>
      <c r="M174" t="str">
        <f>_xlfn.XLOOKUP(D174, Products!A:A, Products!C:C)</f>
        <v>Apparel</v>
      </c>
      <c r="N174" t="str">
        <f>_xlfn.XLOOKUP(E174, Sales_Reps!A:A, Sales_Reps!C:C)</f>
        <v>West</v>
      </c>
      <c r="O174">
        <f>_xlfn.XLOOKUP(D174, Products!A:A, Products!D:D)</f>
        <v>1075</v>
      </c>
      <c r="P174">
        <f>_xlfn.XLOOKUP(D174, Products!A:A, Products!E:E)</f>
        <v>2510</v>
      </c>
    </row>
    <row r="175" spans="1:16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 t="shared" si="2"/>
        <v>Pune</v>
      </c>
      <c r="M175" t="str">
        <f>_xlfn.XLOOKUP(D175, Products!A:A, Products!C:C)</f>
        <v>Apparel</v>
      </c>
      <c r="N175" t="str">
        <f>_xlfn.XLOOKUP(E175, Sales_Reps!A:A, Sales_Reps!C:C)</f>
        <v>East</v>
      </c>
      <c r="O175">
        <f>_xlfn.XLOOKUP(D175, Products!A:A, Products!D:D)</f>
        <v>1962</v>
      </c>
      <c r="P175">
        <f>_xlfn.XLOOKUP(D175, Products!A:A, Products!E:E)</f>
        <v>2720</v>
      </c>
    </row>
    <row r="176" spans="1:16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 t="shared" si="2"/>
        <v>Pune</v>
      </c>
      <c r="M176" t="str">
        <f>_xlfn.XLOOKUP(D176, Products!A:A, Products!C:C)</f>
        <v>Sports</v>
      </c>
      <c r="N176" t="str">
        <f>_xlfn.XLOOKUP(E176, Sales_Reps!A:A, Sales_Reps!C:C)</f>
        <v>East</v>
      </c>
      <c r="O176">
        <f>_xlfn.XLOOKUP(D176, Products!A:A, Products!D:D)</f>
        <v>302</v>
      </c>
      <c r="P176">
        <f>_xlfn.XLOOKUP(D176, Products!A:A, Products!E:E)</f>
        <v>470</v>
      </c>
    </row>
    <row r="177" spans="1:16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 t="shared" si="2"/>
        <v>Hyderabad</v>
      </c>
      <c r="M177" t="str">
        <f>_xlfn.XLOOKUP(D177, Products!A:A, Products!C:C)</f>
        <v>Home</v>
      </c>
      <c r="N177" t="str">
        <f>_xlfn.XLOOKUP(E177, Sales_Reps!A:A, Sales_Reps!C:C)</f>
        <v>East</v>
      </c>
      <c r="O177">
        <f>_xlfn.XLOOKUP(D177, Products!A:A, Products!D:D)</f>
        <v>1556</v>
      </c>
      <c r="P177">
        <f>_xlfn.XLOOKUP(D177, Products!A:A, Products!E:E)</f>
        <v>3250</v>
      </c>
    </row>
    <row r="178" spans="1:16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 t="shared" si="2"/>
        <v>Delhi</v>
      </c>
      <c r="M178" t="str">
        <f>_xlfn.XLOOKUP(D178, Products!A:A, Products!C:C)</f>
        <v>Home</v>
      </c>
      <c r="N178" t="str">
        <f>_xlfn.XLOOKUP(E178, Sales_Reps!A:A, Sales_Reps!C:C)</f>
        <v>West</v>
      </c>
      <c r="O178">
        <f>_xlfn.XLOOKUP(D178, Products!A:A, Products!D:D)</f>
        <v>2459</v>
      </c>
      <c r="P178">
        <f>_xlfn.XLOOKUP(D178, Products!A:A, Products!E:E)</f>
        <v>5080</v>
      </c>
    </row>
    <row r="179" spans="1:16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 t="shared" si="2"/>
        <v>Pune</v>
      </c>
      <c r="M179" t="str">
        <f>_xlfn.XLOOKUP(D179, Products!A:A, Products!C:C)</f>
        <v>Electronics</v>
      </c>
      <c r="N179" t="str">
        <f>_xlfn.XLOOKUP(E179, Sales_Reps!A:A, Sales_Reps!C:C)</f>
        <v>South</v>
      </c>
      <c r="O179">
        <f>_xlfn.XLOOKUP(D179, Products!A:A, Products!D:D)</f>
        <v>1665</v>
      </c>
      <c r="P179">
        <f>_xlfn.XLOOKUP(D179, Products!A:A, Products!E:E)</f>
        <v>3570</v>
      </c>
    </row>
    <row r="180" spans="1:16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 t="shared" si="2"/>
        <v>Pune</v>
      </c>
      <c r="M180" t="str">
        <f>_xlfn.XLOOKUP(D180, Products!A:A, Products!C:C)</f>
        <v>Apparel</v>
      </c>
      <c r="N180" t="str">
        <f>_xlfn.XLOOKUP(E180, Sales_Reps!A:A, Sales_Reps!C:C)</f>
        <v>South</v>
      </c>
      <c r="O180">
        <f>_xlfn.XLOOKUP(D180, Products!A:A, Products!D:D)</f>
        <v>2611</v>
      </c>
      <c r="P180">
        <f>_xlfn.XLOOKUP(D180, Products!A:A, Products!E:E)</f>
        <v>3640</v>
      </c>
    </row>
    <row r="181" spans="1:16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 t="shared" si="2"/>
        <v>Pune</v>
      </c>
      <c r="M181" t="str">
        <f>_xlfn.XLOOKUP(D181, Products!A:A, Products!C:C)</f>
        <v>Grocery</v>
      </c>
      <c r="N181" t="str">
        <f>_xlfn.XLOOKUP(E181, Sales_Reps!A:A, Sales_Reps!C:C)</f>
        <v>North</v>
      </c>
      <c r="O181">
        <f>_xlfn.XLOOKUP(D181, Products!A:A, Products!D:D)</f>
        <v>2027</v>
      </c>
      <c r="P181">
        <f>_xlfn.XLOOKUP(D181, Products!A:A, Products!E:E)</f>
        <v>4070</v>
      </c>
    </row>
    <row r="182" spans="1:16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 t="shared" si="2"/>
        <v>Mumbai</v>
      </c>
      <c r="M182" t="str">
        <f>_xlfn.XLOOKUP(D182, Products!A:A, Products!C:C)</f>
        <v>Apparel</v>
      </c>
      <c r="N182" t="str">
        <f>_xlfn.XLOOKUP(E182, Sales_Reps!A:A, Sales_Reps!C:C)</f>
        <v>South</v>
      </c>
      <c r="O182">
        <f>_xlfn.XLOOKUP(D182, Products!A:A, Products!D:D)</f>
        <v>1748</v>
      </c>
      <c r="P182">
        <f>_xlfn.XLOOKUP(D182, Products!A:A, Products!E:E)</f>
        <v>3450</v>
      </c>
    </row>
    <row r="183" spans="1:16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 t="shared" si="2"/>
        <v>Hyderabad</v>
      </c>
      <c r="M183" t="str">
        <f>_xlfn.XLOOKUP(D183, Products!A:A, Products!C:C)</f>
        <v>Home</v>
      </c>
      <c r="N183" t="str">
        <f>_xlfn.XLOOKUP(E183, Sales_Reps!A:A, Sales_Reps!C:C)</f>
        <v>West</v>
      </c>
      <c r="O183">
        <f>_xlfn.XLOOKUP(D183, Products!A:A, Products!D:D)</f>
        <v>2459</v>
      </c>
      <c r="P183">
        <f>_xlfn.XLOOKUP(D183, Products!A:A, Products!E:E)</f>
        <v>5080</v>
      </c>
    </row>
    <row r="184" spans="1:16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 t="shared" si="2"/>
        <v>Hyderabad</v>
      </c>
      <c r="M184" t="str">
        <f>_xlfn.XLOOKUP(D184, Products!A:A, Products!C:C)</f>
        <v>Grocery</v>
      </c>
      <c r="N184" t="str">
        <f>_xlfn.XLOOKUP(E184, Sales_Reps!A:A, Sales_Reps!C:C)</f>
        <v>West</v>
      </c>
      <c r="O184">
        <f>_xlfn.XLOOKUP(D184, Products!A:A, Products!D:D)</f>
        <v>1435</v>
      </c>
      <c r="P184">
        <f>_xlfn.XLOOKUP(D184, Products!A:A, Products!E:E)</f>
        <v>2760</v>
      </c>
    </row>
    <row r="185" spans="1:16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 t="shared" si="2"/>
        <v>Mumbai</v>
      </c>
      <c r="M185" t="str">
        <f>_xlfn.XLOOKUP(D185, Products!A:A, Products!C:C)</f>
        <v>Beauty</v>
      </c>
      <c r="N185" t="str">
        <f>_xlfn.XLOOKUP(E185, Sales_Reps!A:A, Sales_Reps!C:C)</f>
        <v>South</v>
      </c>
      <c r="O185">
        <f>_xlfn.XLOOKUP(D185, Products!A:A, Products!D:D)</f>
        <v>1222</v>
      </c>
      <c r="P185">
        <f>_xlfn.XLOOKUP(D185, Products!A:A, Products!E:E)</f>
        <v>1650</v>
      </c>
    </row>
    <row r="186" spans="1:16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 t="shared" si="2"/>
        <v>Hyderabad</v>
      </c>
      <c r="M186" t="str">
        <f>_xlfn.XLOOKUP(D186, Products!A:A, Products!C:C)</f>
        <v>Electronics</v>
      </c>
      <c r="N186" t="str">
        <f>_xlfn.XLOOKUP(E186, Sales_Reps!A:A, Sales_Reps!C:C)</f>
        <v>North</v>
      </c>
      <c r="O186">
        <f>_xlfn.XLOOKUP(D186, Products!A:A, Products!D:D)</f>
        <v>1559</v>
      </c>
      <c r="P186">
        <f>_xlfn.XLOOKUP(D186, Products!A:A, Products!E:E)</f>
        <v>3870</v>
      </c>
    </row>
    <row r="187" spans="1:16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 t="shared" si="2"/>
        <v>Hyderabad</v>
      </c>
      <c r="M187" t="str">
        <f>_xlfn.XLOOKUP(D187, Products!A:A, Products!C:C)</f>
        <v>Home</v>
      </c>
      <c r="N187" t="str">
        <f>_xlfn.XLOOKUP(E187, Sales_Reps!A:A, Sales_Reps!C:C)</f>
        <v>East</v>
      </c>
      <c r="O187">
        <f>_xlfn.XLOOKUP(D187, Products!A:A, Products!D:D)</f>
        <v>464</v>
      </c>
      <c r="P187">
        <f>_xlfn.XLOOKUP(D187, Products!A:A, Products!E:E)</f>
        <v>1090</v>
      </c>
    </row>
    <row r="188" spans="1:16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 t="shared" si="2"/>
        <v>Bengaluru</v>
      </c>
      <c r="M188" t="str">
        <f>_xlfn.XLOOKUP(D188, Products!A:A, Products!C:C)</f>
        <v>Beauty</v>
      </c>
      <c r="N188" t="str">
        <f>_xlfn.XLOOKUP(E188, Sales_Reps!A:A, Sales_Reps!C:C)</f>
        <v>West</v>
      </c>
      <c r="O188">
        <f>_xlfn.XLOOKUP(D188, Products!A:A, Products!D:D)</f>
        <v>675</v>
      </c>
      <c r="P188">
        <f>_xlfn.XLOOKUP(D188, Products!A:A, Products!E:E)</f>
        <v>960</v>
      </c>
    </row>
    <row r="189" spans="1:16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 t="shared" si="2"/>
        <v>Bengaluru</v>
      </c>
      <c r="M189" t="str">
        <f>_xlfn.XLOOKUP(D189, Products!A:A, Products!C:C)</f>
        <v>Beauty</v>
      </c>
      <c r="N189" t="str">
        <f>_xlfn.XLOOKUP(E189, Sales_Reps!A:A, Sales_Reps!C:C)</f>
        <v>East</v>
      </c>
      <c r="O189">
        <f>_xlfn.XLOOKUP(D189, Products!A:A, Products!D:D)</f>
        <v>1728</v>
      </c>
      <c r="P189">
        <f>_xlfn.XLOOKUP(D189, Products!A:A, Products!E:E)</f>
        <v>3350</v>
      </c>
    </row>
    <row r="190" spans="1:16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 t="shared" si="2"/>
        <v>Pune</v>
      </c>
      <c r="M190" t="str">
        <f>_xlfn.XLOOKUP(D190, Products!A:A, Products!C:C)</f>
        <v>Grocery</v>
      </c>
      <c r="N190" t="str">
        <f>_xlfn.XLOOKUP(E190, Sales_Reps!A:A, Sales_Reps!C:C)</f>
        <v>North</v>
      </c>
      <c r="O190">
        <f>_xlfn.XLOOKUP(D190, Products!A:A, Products!D:D)</f>
        <v>1412</v>
      </c>
      <c r="P190">
        <f>_xlfn.XLOOKUP(D190, Products!A:A, Products!E:E)</f>
        <v>2270</v>
      </c>
    </row>
    <row r="191" spans="1:16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 t="shared" si="2"/>
        <v>Bengaluru</v>
      </c>
      <c r="M191" t="str">
        <f>_xlfn.XLOOKUP(D191, Products!A:A, Products!C:C)</f>
        <v>Home</v>
      </c>
      <c r="N191" t="str">
        <f>_xlfn.XLOOKUP(E191, Sales_Reps!A:A, Sales_Reps!C:C)</f>
        <v>East</v>
      </c>
      <c r="O191">
        <f>_xlfn.XLOOKUP(D191, Products!A:A, Products!D:D)</f>
        <v>1850</v>
      </c>
      <c r="P191">
        <f>_xlfn.XLOOKUP(D191, Products!A:A, Products!E:E)</f>
        <v>4610</v>
      </c>
    </row>
    <row r="192" spans="1:16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 t="shared" si="2"/>
        <v>Bengaluru</v>
      </c>
      <c r="M192" t="str">
        <f>_xlfn.XLOOKUP(D192, Products!A:A, Products!C:C)</f>
        <v>Apparel</v>
      </c>
      <c r="N192" t="str">
        <f>_xlfn.XLOOKUP(E192, Sales_Reps!A:A, Sales_Reps!C:C)</f>
        <v>South</v>
      </c>
      <c r="O192">
        <f>_xlfn.XLOOKUP(D192, Products!A:A, Products!D:D)</f>
        <v>1886</v>
      </c>
      <c r="P192">
        <f>_xlfn.XLOOKUP(D192, Products!A:A, Products!E:E)</f>
        <v>3160</v>
      </c>
    </row>
    <row r="193" spans="1:16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 t="shared" si="2"/>
        <v>Hyderabad</v>
      </c>
      <c r="M193" t="str">
        <f>_xlfn.XLOOKUP(D193, Products!A:A, Products!C:C)</f>
        <v>Grocery</v>
      </c>
      <c r="N193" t="str">
        <f>_xlfn.XLOOKUP(E193, Sales_Reps!A:A, Sales_Reps!C:C)</f>
        <v>North</v>
      </c>
      <c r="O193">
        <f>_xlfn.XLOOKUP(D193, Products!A:A, Products!D:D)</f>
        <v>1412</v>
      </c>
      <c r="P193">
        <f>_xlfn.XLOOKUP(D193, Products!A:A, Products!E:E)</f>
        <v>2270</v>
      </c>
    </row>
    <row r="194" spans="1:16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 t="shared" si="2"/>
        <v>Pune</v>
      </c>
      <c r="M194" t="str">
        <f>_xlfn.XLOOKUP(D194, Products!A:A, Products!C:C)</f>
        <v>Beauty</v>
      </c>
      <c r="N194" t="str">
        <f>_xlfn.XLOOKUP(E194, Sales_Reps!A:A, Sales_Reps!C:C)</f>
        <v>West</v>
      </c>
      <c r="O194">
        <f>_xlfn.XLOOKUP(D194, Products!A:A, Products!D:D)</f>
        <v>1626</v>
      </c>
      <c r="P194">
        <f>_xlfn.XLOOKUP(D194, Products!A:A, Products!E:E)</f>
        <v>3020</v>
      </c>
    </row>
    <row r="195" spans="1:16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 t="shared" ref="L195:L258" si="3">PROPER(TRIM(K195))</f>
        <v>Bengaluru</v>
      </c>
      <c r="M195" t="str">
        <f>_xlfn.XLOOKUP(D195, Products!A:A, Products!C:C)</f>
        <v>Sports</v>
      </c>
      <c r="N195" t="str">
        <f>_xlfn.XLOOKUP(E195, Sales_Reps!A:A, Sales_Reps!C:C)</f>
        <v>West</v>
      </c>
      <c r="O195">
        <f>_xlfn.XLOOKUP(D195, Products!A:A, Products!D:D)</f>
        <v>2827</v>
      </c>
      <c r="P195">
        <f>_xlfn.XLOOKUP(D195, Products!A:A, Products!E:E)</f>
        <v>6940</v>
      </c>
    </row>
    <row r="196" spans="1:16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 t="shared" si="3"/>
        <v>Pune</v>
      </c>
      <c r="M196" t="str">
        <f>_xlfn.XLOOKUP(D196, Products!A:A, Products!C:C)</f>
        <v>Beauty</v>
      </c>
      <c r="N196" t="str">
        <f>_xlfn.XLOOKUP(E196, Sales_Reps!A:A, Sales_Reps!C:C)</f>
        <v>South</v>
      </c>
      <c r="O196">
        <f>_xlfn.XLOOKUP(D196, Products!A:A, Products!D:D)</f>
        <v>647</v>
      </c>
      <c r="P196">
        <f>_xlfn.XLOOKUP(D196, Products!A:A, Products!E:E)</f>
        <v>1540</v>
      </c>
    </row>
    <row r="197" spans="1:16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 t="shared" si="3"/>
        <v>Pune</v>
      </c>
      <c r="M197" t="str">
        <f>_xlfn.XLOOKUP(D197, Products!A:A, Products!C:C)</f>
        <v>Apparel</v>
      </c>
      <c r="N197" t="str">
        <f>_xlfn.XLOOKUP(E197, Sales_Reps!A:A, Sales_Reps!C:C)</f>
        <v>West</v>
      </c>
      <c r="O197">
        <f>_xlfn.XLOOKUP(D197, Products!A:A, Products!D:D)</f>
        <v>1173</v>
      </c>
      <c r="P197">
        <f>_xlfn.XLOOKUP(D197, Products!A:A, Products!E:E)</f>
        <v>2480</v>
      </c>
    </row>
    <row r="198" spans="1:16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 t="shared" si="3"/>
        <v>Mumbai</v>
      </c>
      <c r="M198" t="str">
        <f>_xlfn.XLOOKUP(D198, Products!A:A, Products!C:C)</f>
        <v>Sports</v>
      </c>
      <c r="N198" t="str">
        <f>_xlfn.XLOOKUP(E198, Sales_Reps!A:A, Sales_Reps!C:C)</f>
        <v>East</v>
      </c>
      <c r="O198">
        <f>_xlfn.XLOOKUP(D198, Products!A:A, Products!D:D)</f>
        <v>147</v>
      </c>
      <c r="P198">
        <f>_xlfn.XLOOKUP(D198, Products!A:A, Products!E:E)</f>
        <v>190</v>
      </c>
    </row>
    <row r="199" spans="1:16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 t="shared" si="3"/>
        <v>Delhi</v>
      </c>
      <c r="M199" t="str">
        <f>_xlfn.XLOOKUP(D199, Products!A:A, Products!C:C)</f>
        <v>Sports</v>
      </c>
      <c r="N199" t="str">
        <f>_xlfn.XLOOKUP(E199, Sales_Reps!A:A, Sales_Reps!C:C)</f>
        <v>South</v>
      </c>
      <c r="O199">
        <f>_xlfn.XLOOKUP(D199, Products!A:A, Products!D:D)</f>
        <v>2028</v>
      </c>
      <c r="P199">
        <f>_xlfn.XLOOKUP(D199, Products!A:A, Products!E:E)</f>
        <v>2860</v>
      </c>
    </row>
    <row r="200" spans="1:16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 t="shared" si="3"/>
        <v>Mumbai</v>
      </c>
      <c r="M200" t="str">
        <f>_xlfn.XLOOKUP(D200, Products!A:A, Products!C:C)</f>
        <v>Apparel</v>
      </c>
      <c r="N200" t="str">
        <f>_xlfn.XLOOKUP(E200, Sales_Reps!A:A, Sales_Reps!C:C)</f>
        <v>South</v>
      </c>
      <c r="O200">
        <f>_xlfn.XLOOKUP(D200, Products!A:A, Products!D:D)</f>
        <v>1075</v>
      </c>
      <c r="P200">
        <f>_xlfn.XLOOKUP(D200, Products!A:A, Products!E:E)</f>
        <v>2510</v>
      </c>
    </row>
    <row r="201" spans="1:16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 t="shared" si="3"/>
        <v>Bengaluru</v>
      </c>
      <c r="M201" t="str">
        <f>_xlfn.XLOOKUP(D201, Products!A:A, Products!C:C)</f>
        <v>Electronics</v>
      </c>
      <c r="N201" t="str">
        <f>_xlfn.XLOOKUP(E201, Sales_Reps!A:A, Sales_Reps!C:C)</f>
        <v>North</v>
      </c>
      <c r="O201">
        <f>_xlfn.XLOOKUP(D201, Products!A:A, Products!D:D)</f>
        <v>1665</v>
      </c>
      <c r="P201">
        <f>_xlfn.XLOOKUP(D201, Products!A:A, Products!E:E)</f>
        <v>3570</v>
      </c>
    </row>
    <row r="202" spans="1:16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 t="shared" si="3"/>
        <v>Delhi</v>
      </c>
      <c r="M202" t="str">
        <f>_xlfn.XLOOKUP(D202, Products!A:A, Products!C:C)</f>
        <v>Home</v>
      </c>
      <c r="N202" t="str">
        <f>_xlfn.XLOOKUP(E202, Sales_Reps!A:A, Sales_Reps!C:C)</f>
        <v>South</v>
      </c>
      <c r="O202">
        <f>_xlfn.XLOOKUP(D202, Products!A:A, Products!D:D)</f>
        <v>2135</v>
      </c>
      <c r="P202">
        <f>_xlfn.XLOOKUP(D202, Products!A:A, Products!E:E)</f>
        <v>3730</v>
      </c>
    </row>
    <row r="203" spans="1:16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 t="shared" si="3"/>
        <v>Mumbai</v>
      </c>
      <c r="M203" t="str">
        <f>_xlfn.XLOOKUP(D203, Products!A:A, Products!C:C)</f>
        <v>Home</v>
      </c>
      <c r="N203" t="str">
        <f>_xlfn.XLOOKUP(E203, Sales_Reps!A:A, Sales_Reps!C:C)</f>
        <v>West</v>
      </c>
      <c r="O203">
        <f>_xlfn.XLOOKUP(D203, Products!A:A, Products!D:D)</f>
        <v>288</v>
      </c>
      <c r="P203">
        <f>_xlfn.XLOOKUP(D203, Products!A:A, Products!E:E)</f>
        <v>370</v>
      </c>
    </row>
    <row r="204" spans="1:16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 t="shared" si="3"/>
        <v>Delhi</v>
      </c>
      <c r="M204" t="str">
        <f>_xlfn.XLOOKUP(D204, Products!A:A, Products!C:C)</f>
        <v>Electronics</v>
      </c>
      <c r="N204" t="str">
        <f>_xlfn.XLOOKUP(E204, Sales_Reps!A:A, Sales_Reps!C:C)</f>
        <v>South</v>
      </c>
      <c r="O204">
        <f>_xlfn.XLOOKUP(D204, Products!A:A, Products!D:D)</f>
        <v>1259</v>
      </c>
      <c r="P204">
        <f>_xlfn.XLOOKUP(D204, Products!A:A, Products!E:E)</f>
        <v>2660</v>
      </c>
    </row>
    <row r="205" spans="1:16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 t="shared" si="3"/>
        <v>Bengaluru</v>
      </c>
      <c r="M205" t="str">
        <f>_xlfn.XLOOKUP(D205, Products!A:A, Products!C:C)</f>
        <v>Grocery</v>
      </c>
      <c r="N205" t="str">
        <f>_xlfn.XLOOKUP(E205, Sales_Reps!A:A, Sales_Reps!C:C)</f>
        <v>South</v>
      </c>
      <c r="O205">
        <f>_xlfn.XLOOKUP(D205, Products!A:A, Products!D:D)</f>
        <v>1435</v>
      </c>
      <c r="P205">
        <f>_xlfn.XLOOKUP(D205, Products!A:A, Products!E:E)</f>
        <v>2760</v>
      </c>
    </row>
    <row r="206" spans="1:16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 t="shared" si="3"/>
        <v>Delhi</v>
      </c>
      <c r="M206" t="str">
        <f>_xlfn.XLOOKUP(D206, Products!A:A, Products!C:C)</f>
        <v>Beauty</v>
      </c>
      <c r="N206" t="str">
        <f>_xlfn.XLOOKUP(E206, Sales_Reps!A:A, Sales_Reps!C:C)</f>
        <v>South</v>
      </c>
      <c r="O206">
        <f>_xlfn.XLOOKUP(D206, Products!A:A, Products!D:D)</f>
        <v>1728</v>
      </c>
      <c r="P206">
        <f>_xlfn.XLOOKUP(D206, Products!A:A, Products!E:E)</f>
        <v>3350</v>
      </c>
    </row>
    <row r="207" spans="1:16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 t="shared" si="3"/>
        <v>Pune</v>
      </c>
      <c r="M207" t="str">
        <f>_xlfn.XLOOKUP(D207, Products!A:A, Products!C:C)</f>
        <v>Electronics</v>
      </c>
      <c r="N207" t="str">
        <f>_xlfn.XLOOKUP(E207, Sales_Reps!A:A, Sales_Reps!C:C)</f>
        <v>East</v>
      </c>
      <c r="O207">
        <f>_xlfn.XLOOKUP(D207, Products!A:A, Products!D:D)</f>
        <v>128</v>
      </c>
      <c r="P207">
        <f>_xlfn.XLOOKUP(D207, Products!A:A, Products!E:E)</f>
        <v>300</v>
      </c>
    </row>
    <row r="208" spans="1:16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 t="shared" si="3"/>
        <v>Mumbai</v>
      </c>
      <c r="M208" t="str">
        <f>_xlfn.XLOOKUP(D208, Products!A:A, Products!C:C)</f>
        <v>Apparel</v>
      </c>
      <c r="N208" t="str">
        <f>_xlfn.XLOOKUP(E208, Sales_Reps!A:A, Sales_Reps!C:C)</f>
        <v>North</v>
      </c>
      <c r="O208">
        <f>_xlfn.XLOOKUP(D208, Products!A:A, Products!D:D)</f>
        <v>1962</v>
      </c>
      <c r="P208">
        <f>_xlfn.XLOOKUP(D208, Products!A:A, Products!E:E)</f>
        <v>2720</v>
      </c>
    </row>
    <row r="209" spans="1:16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 t="shared" si="3"/>
        <v>Hyderabad</v>
      </c>
      <c r="M209" t="str">
        <f>_xlfn.XLOOKUP(D209, Products!A:A, Products!C:C)</f>
        <v>Electronics</v>
      </c>
      <c r="N209" t="str">
        <f>_xlfn.XLOOKUP(E209, Sales_Reps!A:A, Sales_Reps!C:C)</f>
        <v>South</v>
      </c>
      <c r="O209">
        <f>_xlfn.XLOOKUP(D209, Products!A:A, Products!D:D)</f>
        <v>1559</v>
      </c>
      <c r="P209">
        <f>_xlfn.XLOOKUP(D209, Products!A:A, Products!E:E)</f>
        <v>3870</v>
      </c>
    </row>
    <row r="210" spans="1:16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 t="shared" si="3"/>
        <v>Hyderabad</v>
      </c>
      <c r="M210" t="str">
        <f>_xlfn.XLOOKUP(D210, Products!A:A, Products!C:C)</f>
        <v>Home</v>
      </c>
      <c r="N210" t="str">
        <f>_xlfn.XLOOKUP(E210, Sales_Reps!A:A, Sales_Reps!C:C)</f>
        <v>South</v>
      </c>
      <c r="O210">
        <f>_xlfn.XLOOKUP(D210, Products!A:A, Products!D:D)</f>
        <v>2135</v>
      </c>
      <c r="P210">
        <f>_xlfn.XLOOKUP(D210, Products!A:A, Products!E:E)</f>
        <v>3730</v>
      </c>
    </row>
    <row r="211" spans="1:16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 t="shared" si="3"/>
        <v>Chennai</v>
      </c>
      <c r="M211" t="str">
        <f>_xlfn.XLOOKUP(D211, Products!A:A, Products!C:C)</f>
        <v>Apparel</v>
      </c>
      <c r="N211" t="str">
        <f>_xlfn.XLOOKUP(E211, Sales_Reps!A:A, Sales_Reps!C:C)</f>
        <v>South</v>
      </c>
      <c r="O211">
        <f>_xlfn.XLOOKUP(D211, Products!A:A, Products!D:D)</f>
        <v>1173</v>
      </c>
      <c r="P211">
        <f>_xlfn.XLOOKUP(D211, Products!A:A, Products!E:E)</f>
        <v>2480</v>
      </c>
    </row>
    <row r="212" spans="1:16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 t="shared" si="3"/>
        <v>Hyderabad</v>
      </c>
      <c r="M212" t="str">
        <f>_xlfn.XLOOKUP(D212, Products!A:A, Products!C:C)</f>
        <v>Sports</v>
      </c>
      <c r="N212" t="str">
        <f>_xlfn.XLOOKUP(E212, Sales_Reps!A:A, Sales_Reps!C:C)</f>
        <v>East</v>
      </c>
      <c r="O212">
        <f>_xlfn.XLOOKUP(D212, Products!A:A, Products!D:D)</f>
        <v>705</v>
      </c>
      <c r="P212">
        <f>_xlfn.XLOOKUP(D212, Products!A:A, Products!E:E)</f>
        <v>960</v>
      </c>
    </row>
    <row r="213" spans="1:16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 t="shared" si="3"/>
        <v>Hyderabad</v>
      </c>
      <c r="M213" t="str">
        <f>_xlfn.XLOOKUP(D213, Products!A:A, Products!C:C)</f>
        <v>Beauty</v>
      </c>
      <c r="N213" t="str">
        <f>_xlfn.XLOOKUP(E213, Sales_Reps!A:A, Sales_Reps!C:C)</f>
        <v>East</v>
      </c>
      <c r="O213">
        <f>_xlfn.XLOOKUP(D213, Products!A:A, Products!D:D)</f>
        <v>2768</v>
      </c>
      <c r="P213">
        <f>_xlfn.XLOOKUP(D213, Products!A:A, Products!E:E)</f>
        <v>4880</v>
      </c>
    </row>
    <row r="214" spans="1:16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 t="shared" si="3"/>
        <v>Delhi</v>
      </c>
      <c r="M214" t="str">
        <f>_xlfn.XLOOKUP(D214, Products!A:A, Products!C:C)</f>
        <v>Apparel</v>
      </c>
      <c r="N214" t="str">
        <f>_xlfn.XLOOKUP(E214, Sales_Reps!A:A, Sales_Reps!C:C)</f>
        <v>West</v>
      </c>
      <c r="O214">
        <f>_xlfn.XLOOKUP(D214, Products!A:A, Products!D:D)</f>
        <v>2509</v>
      </c>
      <c r="P214">
        <f>_xlfn.XLOOKUP(D214, Products!A:A, Products!E:E)</f>
        <v>3620</v>
      </c>
    </row>
    <row r="215" spans="1:16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 t="shared" si="3"/>
        <v>Delhi</v>
      </c>
      <c r="M215" t="str">
        <f>_xlfn.XLOOKUP(D215, Products!A:A, Products!C:C)</f>
        <v>Electronics</v>
      </c>
      <c r="N215" t="str">
        <f>_xlfn.XLOOKUP(E215, Sales_Reps!A:A, Sales_Reps!C:C)</f>
        <v>North</v>
      </c>
      <c r="O215">
        <f>_xlfn.XLOOKUP(D215, Products!A:A, Products!D:D)</f>
        <v>2865</v>
      </c>
      <c r="P215">
        <f>_xlfn.XLOOKUP(D215, Products!A:A, Products!E:E)</f>
        <v>3970</v>
      </c>
    </row>
    <row r="216" spans="1:16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 t="shared" si="3"/>
        <v>Hyderabad</v>
      </c>
      <c r="M216" t="str">
        <f>_xlfn.XLOOKUP(D216, Products!A:A, Products!C:C)</f>
        <v>Grocery</v>
      </c>
      <c r="N216" t="str">
        <f>_xlfn.XLOOKUP(E216, Sales_Reps!A:A, Sales_Reps!C:C)</f>
        <v>West</v>
      </c>
      <c r="O216">
        <f>_xlfn.XLOOKUP(D216, Products!A:A, Products!D:D)</f>
        <v>1412</v>
      </c>
      <c r="P216">
        <f>_xlfn.XLOOKUP(D216, Products!A:A, Products!E:E)</f>
        <v>2270</v>
      </c>
    </row>
    <row r="217" spans="1:16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 t="shared" si="3"/>
        <v>Delhi</v>
      </c>
      <c r="M217" t="str">
        <f>_xlfn.XLOOKUP(D217, Products!A:A, Products!C:C)</f>
        <v>Grocery</v>
      </c>
      <c r="N217" t="str">
        <f>_xlfn.XLOOKUP(E217, Sales_Reps!A:A, Sales_Reps!C:C)</f>
        <v>South</v>
      </c>
      <c r="O217">
        <f>_xlfn.XLOOKUP(D217, Products!A:A, Products!D:D)</f>
        <v>2436</v>
      </c>
      <c r="P217">
        <f>_xlfn.XLOOKUP(D217, Products!A:A, Products!E:E)</f>
        <v>3780</v>
      </c>
    </row>
    <row r="218" spans="1:16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 t="shared" si="3"/>
        <v>Mumbai</v>
      </c>
      <c r="M218" t="str">
        <f>_xlfn.XLOOKUP(D218, Products!A:A, Products!C:C)</f>
        <v>Grocery</v>
      </c>
      <c r="N218" t="str">
        <f>_xlfn.XLOOKUP(E218, Sales_Reps!A:A, Sales_Reps!C:C)</f>
        <v>East</v>
      </c>
      <c r="O218">
        <f>_xlfn.XLOOKUP(D218, Products!A:A, Products!D:D)</f>
        <v>2027</v>
      </c>
      <c r="P218">
        <f>_xlfn.XLOOKUP(D218, Products!A:A, Products!E:E)</f>
        <v>4070</v>
      </c>
    </row>
    <row r="219" spans="1:16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 t="shared" si="3"/>
        <v>Mumbai</v>
      </c>
      <c r="M219" t="str">
        <f>_xlfn.XLOOKUP(D219, Products!A:A, Products!C:C)</f>
        <v>Electronics</v>
      </c>
      <c r="N219" t="str">
        <f>_xlfn.XLOOKUP(E219, Sales_Reps!A:A, Sales_Reps!C:C)</f>
        <v>North</v>
      </c>
      <c r="O219">
        <f>_xlfn.XLOOKUP(D219, Products!A:A, Products!D:D)</f>
        <v>1259</v>
      </c>
      <c r="P219">
        <f>_xlfn.XLOOKUP(D219, Products!A:A, Products!E:E)</f>
        <v>2660</v>
      </c>
    </row>
    <row r="220" spans="1:16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 t="shared" si="3"/>
        <v>Mumbai</v>
      </c>
      <c r="M220" t="str">
        <f>_xlfn.XLOOKUP(D220, Products!A:A, Products!C:C)</f>
        <v>Electronics</v>
      </c>
      <c r="N220" t="str">
        <f>_xlfn.XLOOKUP(E220, Sales_Reps!A:A, Sales_Reps!C:C)</f>
        <v>North</v>
      </c>
      <c r="O220">
        <f>_xlfn.XLOOKUP(D220, Products!A:A, Products!D:D)</f>
        <v>1665</v>
      </c>
      <c r="P220">
        <f>_xlfn.XLOOKUP(D220, Products!A:A, Products!E:E)</f>
        <v>3570</v>
      </c>
    </row>
    <row r="221" spans="1:16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 t="shared" si="3"/>
        <v>Mumbai</v>
      </c>
      <c r="M221" t="str">
        <f>_xlfn.XLOOKUP(D221, Products!A:A, Products!C:C)</f>
        <v>Beauty</v>
      </c>
      <c r="N221" t="str">
        <f>_xlfn.XLOOKUP(E221, Sales_Reps!A:A, Sales_Reps!C:C)</f>
        <v>North</v>
      </c>
      <c r="O221">
        <f>_xlfn.XLOOKUP(D221, Products!A:A, Products!D:D)</f>
        <v>675</v>
      </c>
      <c r="P221">
        <f>_xlfn.XLOOKUP(D221, Products!A:A, Products!E:E)</f>
        <v>960</v>
      </c>
    </row>
    <row r="222" spans="1:16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 t="shared" si="3"/>
        <v>Pune</v>
      </c>
      <c r="M222" t="str">
        <f>_xlfn.XLOOKUP(D222, Products!A:A, Products!C:C)</f>
        <v>Beauty</v>
      </c>
      <c r="N222" t="str">
        <f>_xlfn.XLOOKUP(E222, Sales_Reps!A:A, Sales_Reps!C:C)</f>
        <v>East</v>
      </c>
      <c r="O222">
        <f>_xlfn.XLOOKUP(D222, Products!A:A, Products!D:D)</f>
        <v>2420</v>
      </c>
      <c r="P222">
        <f>_xlfn.XLOOKUP(D222, Products!A:A, Products!E:E)</f>
        <v>3450</v>
      </c>
    </row>
    <row r="223" spans="1:16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 t="shared" si="3"/>
        <v>Hyderabad</v>
      </c>
      <c r="M223" t="str">
        <f>_xlfn.XLOOKUP(D223, Products!A:A, Products!C:C)</f>
        <v>Beauty</v>
      </c>
      <c r="N223" t="str">
        <f>_xlfn.XLOOKUP(E223, Sales_Reps!A:A, Sales_Reps!C:C)</f>
        <v>North</v>
      </c>
      <c r="O223">
        <f>_xlfn.XLOOKUP(D223, Products!A:A, Products!D:D)</f>
        <v>2237</v>
      </c>
      <c r="P223">
        <f>_xlfn.XLOOKUP(D223, Products!A:A, Products!E:E)</f>
        <v>5100</v>
      </c>
    </row>
    <row r="224" spans="1:16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 t="shared" si="3"/>
        <v>Pune</v>
      </c>
      <c r="M224" t="str">
        <f>_xlfn.XLOOKUP(D224, Products!A:A, Products!C:C)</f>
        <v>Electronics</v>
      </c>
      <c r="N224" t="str">
        <f>_xlfn.XLOOKUP(E224, Sales_Reps!A:A, Sales_Reps!C:C)</f>
        <v>North</v>
      </c>
      <c r="O224">
        <f>_xlfn.XLOOKUP(D224, Products!A:A, Products!D:D)</f>
        <v>128</v>
      </c>
      <c r="P224">
        <f>_xlfn.XLOOKUP(D224, Products!A:A, Products!E:E)</f>
        <v>300</v>
      </c>
    </row>
    <row r="225" spans="1:16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 t="shared" si="3"/>
        <v>Mumbai</v>
      </c>
      <c r="M225" t="str">
        <f>_xlfn.XLOOKUP(D225, Products!A:A, Products!C:C)</f>
        <v>Beauty</v>
      </c>
      <c r="N225" t="str">
        <f>_xlfn.XLOOKUP(E225, Sales_Reps!A:A, Sales_Reps!C:C)</f>
        <v>East</v>
      </c>
      <c r="O225">
        <f>_xlfn.XLOOKUP(D225, Products!A:A, Products!D:D)</f>
        <v>2768</v>
      </c>
      <c r="P225">
        <f>_xlfn.XLOOKUP(D225, Products!A:A, Products!E:E)</f>
        <v>4880</v>
      </c>
    </row>
    <row r="226" spans="1:16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 t="shared" si="3"/>
        <v>Bengaluru</v>
      </c>
      <c r="M226" t="str">
        <f>_xlfn.XLOOKUP(D226, Products!A:A, Products!C:C)</f>
        <v>Home</v>
      </c>
      <c r="N226" t="str">
        <f>_xlfn.XLOOKUP(E226, Sales_Reps!A:A, Sales_Reps!C:C)</f>
        <v>East</v>
      </c>
      <c r="O226">
        <f>_xlfn.XLOOKUP(D226, Products!A:A, Products!D:D)</f>
        <v>1556</v>
      </c>
      <c r="P226">
        <f>_xlfn.XLOOKUP(D226, Products!A:A, Products!E:E)</f>
        <v>3250</v>
      </c>
    </row>
    <row r="227" spans="1:16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 t="shared" si="3"/>
        <v>Pune</v>
      </c>
      <c r="M227" t="str">
        <f>_xlfn.XLOOKUP(D227, Products!A:A, Products!C:C)</f>
        <v>Beauty</v>
      </c>
      <c r="N227" t="str">
        <f>_xlfn.XLOOKUP(E227, Sales_Reps!A:A, Sales_Reps!C:C)</f>
        <v>North</v>
      </c>
      <c r="O227">
        <f>_xlfn.XLOOKUP(D227, Products!A:A, Products!D:D)</f>
        <v>2420</v>
      </c>
      <c r="P227">
        <f>_xlfn.XLOOKUP(D227, Products!A:A, Products!E:E)</f>
        <v>3450</v>
      </c>
    </row>
    <row r="228" spans="1:16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 t="shared" si="3"/>
        <v>Delhi</v>
      </c>
      <c r="M228" t="str">
        <f>_xlfn.XLOOKUP(D228, Products!A:A, Products!C:C)</f>
        <v>Beauty</v>
      </c>
      <c r="N228" t="str">
        <f>_xlfn.XLOOKUP(E228, Sales_Reps!A:A, Sales_Reps!C:C)</f>
        <v>East</v>
      </c>
      <c r="O228">
        <f>_xlfn.XLOOKUP(D228, Products!A:A, Products!D:D)</f>
        <v>2617</v>
      </c>
      <c r="P228">
        <f>_xlfn.XLOOKUP(D228, Products!A:A, Products!E:E)</f>
        <v>6080</v>
      </c>
    </row>
    <row r="229" spans="1:16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 t="shared" si="3"/>
        <v>Pune</v>
      </c>
      <c r="M229" t="str">
        <f>_xlfn.XLOOKUP(D229, Products!A:A, Products!C:C)</f>
        <v>Beauty</v>
      </c>
      <c r="N229" t="str">
        <f>_xlfn.XLOOKUP(E229, Sales_Reps!A:A, Sales_Reps!C:C)</f>
        <v>East</v>
      </c>
      <c r="O229">
        <f>_xlfn.XLOOKUP(D229, Products!A:A, Products!D:D)</f>
        <v>2617</v>
      </c>
      <c r="P229">
        <f>_xlfn.XLOOKUP(D229, Products!A:A, Products!E:E)</f>
        <v>6080</v>
      </c>
    </row>
    <row r="230" spans="1:16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 t="shared" si="3"/>
        <v>Hyderabad</v>
      </c>
      <c r="M230" t="str">
        <f>_xlfn.XLOOKUP(D230, Products!A:A, Products!C:C)</f>
        <v>Grocery</v>
      </c>
      <c r="N230" t="str">
        <f>_xlfn.XLOOKUP(E230, Sales_Reps!A:A, Sales_Reps!C:C)</f>
        <v>South</v>
      </c>
      <c r="O230">
        <f>_xlfn.XLOOKUP(D230, Products!A:A, Products!D:D)</f>
        <v>1203</v>
      </c>
      <c r="P230">
        <f>_xlfn.XLOOKUP(D230, Products!A:A, Products!E:E)</f>
        <v>2270</v>
      </c>
    </row>
    <row r="231" spans="1:16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 t="shared" si="3"/>
        <v>Mumbai</v>
      </c>
      <c r="M231" t="str">
        <f>_xlfn.XLOOKUP(D231, Products!A:A, Products!C:C)</f>
        <v>Beauty</v>
      </c>
      <c r="N231" t="str">
        <f>_xlfn.XLOOKUP(E231, Sales_Reps!A:A, Sales_Reps!C:C)</f>
        <v>South</v>
      </c>
      <c r="O231">
        <f>_xlfn.XLOOKUP(D231, Products!A:A, Products!D:D)</f>
        <v>2768</v>
      </c>
      <c r="P231">
        <f>_xlfn.XLOOKUP(D231, Products!A:A, Products!E:E)</f>
        <v>4880</v>
      </c>
    </row>
    <row r="232" spans="1:16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 t="shared" si="3"/>
        <v>Chennai</v>
      </c>
      <c r="M232" t="str">
        <f>_xlfn.XLOOKUP(D232, Products!A:A, Products!C:C)</f>
        <v>Grocery</v>
      </c>
      <c r="N232" t="str">
        <f>_xlfn.XLOOKUP(E232, Sales_Reps!A:A, Sales_Reps!C:C)</f>
        <v>North</v>
      </c>
      <c r="O232">
        <f>_xlfn.XLOOKUP(D232, Products!A:A, Products!D:D)</f>
        <v>1182</v>
      </c>
      <c r="P232">
        <f>_xlfn.XLOOKUP(D232, Products!A:A, Products!E:E)</f>
        <v>2380</v>
      </c>
    </row>
    <row r="233" spans="1:16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 t="shared" si="3"/>
        <v>Chennai</v>
      </c>
      <c r="M233" t="str">
        <f>_xlfn.XLOOKUP(D233, Products!A:A, Products!C:C)</f>
        <v>Sports</v>
      </c>
      <c r="N233" t="str">
        <f>_xlfn.XLOOKUP(E233, Sales_Reps!A:A, Sales_Reps!C:C)</f>
        <v>West</v>
      </c>
      <c r="O233">
        <f>_xlfn.XLOOKUP(D233, Products!A:A, Products!D:D)</f>
        <v>516</v>
      </c>
      <c r="P233">
        <f>_xlfn.XLOOKUP(D233, Products!A:A, Products!E:E)</f>
        <v>1010</v>
      </c>
    </row>
    <row r="234" spans="1:16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 t="shared" si="3"/>
        <v>Hyderabad</v>
      </c>
      <c r="M234" t="str">
        <f>_xlfn.XLOOKUP(D234, Products!A:A, Products!C:C)</f>
        <v>Sports</v>
      </c>
      <c r="N234" t="str">
        <f>_xlfn.XLOOKUP(E234, Sales_Reps!A:A, Sales_Reps!C:C)</f>
        <v>West</v>
      </c>
      <c r="O234">
        <f>_xlfn.XLOOKUP(D234, Products!A:A, Products!D:D)</f>
        <v>2827</v>
      </c>
      <c r="P234">
        <f>_xlfn.XLOOKUP(D234, Products!A:A, Products!E:E)</f>
        <v>6940</v>
      </c>
    </row>
    <row r="235" spans="1:16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 t="shared" si="3"/>
        <v>Mumbai</v>
      </c>
      <c r="M235" t="str">
        <f>_xlfn.XLOOKUP(D235, Products!A:A, Products!C:C)</f>
        <v>Beauty</v>
      </c>
      <c r="N235" t="str">
        <f>_xlfn.XLOOKUP(E235, Sales_Reps!A:A, Sales_Reps!C:C)</f>
        <v>West</v>
      </c>
      <c r="O235">
        <f>_xlfn.XLOOKUP(D235, Products!A:A, Products!D:D)</f>
        <v>1219</v>
      </c>
      <c r="P235">
        <f>_xlfn.XLOOKUP(D235, Products!A:A, Products!E:E)</f>
        <v>2290</v>
      </c>
    </row>
    <row r="236" spans="1:16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 t="shared" si="3"/>
        <v>Delhi</v>
      </c>
      <c r="M236" t="str">
        <f>_xlfn.XLOOKUP(D236, Products!A:A, Products!C:C)</f>
        <v>Home</v>
      </c>
      <c r="N236" t="str">
        <f>_xlfn.XLOOKUP(E236, Sales_Reps!A:A, Sales_Reps!C:C)</f>
        <v>South</v>
      </c>
      <c r="O236">
        <f>_xlfn.XLOOKUP(D236, Products!A:A, Products!D:D)</f>
        <v>288</v>
      </c>
      <c r="P236">
        <f>_xlfn.XLOOKUP(D236, Products!A:A, Products!E:E)</f>
        <v>370</v>
      </c>
    </row>
    <row r="237" spans="1:16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 t="shared" si="3"/>
        <v>Pune</v>
      </c>
      <c r="M237" t="str">
        <f>_xlfn.XLOOKUP(D237, Products!A:A, Products!C:C)</f>
        <v>Grocery</v>
      </c>
      <c r="N237" t="str">
        <f>_xlfn.XLOOKUP(E237, Sales_Reps!A:A, Sales_Reps!C:C)</f>
        <v>East</v>
      </c>
      <c r="O237">
        <f>_xlfn.XLOOKUP(D237, Products!A:A, Products!D:D)</f>
        <v>1412</v>
      </c>
      <c r="P237">
        <f>_xlfn.XLOOKUP(D237, Products!A:A, Products!E:E)</f>
        <v>2270</v>
      </c>
    </row>
    <row r="238" spans="1:16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 t="shared" si="3"/>
        <v>Chennai</v>
      </c>
      <c r="M238" t="str">
        <f>_xlfn.XLOOKUP(D238, Products!A:A, Products!C:C)</f>
        <v>Beauty</v>
      </c>
      <c r="N238" t="str">
        <f>_xlfn.XLOOKUP(E238, Sales_Reps!A:A, Sales_Reps!C:C)</f>
        <v>North</v>
      </c>
      <c r="O238">
        <f>_xlfn.XLOOKUP(D238, Products!A:A, Products!D:D)</f>
        <v>2617</v>
      </c>
      <c r="P238">
        <f>_xlfn.XLOOKUP(D238, Products!A:A, Products!E:E)</f>
        <v>6080</v>
      </c>
    </row>
    <row r="239" spans="1:16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 t="shared" si="3"/>
        <v>Bengaluru</v>
      </c>
      <c r="M239" t="str">
        <f>_xlfn.XLOOKUP(D239, Products!A:A, Products!C:C)</f>
        <v>Electronics</v>
      </c>
      <c r="N239" t="str">
        <f>_xlfn.XLOOKUP(E239, Sales_Reps!A:A, Sales_Reps!C:C)</f>
        <v>East</v>
      </c>
      <c r="O239">
        <f>_xlfn.XLOOKUP(D239, Products!A:A, Products!D:D)</f>
        <v>2405</v>
      </c>
      <c r="P239">
        <f>_xlfn.XLOOKUP(D239, Products!A:A, Products!E:E)</f>
        <v>5330</v>
      </c>
    </row>
    <row r="240" spans="1:16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 t="shared" si="3"/>
        <v>Chennai</v>
      </c>
      <c r="M240" t="str">
        <f>_xlfn.XLOOKUP(D240, Products!A:A, Products!C:C)</f>
        <v>Grocery</v>
      </c>
      <c r="N240" t="str">
        <f>_xlfn.XLOOKUP(E240, Sales_Reps!A:A, Sales_Reps!C:C)</f>
        <v>West</v>
      </c>
      <c r="O240">
        <f>_xlfn.XLOOKUP(D240, Products!A:A, Products!D:D)</f>
        <v>2027</v>
      </c>
      <c r="P240">
        <f>_xlfn.XLOOKUP(D240, Products!A:A, Products!E:E)</f>
        <v>4070</v>
      </c>
    </row>
    <row r="241" spans="1:16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 t="shared" si="3"/>
        <v>Pune</v>
      </c>
      <c r="M241" t="str">
        <f>_xlfn.XLOOKUP(D241, Products!A:A, Products!C:C)</f>
        <v>Electronics</v>
      </c>
      <c r="N241" t="str">
        <f>_xlfn.XLOOKUP(E241, Sales_Reps!A:A, Sales_Reps!C:C)</f>
        <v>North</v>
      </c>
      <c r="O241">
        <f>_xlfn.XLOOKUP(D241, Products!A:A, Products!D:D)</f>
        <v>128</v>
      </c>
      <c r="P241">
        <f>_xlfn.XLOOKUP(D241, Products!A:A, Products!E:E)</f>
        <v>300</v>
      </c>
    </row>
    <row r="242" spans="1:16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 t="shared" si="3"/>
        <v>Pune</v>
      </c>
      <c r="M242" t="str">
        <f>_xlfn.XLOOKUP(D242, Products!A:A, Products!C:C)</f>
        <v>Beauty</v>
      </c>
      <c r="N242" t="str">
        <f>_xlfn.XLOOKUP(E242, Sales_Reps!A:A, Sales_Reps!C:C)</f>
        <v>South</v>
      </c>
      <c r="O242">
        <f>_xlfn.XLOOKUP(D242, Products!A:A, Products!D:D)</f>
        <v>2768</v>
      </c>
      <c r="P242">
        <f>_xlfn.XLOOKUP(D242, Products!A:A, Products!E:E)</f>
        <v>4880</v>
      </c>
    </row>
    <row r="243" spans="1:16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 t="shared" si="3"/>
        <v>Chennai</v>
      </c>
      <c r="M243" t="str">
        <f>_xlfn.XLOOKUP(D243, Products!A:A, Products!C:C)</f>
        <v>Sports</v>
      </c>
      <c r="N243" t="str">
        <f>_xlfn.XLOOKUP(E243, Sales_Reps!A:A, Sales_Reps!C:C)</f>
        <v>West</v>
      </c>
      <c r="O243">
        <f>_xlfn.XLOOKUP(D243, Products!A:A, Products!D:D)</f>
        <v>2028</v>
      </c>
      <c r="P243">
        <f>_xlfn.XLOOKUP(D243, Products!A:A, Products!E:E)</f>
        <v>2860</v>
      </c>
    </row>
    <row r="244" spans="1:16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 t="shared" si="3"/>
        <v>Pune</v>
      </c>
      <c r="M244" t="str">
        <f>_xlfn.XLOOKUP(D244, Products!A:A, Products!C:C)</f>
        <v>Beauty</v>
      </c>
      <c r="N244" t="str">
        <f>_xlfn.XLOOKUP(E244, Sales_Reps!A:A, Sales_Reps!C:C)</f>
        <v>North</v>
      </c>
      <c r="O244">
        <f>_xlfn.XLOOKUP(D244, Products!A:A, Products!D:D)</f>
        <v>647</v>
      </c>
      <c r="P244">
        <f>_xlfn.XLOOKUP(D244, Products!A:A, Products!E:E)</f>
        <v>1540</v>
      </c>
    </row>
    <row r="245" spans="1:16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 t="shared" si="3"/>
        <v>Hyderabad</v>
      </c>
      <c r="M245" t="str">
        <f>_xlfn.XLOOKUP(D245, Products!A:A, Products!C:C)</f>
        <v>Electronics</v>
      </c>
      <c r="N245" t="str">
        <f>_xlfn.XLOOKUP(E245, Sales_Reps!A:A, Sales_Reps!C:C)</f>
        <v>South</v>
      </c>
      <c r="O245">
        <f>_xlfn.XLOOKUP(D245, Products!A:A, Products!D:D)</f>
        <v>1149</v>
      </c>
      <c r="P245">
        <f>_xlfn.XLOOKUP(D245, Products!A:A, Products!E:E)</f>
        <v>2640</v>
      </c>
    </row>
    <row r="246" spans="1:16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 t="shared" si="3"/>
        <v>Bengaluru</v>
      </c>
      <c r="M246" t="str">
        <f>_xlfn.XLOOKUP(D246, Products!A:A, Products!C:C)</f>
        <v>Apparel</v>
      </c>
      <c r="N246" t="str">
        <f>_xlfn.XLOOKUP(E246, Sales_Reps!A:A, Sales_Reps!C:C)</f>
        <v>South</v>
      </c>
      <c r="O246">
        <f>_xlfn.XLOOKUP(D246, Products!A:A, Products!D:D)</f>
        <v>1886</v>
      </c>
      <c r="P246">
        <f>_xlfn.XLOOKUP(D246, Products!A:A, Products!E:E)</f>
        <v>3160</v>
      </c>
    </row>
    <row r="247" spans="1:16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 t="shared" si="3"/>
        <v>Delhi</v>
      </c>
      <c r="M247" t="str">
        <f>_xlfn.XLOOKUP(D247, Products!A:A, Products!C:C)</f>
        <v>Home</v>
      </c>
      <c r="N247" t="str">
        <f>_xlfn.XLOOKUP(E247, Sales_Reps!A:A, Sales_Reps!C:C)</f>
        <v>North</v>
      </c>
      <c r="O247">
        <f>_xlfn.XLOOKUP(D247, Products!A:A, Products!D:D)</f>
        <v>519</v>
      </c>
      <c r="P247">
        <f>_xlfn.XLOOKUP(D247, Products!A:A, Products!E:E)</f>
        <v>1080</v>
      </c>
    </row>
    <row r="248" spans="1:16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 t="shared" si="3"/>
        <v>Mumbai</v>
      </c>
      <c r="M248" t="str">
        <f>_xlfn.XLOOKUP(D248, Products!A:A, Products!C:C)</f>
        <v>Sports</v>
      </c>
      <c r="N248" t="str">
        <f>_xlfn.XLOOKUP(E248, Sales_Reps!A:A, Sales_Reps!C:C)</f>
        <v>South</v>
      </c>
      <c r="O248">
        <f>_xlfn.XLOOKUP(D248, Products!A:A, Products!D:D)</f>
        <v>516</v>
      </c>
      <c r="P248">
        <f>_xlfn.XLOOKUP(D248, Products!A:A, Products!E:E)</f>
        <v>1010</v>
      </c>
    </row>
    <row r="249" spans="1:16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 t="shared" si="3"/>
        <v>Bengaluru</v>
      </c>
      <c r="M249" t="str">
        <f>_xlfn.XLOOKUP(D249, Products!A:A, Products!C:C)</f>
        <v>Electronics</v>
      </c>
      <c r="N249" t="str">
        <f>_xlfn.XLOOKUP(E249, Sales_Reps!A:A, Sales_Reps!C:C)</f>
        <v>West</v>
      </c>
      <c r="O249">
        <f>_xlfn.XLOOKUP(D249, Products!A:A, Products!D:D)</f>
        <v>1052</v>
      </c>
      <c r="P249">
        <f>_xlfn.XLOOKUP(D249, Products!A:A, Products!E:E)</f>
        <v>2600</v>
      </c>
    </row>
    <row r="250" spans="1:16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 t="shared" si="3"/>
        <v>Delhi</v>
      </c>
      <c r="M250" t="str">
        <f>_xlfn.XLOOKUP(D250, Products!A:A, Products!C:C)</f>
        <v>Apparel</v>
      </c>
      <c r="N250" t="str">
        <f>_xlfn.XLOOKUP(E250, Sales_Reps!A:A, Sales_Reps!C:C)</f>
        <v>South</v>
      </c>
      <c r="O250">
        <f>_xlfn.XLOOKUP(D250, Products!A:A, Products!D:D)</f>
        <v>1075</v>
      </c>
      <c r="P250">
        <f>_xlfn.XLOOKUP(D250, Products!A:A, Products!E:E)</f>
        <v>2510</v>
      </c>
    </row>
    <row r="251" spans="1:16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 t="shared" si="3"/>
        <v>Chennai</v>
      </c>
      <c r="M251" t="str">
        <f>_xlfn.XLOOKUP(D251, Products!A:A, Products!C:C)</f>
        <v>Grocery</v>
      </c>
      <c r="N251" t="str">
        <f>_xlfn.XLOOKUP(E251, Sales_Reps!A:A, Sales_Reps!C:C)</f>
        <v>East</v>
      </c>
      <c r="O251">
        <f>_xlfn.XLOOKUP(D251, Products!A:A, Products!D:D)</f>
        <v>2027</v>
      </c>
      <c r="P251">
        <f>_xlfn.XLOOKUP(D251, Products!A:A, Products!E:E)</f>
        <v>4070</v>
      </c>
    </row>
    <row r="252" spans="1:16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 t="shared" si="3"/>
        <v>Bengaluru</v>
      </c>
      <c r="M252" t="str">
        <f>_xlfn.XLOOKUP(D252, Products!A:A, Products!C:C)</f>
        <v>Apparel</v>
      </c>
      <c r="N252" t="str">
        <f>_xlfn.XLOOKUP(E252, Sales_Reps!A:A, Sales_Reps!C:C)</f>
        <v>South</v>
      </c>
      <c r="O252">
        <f>_xlfn.XLOOKUP(D252, Products!A:A, Products!D:D)</f>
        <v>391</v>
      </c>
      <c r="P252">
        <f>_xlfn.XLOOKUP(D252, Products!A:A, Products!E:E)</f>
        <v>820</v>
      </c>
    </row>
    <row r="253" spans="1:16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 t="shared" si="3"/>
        <v>Mumbai</v>
      </c>
      <c r="M253" t="str">
        <f>_xlfn.XLOOKUP(D253, Products!A:A, Products!C:C)</f>
        <v>Grocery</v>
      </c>
      <c r="N253" t="str">
        <f>_xlfn.XLOOKUP(E253, Sales_Reps!A:A, Sales_Reps!C:C)</f>
        <v>North</v>
      </c>
      <c r="O253">
        <f>_xlfn.XLOOKUP(D253, Products!A:A, Products!D:D)</f>
        <v>434</v>
      </c>
      <c r="P253">
        <f>_xlfn.XLOOKUP(D253, Products!A:A, Products!E:E)</f>
        <v>970</v>
      </c>
    </row>
    <row r="254" spans="1:16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 t="shared" si="3"/>
        <v>Pune</v>
      </c>
      <c r="M254" t="str">
        <f>_xlfn.XLOOKUP(D254, Products!A:A, Products!C:C)</f>
        <v>Grocery</v>
      </c>
      <c r="N254" t="str">
        <f>_xlfn.XLOOKUP(E254, Sales_Reps!A:A, Sales_Reps!C:C)</f>
        <v>South</v>
      </c>
      <c r="O254">
        <f>_xlfn.XLOOKUP(D254, Products!A:A, Products!D:D)</f>
        <v>2027</v>
      </c>
      <c r="P254">
        <f>_xlfn.XLOOKUP(D254, Products!A:A, Products!E:E)</f>
        <v>4070</v>
      </c>
    </row>
    <row r="255" spans="1:16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 t="shared" si="3"/>
        <v>Bengaluru</v>
      </c>
      <c r="M255" t="str">
        <f>_xlfn.XLOOKUP(D255, Products!A:A, Products!C:C)</f>
        <v>Beauty</v>
      </c>
      <c r="N255" t="str">
        <f>_xlfn.XLOOKUP(E255, Sales_Reps!A:A, Sales_Reps!C:C)</f>
        <v>East</v>
      </c>
      <c r="O255">
        <f>_xlfn.XLOOKUP(D255, Products!A:A, Products!D:D)</f>
        <v>2420</v>
      </c>
      <c r="P255">
        <f>_xlfn.XLOOKUP(D255, Products!A:A, Products!E:E)</f>
        <v>3450</v>
      </c>
    </row>
    <row r="256" spans="1:16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 t="shared" si="3"/>
        <v>Mumbai</v>
      </c>
      <c r="M256" t="str">
        <f>_xlfn.XLOOKUP(D256, Products!A:A, Products!C:C)</f>
        <v>Grocery</v>
      </c>
      <c r="N256" t="str">
        <f>_xlfn.XLOOKUP(E256, Sales_Reps!A:A, Sales_Reps!C:C)</f>
        <v>South</v>
      </c>
      <c r="O256">
        <f>_xlfn.XLOOKUP(D256, Products!A:A, Products!D:D)</f>
        <v>2436</v>
      </c>
      <c r="P256">
        <f>_xlfn.XLOOKUP(D256, Products!A:A, Products!E:E)</f>
        <v>3780</v>
      </c>
    </row>
    <row r="257" spans="1:16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 t="shared" si="3"/>
        <v>Mumbai</v>
      </c>
      <c r="M257" t="str">
        <f>_xlfn.XLOOKUP(D257, Products!A:A, Products!C:C)</f>
        <v>Sports</v>
      </c>
      <c r="N257" t="str">
        <f>_xlfn.XLOOKUP(E257, Sales_Reps!A:A, Sales_Reps!C:C)</f>
        <v>North</v>
      </c>
      <c r="O257">
        <f>_xlfn.XLOOKUP(D257, Products!A:A, Products!D:D)</f>
        <v>705</v>
      </c>
      <c r="P257">
        <f>_xlfn.XLOOKUP(D257, Products!A:A, Products!E:E)</f>
        <v>960</v>
      </c>
    </row>
    <row r="258" spans="1:16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 t="shared" si="3"/>
        <v>Mumbai</v>
      </c>
      <c r="M258" t="str">
        <f>_xlfn.XLOOKUP(D258, Products!A:A, Products!C:C)</f>
        <v>Electronics</v>
      </c>
      <c r="N258" t="str">
        <f>_xlfn.XLOOKUP(E258, Sales_Reps!A:A, Sales_Reps!C:C)</f>
        <v>East</v>
      </c>
      <c r="O258">
        <f>_xlfn.XLOOKUP(D258, Products!A:A, Products!D:D)</f>
        <v>1665</v>
      </c>
      <c r="P258">
        <f>_xlfn.XLOOKUP(D258, Products!A:A, Products!E:E)</f>
        <v>3570</v>
      </c>
    </row>
    <row r="259" spans="1:16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 t="shared" ref="L259:L322" si="4">PROPER(TRIM(K259))</f>
        <v>Mumbai</v>
      </c>
      <c r="M259" t="str">
        <f>_xlfn.XLOOKUP(D259, Products!A:A, Products!C:C)</f>
        <v>Electronics</v>
      </c>
      <c r="N259" t="str">
        <f>_xlfn.XLOOKUP(E259, Sales_Reps!A:A, Sales_Reps!C:C)</f>
        <v>West</v>
      </c>
      <c r="O259">
        <f>_xlfn.XLOOKUP(D259, Products!A:A, Products!D:D)</f>
        <v>1665</v>
      </c>
      <c r="P259">
        <f>_xlfn.XLOOKUP(D259, Products!A:A, Products!E:E)</f>
        <v>3570</v>
      </c>
    </row>
    <row r="260" spans="1:16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 t="shared" si="4"/>
        <v>Bengaluru</v>
      </c>
      <c r="M260" t="str">
        <f>_xlfn.XLOOKUP(D260, Products!A:A, Products!C:C)</f>
        <v>Home</v>
      </c>
      <c r="N260" t="str">
        <f>_xlfn.XLOOKUP(E260, Sales_Reps!A:A, Sales_Reps!C:C)</f>
        <v>South</v>
      </c>
      <c r="O260">
        <f>_xlfn.XLOOKUP(D260, Products!A:A, Products!D:D)</f>
        <v>519</v>
      </c>
      <c r="P260">
        <f>_xlfn.XLOOKUP(D260, Products!A:A, Products!E:E)</f>
        <v>1080</v>
      </c>
    </row>
    <row r="261" spans="1:16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 t="shared" si="4"/>
        <v>Hyderabad</v>
      </c>
      <c r="M261" t="str">
        <f>_xlfn.XLOOKUP(D261, Products!A:A, Products!C:C)</f>
        <v>Apparel</v>
      </c>
      <c r="N261" t="str">
        <f>_xlfn.XLOOKUP(E261, Sales_Reps!A:A, Sales_Reps!C:C)</f>
        <v>South</v>
      </c>
      <c r="O261">
        <f>_xlfn.XLOOKUP(D261, Products!A:A, Products!D:D)</f>
        <v>1748</v>
      </c>
      <c r="P261">
        <f>_xlfn.XLOOKUP(D261, Products!A:A, Products!E:E)</f>
        <v>3450</v>
      </c>
    </row>
    <row r="262" spans="1:16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 t="shared" si="4"/>
        <v>Chennai</v>
      </c>
      <c r="M262" t="str">
        <f>_xlfn.XLOOKUP(D262, Products!A:A, Products!C:C)</f>
        <v>Electronics</v>
      </c>
      <c r="N262" t="str">
        <f>_xlfn.XLOOKUP(E262, Sales_Reps!A:A, Sales_Reps!C:C)</f>
        <v>East</v>
      </c>
      <c r="O262">
        <f>_xlfn.XLOOKUP(D262, Products!A:A, Products!D:D)</f>
        <v>1259</v>
      </c>
      <c r="P262">
        <f>_xlfn.XLOOKUP(D262, Products!A:A, Products!E:E)</f>
        <v>2660</v>
      </c>
    </row>
    <row r="263" spans="1:16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 t="shared" si="4"/>
        <v>Hyderabad</v>
      </c>
      <c r="M263" t="str">
        <f>_xlfn.XLOOKUP(D263, Products!A:A, Products!C:C)</f>
        <v>Sports</v>
      </c>
      <c r="N263" t="str">
        <f>_xlfn.XLOOKUP(E263, Sales_Reps!A:A, Sales_Reps!C:C)</f>
        <v>South</v>
      </c>
      <c r="O263">
        <f>_xlfn.XLOOKUP(D263, Products!A:A, Products!D:D)</f>
        <v>974</v>
      </c>
      <c r="P263">
        <f>_xlfn.XLOOKUP(D263, Products!A:A, Products!E:E)</f>
        <v>2400</v>
      </c>
    </row>
    <row r="264" spans="1:16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 t="shared" si="4"/>
        <v>Pune</v>
      </c>
      <c r="M264" t="str">
        <f>_xlfn.XLOOKUP(D264, Products!A:A, Products!C:C)</f>
        <v>Electronics</v>
      </c>
      <c r="N264" t="str">
        <f>_xlfn.XLOOKUP(E264, Sales_Reps!A:A, Sales_Reps!C:C)</f>
        <v>North</v>
      </c>
      <c r="O264">
        <f>_xlfn.XLOOKUP(D264, Products!A:A, Products!D:D)</f>
        <v>1052</v>
      </c>
      <c r="P264">
        <f>_xlfn.XLOOKUP(D264, Products!A:A, Products!E:E)</f>
        <v>2600</v>
      </c>
    </row>
    <row r="265" spans="1:16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 t="shared" si="4"/>
        <v>Delhi</v>
      </c>
      <c r="M265" t="str">
        <f>_xlfn.XLOOKUP(D265, Products!A:A, Products!C:C)</f>
        <v>Grocery</v>
      </c>
      <c r="N265" t="str">
        <f>_xlfn.XLOOKUP(E265, Sales_Reps!A:A, Sales_Reps!C:C)</f>
        <v>North</v>
      </c>
      <c r="O265">
        <f>_xlfn.XLOOKUP(D265, Products!A:A, Products!D:D)</f>
        <v>2911</v>
      </c>
      <c r="P265">
        <f>_xlfn.XLOOKUP(D265, Products!A:A, Products!E:E)</f>
        <v>4060</v>
      </c>
    </row>
    <row r="266" spans="1:16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 t="shared" si="4"/>
        <v>Hyderabad</v>
      </c>
      <c r="M266" t="str">
        <f>_xlfn.XLOOKUP(D266, Products!A:A, Products!C:C)</f>
        <v>Home</v>
      </c>
      <c r="N266" t="str">
        <f>_xlfn.XLOOKUP(E266, Sales_Reps!A:A, Sales_Reps!C:C)</f>
        <v>East</v>
      </c>
      <c r="O266">
        <f>_xlfn.XLOOKUP(D266, Products!A:A, Products!D:D)</f>
        <v>2549</v>
      </c>
      <c r="P266">
        <f>_xlfn.XLOOKUP(D266, Products!A:A, Products!E:E)</f>
        <v>5490</v>
      </c>
    </row>
    <row r="267" spans="1:16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 t="shared" si="4"/>
        <v>Pune</v>
      </c>
      <c r="M267" t="str">
        <f>_xlfn.XLOOKUP(D267, Products!A:A, Products!C:C)</f>
        <v>Home</v>
      </c>
      <c r="N267" t="str">
        <f>_xlfn.XLOOKUP(E267, Sales_Reps!A:A, Sales_Reps!C:C)</f>
        <v>East</v>
      </c>
      <c r="O267">
        <f>_xlfn.XLOOKUP(D267, Products!A:A, Products!D:D)</f>
        <v>288</v>
      </c>
      <c r="P267">
        <f>_xlfn.XLOOKUP(D267, Products!A:A, Products!E:E)</f>
        <v>370</v>
      </c>
    </row>
    <row r="268" spans="1:16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 t="shared" si="4"/>
        <v>Delhi</v>
      </c>
      <c r="M268" t="str">
        <f>_xlfn.XLOOKUP(D268, Products!A:A, Products!C:C)</f>
        <v>Apparel</v>
      </c>
      <c r="N268" t="str">
        <f>_xlfn.XLOOKUP(E268, Sales_Reps!A:A, Sales_Reps!C:C)</f>
        <v>East</v>
      </c>
      <c r="O268">
        <f>_xlfn.XLOOKUP(D268, Products!A:A, Products!D:D)</f>
        <v>396</v>
      </c>
      <c r="P268">
        <f>_xlfn.XLOOKUP(D268, Products!A:A, Products!E:E)</f>
        <v>620</v>
      </c>
    </row>
    <row r="269" spans="1:16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 t="shared" si="4"/>
        <v>Chennai</v>
      </c>
      <c r="M269" t="str">
        <f>_xlfn.XLOOKUP(D269, Products!A:A, Products!C:C)</f>
        <v>Home</v>
      </c>
      <c r="N269" t="str">
        <f>_xlfn.XLOOKUP(E269, Sales_Reps!A:A, Sales_Reps!C:C)</f>
        <v>West</v>
      </c>
      <c r="O269">
        <f>_xlfn.XLOOKUP(D269, Products!A:A, Products!D:D)</f>
        <v>1556</v>
      </c>
      <c r="P269">
        <f>_xlfn.XLOOKUP(D269, Products!A:A, Products!E:E)</f>
        <v>3250</v>
      </c>
    </row>
    <row r="270" spans="1:16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 t="shared" si="4"/>
        <v>Mumbai</v>
      </c>
      <c r="M270" t="str">
        <f>_xlfn.XLOOKUP(D270, Products!A:A, Products!C:C)</f>
        <v>Beauty</v>
      </c>
      <c r="N270" t="str">
        <f>_xlfn.XLOOKUP(E270, Sales_Reps!A:A, Sales_Reps!C:C)</f>
        <v>South</v>
      </c>
      <c r="O270">
        <f>_xlfn.XLOOKUP(D270, Products!A:A, Products!D:D)</f>
        <v>2617</v>
      </c>
      <c r="P270">
        <f>_xlfn.XLOOKUP(D270, Products!A:A, Products!E:E)</f>
        <v>6080</v>
      </c>
    </row>
    <row r="271" spans="1:16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 t="shared" si="4"/>
        <v>Chennai</v>
      </c>
      <c r="M271" t="str">
        <f>_xlfn.XLOOKUP(D271, Products!A:A, Products!C:C)</f>
        <v>Apparel</v>
      </c>
      <c r="N271" t="str">
        <f>_xlfn.XLOOKUP(E271, Sales_Reps!A:A, Sales_Reps!C:C)</f>
        <v>South</v>
      </c>
      <c r="O271">
        <f>_xlfn.XLOOKUP(D271, Products!A:A, Products!D:D)</f>
        <v>2611</v>
      </c>
      <c r="P271">
        <f>_xlfn.XLOOKUP(D271, Products!A:A, Products!E:E)</f>
        <v>3640</v>
      </c>
    </row>
    <row r="272" spans="1:16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 t="shared" si="4"/>
        <v>Delhi</v>
      </c>
      <c r="M272" t="str">
        <f>_xlfn.XLOOKUP(D272, Products!A:A, Products!C:C)</f>
        <v>Apparel</v>
      </c>
      <c r="N272" t="str">
        <f>_xlfn.XLOOKUP(E272, Sales_Reps!A:A, Sales_Reps!C:C)</f>
        <v>North</v>
      </c>
      <c r="O272">
        <f>_xlfn.XLOOKUP(D272, Products!A:A, Products!D:D)</f>
        <v>1886</v>
      </c>
      <c r="P272">
        <f>_xlfn.XLOOKUP(D272, Products!A:A, Products!E:E)</f>
        <v>3160</v>
      </c>
    </row>
    <row r="273" spans="1:16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 t="shared" si="4"/>
        <v>Hyderabad</v>
      </c>
      <c r="M273" t="str">
        <f>_xlfn.XLOOKUP(D273, Products!A:A, Products!C:C)</f>
        <v>Electronics</v>
      </c>
      <c r="N273" t="str">
        <f>_xlfn.XLOOKUP(E273, Sales_Reps!A:A, Sales_Reps!C:C)</f>
        <v>North</v>
      </c>
      <c r="O273">
        <f>_xlfn.XLOOKUP(D273, Products!A:A, Products!D:D)</f>
        <v>1559</v>
      </c>
      <c r="P273">
        <f>_xlfn.XLOOKUP(D273, Products!A:A, Products!E:E)</f>
        <v>3870</v>
      </c>
    </row>
    <row r="274" spans="1:16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 t="shared" si="4"/>
        <v>Delhi</v>
      </c>
      <c r="M274" t="str">
        <f>_xlfn.XLOOKUP(D274, Products!A:A, Products!C:C)</f>
        <v>Home</v>
      </c>
      <c r="N274" t="str">
        <f>_xlfn.XLOOKUP(E274, Sales_Reps!A:A, Sales_Reps!C:C)</f>
        <v>West</v>
      </c>
      <c r="O274">
        <f>_xlfn.XLOOKUP(D274, Products!A:A, Products!D:D)</f>
        <v>329</v>
      </c>
      <c r="P274">
        <f>_xlfn.XLOOKUP(D274, Products!A:A, Products!E:E)</f>
        <v>660</v>
      </c>
    </row>
    <row r="275" spans="1:16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 t="shared" si="4"/>
        <v>Chennai</v>
      </c>
      <c r="M275" t="str">
        <f>_xlfn.XLOOKUP(D275, Products!A:A, Products!C:C)</f>
        <v>Grocery</v>
      </c>
      <c r="N275" t="str">
        <f>_xlfn.XLOOKUP(E275, Sales_Reps!A:A, Sales_Reps!C:C)</f>
        <v>South</v>
      </c>
      <c r="O275">
        <f>_xlfn.XLOOKUP(D275, Products!A:A, Products!D:D)</f>
        <v>2911</v>
      </c>
      <c r="P275">
        <f>_xlfn.XLOOKUP(D275, Products!A:A, Products!E:E)</f>
        <v>4060</v>
      </c>
    </row>
    <row r="276" spans="1:16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 t="shared" si="4"/>
        <v>Delhi</v>
      </c>
      <c r="M276" t="str">
        <f>_xlfn.XLOOKUP(D276, Products!A:A, Products!C:C)</f>
        <v>Home</v>
      </c>
      <c r="N276" t="str">
        <f>_xlfn.XLOOKUP(E276, Sales_Reps!A:A, Sales_Reps!C:C)</f>
        <v>South</v>
      </c>
      <c r="O276">
        <f>_xlfn.XLOOKUP(D276, Products!A:A, Products!D:D)</f>
        <v>2459</v>
      </c>
      <c r="P276">
        <f>_xlfn.XLOOKUP(D276, Products!A:A, Products!E:E)</f>
        <v>5080</v>
      </c>
    </row>
    <row r="277" spans="1:16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 t="shared" si="4"/>
        <v>Hyderabad</v>
      </c>
      <c r="M277" t="str">
        <f>_xlfn.XLOOKUP(D277, Products!A:A, Products!C:C)</f>
        <v>Electronics</v>
      </c>
      <c r="N277" t="str">
        <f>_xlfn.XLOOKUP(E277, Sales_Reps!A:A, Sales_Reps!C:C)</f>
        <v>North</v>
      </c>
      <c r="O277">
        <f>_xlfn.XLOOKUP(D277, Products!A:A, Products!D:D)</f>
        <v>1665</v>
      </c>
      <c r="P277">
        <f>_xlfn.XLOOKUP(D277, Products!A:A, Products!E:E)</f>
        <v>3570</v>
      </c>
    </row>
    <row r="278" spans="1:16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 t="shared" si="4"/>
        <v>Mumbai</v>
      </c>
      <c r="M278" t="str">
        <f>_xlfn.XLOOKUP(D278, Products!A:A, Products!C:C)</f>
        <v>Apparel</v>
      </c>
      <c r="N278" t="str">
        <f>_xlfn.XLOOKUP(E278, Sales_Reps!A:A, Sales_Reps!C:C)</f>
        <v>East</v>
      </c>
      <c r="O278">
        <f>_xlfn.XLOOKUP(D278, Products!A:A, Products!D:D)</f>
        <v>396</v>
      </c>
      <c r="P278">
        <f>_xlfn.XLOOKUP(D278, Products!A:A, Products!E:E)</f>
        <v>620</v>
      </c>
    </row>
    <row r="279" spans="1:16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 t="shared" si="4"/>
        <v>Bengaluru</v>
      </c>
      <c r="M279" t="str">
        <f>_xlfn.XLOOKUP(D279, Products!A:A, Products!C:C)</f>
        <v>Apparel</v>
      </c>
      <c r="N279" t="str">
        <f>_xlfn.XLOOKUP(E279, Sales_Reps!A:A, Sales_Reps!C:C)</f>
        <v>South</v>
      </c>
      <c r="O279">
        <f>_xlfn.XLOOKUP(D279, Products!A:A, Products!D:D)</f>
        <v>1748</v>
      </c>
      <c r="P279">
        <f>_xlfn.XLOOKUP(D279, Products!A:A, Products!E:E)</f>
        <v>3450</v>
      </c>
    </row>
    <row r="280" spans="1:16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 t="shared" si="4"/>
        <v>Delhi</v>
      </c>
      <c r="M280" t="str">
        <f>_xlfn.XLOOKUP(D280, Products!A:A, Products!C:C)</f>
        <v>Beauty</v>
      </c>
      <c r="N280" t="str">
        <f>_xlfn.XLOOKUP(E280, Sales_Reps!A:A, Sales_Reps!C:C)</f>
        <v>North</v>
      </c>
      <c r="O280">
        <f>_xlfn.XLOOKUP(D280, Products!A:A, Products!D:D)</f>
        <v>2237</v>
      </c>
      <c r="P280">
        <f>_xlfn.XLOOKUP(D280, Products!A:A, Products!E:E)</f>
        <v>5100</v>
      </c>
    </row>
    <row r="281" spans="1:16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 t="shared" si="4"/>
        <v>Bengaluru</v>
      </c>
      <c r="M281" t="str">
        <f>_xlfn.XLOOKUP(D281, Products!A:A, Products!C:C)</f>
        <v>Electronics</v>
      </c>
      <c r="N281" t="str">
        <f>_xlfn.XLOOKUP(E281, Sales_Reps!A:A, Sales_Reps!C:C)</f>
        <v>North</v>
      </c>
      <c r="O281">
        <f>_xlfn.XLOOKUP(D281, Products!A:A, Products!D:D)</f>
        <v>1559</v>
      </c>
      <c r="P281">
        <f>_xlfn.XLOOKUP(D281, Products!A:A, Products!E:E)</f>
        <v>3870</v>
      </c>
    </row>
    <row r="282" spans="1:16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 t="shared" si="4"/>
        <v>Pune</v>
      </c>
      <c r="M282" t="str">
        <f>_xlfn.XLOOKUP(D282, Products!A:A, Products!C:C)</f>
        <v>Electronics</v>
      </c>
      <c r="N282" t="str">
        <f>_xlfn.XLOOKUP(E282, Sales_Reps!A:A, Sales_Reps!C:C)</f>
        <v>West</v>
      </c>
      <c r="O282">
        <f>_xlfn.XLOOKUP(D282, Products!A:A, Products!D:D)</f>
        <v>517</v>
      </c>
      <c r="P282">
        <f>_xlfn.XLOOKUP(D282, Products!A:A, Products!E:E)</f>
        <v>1220</v>
      </c>
    </row>
    <row r="283" spans="1:16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 t="shared" si="4"/>
        <v>Hyderabad</v>
      </c>
      <c r="M283" t="str">
        <f>_xlfn.XLOOKUP(D283, Products!A:A, Products!C:C)</f>
        <v>Home</v>
      </c>
      <c r="N283" t="str">
        <f>_xlfn.XLOOKUP(E283, Sales_Reps!A:A, Sales_Reps!C:C)</f>
        <v>East</v>
      </c>
      <c r="O283">
        <f>_xlfn.XLOOKUP(D283, Products!A:A, Products!D:D)</f>
        <v>2549</v>
      </c>
      <c r="P283">
        <f>_xlfn.XLOOKUP(D283, Products!A:A, Products!E:E)</f>
        <v>5490</v>
      </c>
    </row>
    <row r="284" spans="1:16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 t="shared" si="4"/>
        <v>Bengaluru</v>
      </c>
      <c r="M284" t="str">
        <f>_xlfn.XLOOKUP(D284, Products!A:A, Products!C:C)</f>
        <v>Beauty</v>
      </c>
      <c r="N284" t="str">
        <f>_xlfn.XLOOKUP(E284, Sales_Reps!A:A, Sales_Reps!C:C)</f>
        <v>North</v>
      </c>
      <c r="O284">
        <f>_xlfn.XLOOKUP(D284, Products!A:A, Products!D:D)</f>
        <v>1222</v>
      </c>
      <c r="P284">
        <f>_xlfn.XLOOKUP(D284, Products!A:A, Products!E:E)</f>
        <v>1650</v>
      </c>
    </row>
    <row r="285" spans="1:16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 t="shared" si="4"/>
        <v>Hyderabad</v>
      </c>
      <c r="M285" t="str">
        <f>_xlfn.XLOOKUP(D285, Products!A:A, Products!C:C)</f>
        <v>Electronics</v>
      </c>
      <c r="N285" t="str">
        <f>_xlfn.XLOOKUP(E285, Sales_Reps!A:A, Sales_Reps!C:C)</f>
        <v>North</v>
      </c>
      <c r="O285">
        <f>_xlfn.XLOOKUP(D285, Products!A:A, Products!D:D)</f>
        <v>1259</v>
      </c>
      <c r="P285">
        <f>_xlfn.XLOOKUP(D285, Products!A:A, Products!E:E)</f>
        <v>2660</v>
      </c>
    </row>
    <row r="286" spans="1:16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 t="shared" si="4"/>
        <v>Bengaluru</v>
      </c>
      <c r="M286" t="str">
        <f>_xlfn.XLOOKUP(D286, Products!A:A, Products!C:C)</f>
        <v>Grocery</v>
      </c>
      <c r="N286" t="str">
        <f>_xlfn.XLOOKUP(E286, Sales_Reps!A:A, Sales_Reps!C:C)</f>
        <v>North</v>
      </c>
      <c r="O286">
        <f>_xlfn.XLOOKUP(D286, Products!A:A, Products!D:D)</f>
        <v>1010</v>
      </c>
      <c r="P286">
        <f>_xlfn.XLOOKUP(D286, Products!A:A, Products!E:E)</f>
        <v>2210</v>
      </c>
    </row>
    <row r="287" spans="1:16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 t="shared" si="4"/>
        <v>Delhi</v>
      </c>
      <c r="M287" t="str">
        <f>_xlfn.XLOOKUP(D287, Products!A:A, Products!C:C)</f>
        <v>Electronics</v>
      </c>
      <c r="N287" t="str">
        <f>_xlfn.XLOOKUP(E287, Sales_Reps!A:A, Sales_Reps!C:C)</f>
        <v>North</v>
      </c>
      <c r="O287">
        <f>_xlfn.XLOOKUP(D287, Products!A:A, Products!D:D)</f>
        <v>1052</v>
      </c>
      <c r="P287">
        <f>_xlfn.XLOOKUP(D287, Products!A:A, Products!E:E)</f>
        <v>2600</v>
      </c>
    </row>
    <row r="288" spans="1:16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 t="shared" si="4"/>
        <v>Hyderabad</v>
      </c>
      <c r="M288" t="str">
        <f>_xlfn.XLOOKUP(D288, Products!A:A, Products!C:C)</f>
        <v>Beauty</v>
      </c>
      <c r="N288" t="str">
        <f>_xlfn.XLOOKUP(E288, Sales_Reps!A:A, Sales_Reps!C:C)</f>
        <v>West</v>
      </c>
      <c r="O288">
        <f>_xlfn.XLOOKUP(D288, Products!A:A, Products!D:D)</f>
        <v>1626</v>
      </c>
      <c r="P288">
        <f>_xlfn.XLOOKUP(D288, Products!A:A, Products!E:E)</f>
        <v>3020</v>
      </c>
    </row>
    <row r="289" spans="1:16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 t="shared" si="4"/>
        <v>Pune</v>
      </c>
      <c r="M289" t="str">
        <f>_xlfn.XLOOKUP(D289, Products!A:A, Products!C:C)</f>
        <v>Home</v>
      </c>
      <c r="N289" t="str">
        <f>_xlfn.XLOOKUP(E289, Sales_Reps!A:A, Sales_Reps!C:C)</f>
        <v>North</v>
      </c>
      <c r="O289">
        <f>_xlfn.XLOOKUP(D289, Products!A:A, Products!D:D)</f>
        <v>288</v>
      </c>
      <c r="P289">
        <f>_xlfn.XLOOKUP(D289, Products!A:A, Products!E:E)</f>
        <v>370</v>
      </c>
    </row>
    <row r="290" spans="1:16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 t="shared" si="4"/>
        <v>Mumbai</v>
      </c>
      <c r="M290" t="str">
        <f>_xlfn.XLOOKUP(D290, Products!A:A, Products!C:C)</f>
        <v>Electronics</v>
      </c>
      <c r="N290" t="str">
        <f>_xlfn.XLOOKUP(E290, Sales_Reps!A:A, Sales_Reps!C:C)</f>
        <v>North</v>
      </c>
      <c r="O290">
        <f>_xlfn.XLOOKUP(D290, Products!A:A, Products!D:D)</f>
        <v>2405</v>
      </c>
      <c r="P290">
        <f>_xlfn.XLOOKUP(D290, Products!A:A, Products!E:E)</f>
        <v>5330</v>
      </c>
    </row>
    <row r="291" spans="1:16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 t="shared" si="4"/>
        <v>Chennai</v>
      </c>
      <c r="M291" t="str">
        <f>_xlfn.XLOOKUP(D291, Products!A:A, Products!C:C)</f>
        <v>Apparel</v>
      </c>
      <c r="N291" t="str">
        <f>_xlfn.XLOOKUP(E291, Sales_Reps!A:A, Sales_Reps!C:C)</f>
        <v>West</v>
      </c>
      <c r="O291">
        <f>_xlfn.XLOOKUP(D291, Products!A:A, Products!D:D)</f>
        <v>2629</v>
      </c>
      <c r="P291">
        <f>_xlfn.XLOOKUP(D291, Products!A:A, Products!E:E)</f>
        <v>3560</v>
      </c>
    </row>
    <row r="292" spans="1:16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 t="shared" si="4"/>
        <v>Bengaluru</v>
      </c>
      <c r="M292" t="str">
        <f>_xlfn.XLOOKUP(D292, Products!A:A, Products!C:C)</f>
        <v>Sports</v>
      </c>
      <c r="N292" t="str">
        <f>_xlfn.XLOOKUP(E292, Sales_Reps!A:A, Sales_Reps!C:C)</f>
        <v>West</v>
      </c>
      <c r="O292">
        <f>_xlfn.XLOOKUP(D292, Products!A:A, Products!D:D)</f>
        <v>516</v>
      </c>
      <c r="P292">
        <f>_xlfn.XLOOKUP(D292, Products!A:A, Products!E:E)</f>
        <v>1010</v>
      </c>
    </row>
    <row r="293" spans="1:16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 t="shared" si="4"/>
        <v>Chennai</v>
      </c>
      <c r="M293" t="str">
        <f>_xlfn.XLOOKUP(D293, Products!A:A, Products!C:C)</f>
        <v>Sports</v>
      </c>
      <c r="N293" t="str">
        <f>_xlfn.XLOOKUP(E293, Sales_Reps!A:A, Sales_Reps!C:C)</f>
        <v>North</v>
      </c>
      <c r="O293">
        <f>_xlfn.XLOOKUP(D293, Products!A:A, Products!D:D)</f>
        <v>2827</v>
      </c>
      <c r="P293">
        <f>_xlfn.XLOOKUP(D293, Products!A:A, Products!E:E)</f>
        <v>6940</v>
      </c>
    </row>
    <row r="294" spans="1:16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 t="shared" si="4"/>
        <v>Hyderabad</v>
      </c>
      <c r="M294" t="str">
        <f>_xlfn.XLOOKUP(D294, Products!A:A, Products!C:C)</f>
        <v>Apparel</v>
      </c>
      <c r="N294" t="str">
        <f>_xlfn.XLOOKUP(E294, Sales_Reps!A:A, Sales_Reps!C:C)</f>
        <v>South</v>
      </c>
      <c r="O294">
        <f>_xlfn.XLOOKUP(D294, Products!A:A, Products!D:D)</f>
        <v>1886</v>
      </c>
      <c r="P294">
        <f>_xlfn.XLOOKUP(D294, Products!A:A, Products!E:E)</f>
        <v>3160</v>
      </c>
    </row>
    <row r="295" spans="1:16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 t="shared" si="4"/>
        <v>Pune</v>
      </c>
      <c r="M295" t="str">
        <f>_xlfn.XLOOKUP(D295, Products!A:A, Products!C:C)</f>
        <v>Grocery</v>
      </c>
      <c r="N295" t="str">
        <f>_xlfn.XLOOKUP(E295, Sales_Reps!A:A, Sales_Reps!C:C)</f>
        <v>North</v>
      </c>
      <c r="O295">
        <f>_xlfn.XLOOKUP(D295, Products!A:A, Products!D:D)</f>
        <v>2214</v>
      </c>
      <c r="P295">
        <f>_xlfn.XLOOKUP(D295, Products!A:A, Products!E:E)</f>
        <v>3660</v>
      </c>
    </row>
    <row r="296" spans="1:16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 t="shared" si="4"/>
        <v>Mumbai</v>
      </c>
      <c r="M296" t="str">
        <f>_xlfn.XLOOKUP(D296, Products!A:A, Products!C:C)</f>
        <v>Grocery</v>
      </c>
      <c r="N296" t="str">
        <f>_xlfn.XLOOKUP(E296, Sales_Reps!A:A, Sales_Reps!C:C)</f>
        <v>North</v>
      </c>
      <c r="O296">
        <f>_xlfn.XLOOKUP(D296, Products!A:A, Products!D:D)</f>
        <v>1203</v>
      </c>
      <c r="P296">
        <f>_xlfn.XLOOKUP(D296, Products!A:A, Products!E:E)</f>
        <v>2270</v>
      </c>
    </row>
    <row r="297" spans="1:16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 t="shared" si="4"/>
        <v>Delhi</v>
      </c>
      <c r="M297" t="str">
        <f>_xlfn.XLOOKUP(D297, Products!A:A, Products!C:C)</f>
        <v>Sports</v>
      </c>
      <c r="N297" t="str">
        <f>_xlfn.XLOOKUP(E297, Sales_Reps!A:A, Sales_Reps!C:C)</f>
        <v>West</v>
      </c>
      <c r="O297">
        <f>_xlfn.XLOOKUP(D297, Products!A:A, Products!D:D)</f>
        <v>1860</v>
      </c>
      <c r="P297">
        <f>_xlfn.XLOOKUP(D297, Products!A:A, Products!E:E)</f>
        <v>3780</v>
      </c>
    </row>
    <row r="298" spans="1:16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 t="shared" si="4"/>
        <v>Mumbai</v>
      </c>
      <c r="M298" t="str">
        <f>_xlfn.XLOOKUP(D298, Products!A:A, Products!C:C)</f>
        <v>Apparel</v>
      </c>
      <c r="N298" t="str">
        <f>_xlfn.XLOOKUP(E298, Sales_Reps!A:A, Sales_Reps!C:C)</f>
        <v>South</v>
      </c>
      <c r="O298">
        <f>_xlfn.XLOOKUP(D298, Products!A:A, Products!D:D)</f>
        <v>2611</v>
      </c>
      <c r="P298">
        <f>_xlfn.XLOOKUP(D298, Products!A:A, Products!E:E)</f>
        <v>3640</v>
      </c>
    </row>
    <row r="299" spans="1:16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 t="shared" si="4"/>
        <v>Hyderabad</v>
      </c>
      <c r="M299" t="str">
        <f>_xlfn.XLOOKUP(D299, Products!A:A, Products!C:C)</f>
        <v>Electronics</v>
      </c>
      <c r="N299" t="str">
        <f>_xlfn.XLOOKUP(E299, Sales_Reps!A:A, Sales_Reps!C:C)</f>
        <v>South</v>
      </c>
      <c r="O299">
        <f>_xlfn.XLOOKUP(D299, Products!A:A, Products!D:D)</f>
        <v>517</v>
      </c>
      <c r="P299">
        <f>_xlfn.XLOOKUP(D299, Products!A:A, Products!E:E)</f>
        <v>1220</v>
      </c>
    </row>
    <row r="300" spans="1:16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 t="shared" si="4"/>
        <v>Mumbai</v>
      </c>
      <c r="M300" t="str">
        <f>_xlfn.XLOOKUP(D300, Products!A:A, Products!C:C)</f>
        <v>Apparel</v>
      </c>
      <c r="N300" t="str">
        <f>_xlfn.XLOOKUP(E300, Sales_Reps!A:A, Sales_Reps!C:C)</f>
        <v>West</v>
      </c>
      <c r="O300">
        <f>_xlfn.XLOOKUP(D300, Products!A:A, Products!D:D)</f>
        <v>1075</v>
      </c>
      <c r="P300">
        <f>_xlfn.XLOOKUP(D300, Products!A:A, Products!E:E)</f>
        <v>2510</v>
      </c>
    </row>
    <row r="301" spans="1:16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 t="shared" si="4"/>
        <v>Mumbai</v>
      </c>
      <c r="M301" t="str">
        <f>_xlfn.XLOOKUP(D301, Products!A:A, Products!C:C)</f>
        <v>Home</v>
      </c>
      <c r="N301" t="str">
        <f>_xlfn.XLOOKUP(E301, Sales_Reps!A:A, Sales_Reps!C:C)</f>
        <v>North</v>
      </c>
      <c r="O301">
        <f>_xlfn.XLOOKUP(D301, Products!A:A, Products!D:D)</f>
        <v>519</v>
      </c>
      <c r="P301">
        <f>_xlfn.XLOOKUP(D301, Products!A:A, Products!E:E)</f>
        <v>1080</v>
      </c>
    </row>
    <row r="302" spans="1:16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 t="shared" si="4"/>
        <v>Mumbai</v>
      </c>
      <c r="M302" t="str">
        <f>_xlfn.XLOOKUP(D302, Products!A:A, Products!C:C)</f>
        <v>Home</v>
      </c>
      <c r="N302" t="str">
        <f>_xlfn.XLOOKUP(E302, Sales_Reps!A:A, Sales_Reps!C:C)</f>
        <v>South</v>
      </c>
      <c r="O302">
        <f>_xlfn.XLOOKUP(D302, Products!A:A, Products!D:D)</f>
        <v>1143</v>
      </c>
      <c r="P302">
        <f>_xlfn.XLOOKUP(D302, Products!A:A, Products!E:E)</f>
        <v>2030</v>
      </c>
    </row>
    <row r="303" spans="1:16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 t="shared" si="4"/>
        <v>Mumbai</v>
      </c>
      <c r="M303" t="str">
        <f>_xlfn.XLOOKUP(D303, Products!A:A, Products!C:C)</f>
        <v>Sports</v>
      </c>
      <c r="N303" t="str">
        <f>_xlfn.XLOOKUP(E303, Sales_Reps!A:A, Sales_Reps!C:C)</f>
        <v>East</v>
      </c>
      <c r="O303">
        <f>_xlfn.XLOOKUP(D303, Products!A:A, Products!D:D)</f>
        <v>1860</v>
      </c>
      <c r="P303">
        <f>_xlfn.XLOOKUP(D303, Products!A:A, Products!E:E)</f>
        <v>3780</v>
      </c>
    </row>
    <row r="304" spans="1:16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 t="shared" si="4"/>
        <v>Pune</v>
      </c>
      <c r="M304" t="str">
        <f>_xlfn.XLOOKUP(D304, Products!A:A, Products!C:C)</f>
        <v>Apparel</v>
      </c>
      <c r="N304" t="str">
        <f>_xlfn.XLOOKUP(E304, Sales_Reps!A:A, Sales_Reps!C:C)</f>
        <v>South</v>
      </c>
      <c r="O304">
        <f>_xlfn.XLOOKUP(D304, Products!A:A, Products!D:D)</f>
        <v>1886</v>
      </c>
      <c r="P304">
        <f>_xlfn.XLOOKUP(D304, Products!A:A, Products!E:E)</f>
        <v>3160</v>
      </c>
    </row>
    <row r="305" spans="1:16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 t="shared" si="4"/>
        <v>Hyderabad</v>
      </c>
      <c r="M305" t="str">
        <f>_xlfn.XLOOKUP(D305, Products!A:A, Products!C:C)</f>
        <v>Beauty</v>
      </c>
      <c r="N305" t="str">
        <f>_xlfn.XLOOKUP(E305, Sales_Reps!A:A, Sales_Reps!C:C)</f>
        <v>South</v>
      </c>
      <c r="O305">
        <f>_xlfn.XLOOKUP(D305, Products!A:A, Products!D:D)</f>
        <v>2768</v>
      </c>
      <c r="P305">
        <f>_xlfn.XLOOKUP(D305, Products!A:A, Products!E:E)</f>
        <v>4880</v>
      </c>
    </row>
    <row r="306" spans="1:16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 t="shared" si="4"/>
        <v>Delhi</v>
      </c>
      <c r="M306" t="str">
        <f>_xlfn.XLOOKUP(D306, Products!A:A, Products!C:C)</f>
        <v>Home</v>
      </c>
      <c r="N306" t="str">
        <f>_xlfn.XLOOKUP(E306, Sales_Reps!A:A, Sales_Reps!C:C)</f>
        <v>South</v>
      </c>
      <c r="O306">
        <f>_xlfn.XLOOKUP(D306, Products!A:A, Products!D:D)</f>
        <v>2135</v>
      </c>
      <c r="P306">
        <f>_xlfn.XLOOKUP(D306, Products!A:A, Products!E:E)</f>
        <v>3730</v>
      </c>
    </row>
    <row r="307" spans="1:16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 t="shared" si="4"/>
        <v>Chennai</v>
      </c>
      <c r="M307" t="str">
        <f>_xlfn.XLOOKUP(D307, Products!A:A, Products!C:C)</f>
        <v>Home</v>
      </c>
      <c r="N307" t="str">
        <f>_xlfn.XLOOKUP(E307, Sales_Reps!A:A, Sales_Reps!C:C)</f>
        <v>North</v>
      </c>
      <c r="O307">
        <f>_xlfn.XLOOKUP(D307, Products!A:A, Products!D:D)</f>
        <v>2459</v>
      </c>
      <c r="P307">
        <f>_xlfn.XLOOKUP(D307, Products!A:A, Products!E:E)</f>
        <v>5080</v>
      </c>
    </row>
    <row r="308" spans="1:16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 t="shared" si="4"/>
        <v>Mumbai</v>
      </c>
      <c r="M308" t="str">
        <f>_xlfn.XLOOKUP(D308, Products!A:A, Products!C:C)</f>
        <v>Beauty</v>
      </c>
      <c r="N308" t="str">
        <f>_xlfn.XLOOKUP(E308, Sales_Reps!A:A, Sales_Reps!C:C)</f>
        <v>South</v>
      </c>
      <c r="O308">
        <f>_xlfn.XLOOKUP(D308, Products!A:A, Products!D:D)</f>
        <v>1219</v>
      </c>
      <c r="P308">
        <f>_xlfn.XLOOKUP(D308, Products!A:A, Products!E:E)</f>
        <v>2290</v>
      </c>
    </row>
    <row r="309" spans="1:16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 t="shared" si="4"/>
        <v>Delhi</v>
      </c>
      <c r="M309" t="str">
        <f>_xlfn.XLOOKUP(D309, Products!A:A, Products!C:C)</f>
        <v>Electronics</v>
      </c>
      <c r="N309" t="str">
        <f>_xlfn.XLOOKUP(E309, Sales_Reps!A:A, Sales_Reps!C:C)</f>
        <v>South</v>
      </c>
      <c r="O309">
        <f>_xlfn.XLOOKUP(D309, Products!A:A, Products!D:D)</f>
        <v>1259</v>
      </c>
      <c r="P309">
        <f>_xlfn.XLOOKUP(D309, Products!A:A, Products!E:E)</f>
        <v>2660</v>
      </c>
    </row>
    <row r="310" spans="1:16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 t="shared" si="4"/>
        <v>Delhi</v>
      </c>
      <c r="M310" t="str">
        <f>_xlfn.XLOOKUP(D310, Products!A:A, Products!C:C)</f>
        <v>Grocery</v>
      </c>
      <c r="N310" t="str">
        <f>_xlfn.XLOOKUP(E310, Sales_Reps!A:A, Sales_Reps!C:C)</f>
        <v>West</v>
      </c>
      <c r="O310">
        <f>_xlfn.XLOOKUP(D310, Products!A:A, Products!D:D)</f>
        <v>2436</v>
      </c>
      <c r="P310">
        <f>_xlfn.XLOOKUP(D310, Products!A:A, Products!E:E)</f>
        <v>3780</v>
      </c>
    </row>
    <row r="311" spans="1:16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 t="shared" si="4"/>
        <v>Mumbai</v>
      </c>
      <c r="M311" t="str">
        <f>_xlfn.XLOOKUP(D311, Products!A:A, Products!C:C)</f>
        <v>Grocery</v>
      </c>
      <c r="N311" t="str">
        <f>_xlfn.XLOOKUP(E311, Sales_Reps!A:A, Sales_Reps!C:C)</f>
        <v>West</v>
      </c>
      <c r="O311">
        <f>_xlfn.XLOOKUP(D311, Products!A:A, Products!D:D)</f>
        <v>1435</v>
      </c>
      <c r="P311">
        <f>_xlfn.XLOOKUP(D311, Products!A:A, Products!E:E)</f>
        <v>2760</v>
      </c>
    </row>
    <row r="312" spans="1:16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 t="shared" si="4"/>
        <v>Hyderabad</v>
      </c>
      <c r="M312" t="str">
        <f>_xlfn.XLOOKUP(D312, Products!A:A, Products!C:C)</f>
        <v>Beauty</v>
      </c>
      <c r="N312" t="str">
        <f>_xlfn.XLOOKUP(E312, Sales_Reps!A:A, Sales_Reps!C:C)</f>
        <v>North</v>
      </c>
      <c r="O312">
        <f>_xlfn.XLOOKUP(D312, Products!A:A, Products!D:D)</f>
        <v>647</v>
      </c>
      <c r="P312">
        <f>_xlfn.XLOOKUP(D312, Products!A:A, Products!E:E)</f>
        <v>1540</v>
      </c>
    </row>
    <row r="313" spans="1:16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 t="shared" si="4"/>
        <v>Hyderabad</v>
      </c>
      <c r="M313" t="str">
        <f>_xlfn.XLOOKUP(D313, Products!A:A, Products!C:C)</f>
        <v>Beauty</v>
      </c>
      <c r="N313" t="str">
        <f>_xlfn.XLOOKUP(E313, Sales_Reps!A:A, Sales_Reps!C:C)</f>
        <v>East</v>
      </c>
      <c r="O313">
        <f>_xlfn.XLOOKUP(D313, Products!A:A, Products!D:D)</f>
        <v>2768</v>
      </c>
      <c r="P313">
        <f>_xlfn.XLOOKUP(D313, Products!A:A, Products!E:E)</f>
        <v>4880</v>
      </c>
    </row>
    <row r="314" spans="1:16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 t="shared" si="4"/>
        <v>Hyderabad</v>
      </c>
      <c r="M314" t="str">
        <f>_xlfn.XLOOKUP(D314, Products!A:A, Products!C:C)</f>
        <v>Grocery</v>
      </c>
      <c r="N314" t="str">
        <f>_xlfn.XLOOKUP(E314, Sales_Reps!A:A, Sales_Reps!C:C)</f>
        <v>South</v>
      </c>
      <c r="O314">
        <f>_xlfn.XLOOKUP(D314, Products!A:A, Products!D:D)</f>
        <v>1203</v>
      </c>
      <c r="P314">
        <f>_xlfn.XLOOKUP(D314, Products!A:A, Products!E:E)</f>
        <v>2270</v>
      </c>
    </row>
    <row r="315" spans="1:16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 t="shared" si="4"/>
        <v>Mumbai</v>
      </c>
      <c r="M315" t="str">
        <f>_xlfn.XLOOKUP(D315, Products!A:A, Products!C:C)</f>
        <v>Apparel</v>
      </c>
      <c r="N315" t="str">
        <f>_xlfn.XLOOKUP(E315, Sales_Reps!A:A, Sales_Reps!C:C)</f>
        <v>South</v>
      </c>
      <c r="O315">
        <f>_xlfn.XLOOKUP(D315, Products!A:A, Products!D:D)</f>
        <v>1173</v>
      </c>
      <c r="P315">
        <f>_xlfn.XLOOKUP(D315, Products!A:A, Products!E:E)</f>
        <v>2480</v>
      </c>
    </row>
    <row r="316" spans="1:16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 t="shared" si="4"/>
        <v>Hyderabad</v>
      </c>
      <c r="M316" t="str">
        <f>_xlfn.XLOOKUP(D316, Products!A:A, Products!C:C)</f>
        <v>Beauty</v>
      </c>
      <c r="N316" t="str">
        <f>_xlfn.XLOOKUP(E316, Sales_Reps!A:A, Sales_Reps!C:C)</f>
        <v>South</v>
      </c>
      <c r="O316">
        <f>_xlfn.XLOOKUP(D316, Products!A:A, Products!D:D)</f>
        <v>1626</v>
      </c>
      <c r="P316">
        <f>_xlfn.XLOOKUP(D316, Products!A:A, Products!E:E)</f>
        <v>3020</v>
      </c>
    </row>
    <row r="317" spans="1:16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 t="shared" si="4"/>
        <v>Chennai</v>
      </c>
      <c r="M317" t="str">
        <f>_xlfn.XLOOKUP(D317, Products!A:A, Products!C:C)</f>
        <v>Beauty</v>
      </c>
      <c r="N317" t="str">
        <f>_xlfn.XLOOKUP(E317, Sales_Reps!A:A, Sales_Reps!C:C)</f>
        <v>East</v>
      </c>
      <c r="O317">
        <f>_xlfn.XLOOKUP(D317, Products!A:A, Products!D:D)</f>
        <v>647</v>
      </c>
      <c r="P317">
        <f>_xlfn.XLOOKUP(D317, Products!A:A, Products!E:E)</f>
        <v>1540</v>
      </c>
    </row>
    <row r="318" spans="1:16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 t="shared" si="4"/>
        <v>Delhi</v>
      </c>
      <c r="M318" t="str">
        <f>_xlfn.XLOOKUP(D318, Products!A:A, Products!C:C)</f>
        <v>Apparel</v>
      </c>
      <c r="N318" t="str">
        <f>_xlfn.XLOOKUP(E318, Sales_Reps!A:A, Sales_Reps!C:C)</f>
        <v>North</v>
      </c>
      <c r="O318">
        <f>_xlfn.XLOOKUP(D318, Products!A:A, Products!D:D)</f>
        <v>1886</v>
      </c>
      <c r="P318">
        <f>_xlfn.XLOOKUP(D318, Products!A:A, Products!E:E)</f>
        <v>3160</v>
      </c>
    </row>
    <row r="319" spans="1:16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 t="shared" si="4"/>
        <v>Delhi</v>
      </c>
      <c r="M319" t="str">
        <f>_xlfn.XLOOKUP(D319, Products!A:A, Products!C:C)</f>
        <v>Sports</v>
      </c>
      <c r="N319" t="str">
        <f>_xlfn.XLOOKUP(E319, Sales_Reps!A:A, Sales_Reps!C:C)</f>
        <v>South</v>
      </c>
      <c r="O319">
        <f>_xlfn.XLOOKUP(D319, Products!A:A, Products!D:D)</f>
        <v>516</v>
      </c>
      <c r="P319">
        <f>_xlfn.XLOOKUP(D319, Products!A:A, Products!E:E)</f>
        <v>1010</v>
      </c>
    </row>
    <row r="320" spans="1:16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 t="shared" si="4"/>
        <v>Hyderabad</v>
      </c>
      <c r="M320" t="str">
        <f>_xlfn.XLOOKUP(D320, Products!A:A, Products!C:C)</f>
        <v>Home</v>
      </c>
      <c r="N320" t="str">
        <f>_xlfn.XLOOKUP(E320, Sales_Reps!A:A, Sales_Reps!C:C)</f>
        <v>East</v>
      </c>
      <c r="O320">
        <f>_xlfn.XLOOKUP(D320, Products!A:A, Products!D:D)</f>
        <v>1850</v>
      </c>
      <c r="P320">
        <f>_xlfn.XLOOKUP(D320, Products!A:A, Products!E:E)</f>
        <v>4610</v>
      </c>
    </row>
    <row r="321" spans="1:16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 t="shared" si="4"/>
        <v>Hyderabad</v>
      </c>
      <c r="M321" t="str">
        <f>_xlfn.XLOOKUP(D321, Products!A:A, Products!C:C)</f>
        <v>Grocery</v>
      </c>
      <c r="N321" t="str">
        <f>_xlfn.XLOOKUP(E321, Sales_Reps!A:A, Sales_Reps!C:C)</f>
        <v>West</v>
      </c>
      <c r="O321">
        <f>_xlfn.XLOOKUP(D321, Products!A:A, Products!D:D)</f>
        <v>2911</v>
      </c>
      <c r="P321">
        <f>_xlfn.XLOOKUP(D321, Products!A:A, Products!E:E)</f>
        <v>4060</v>
      </c>
    </row>
    <row r="322" spans="1:16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 t="shared" si="4"/>
        <v>Chennai</v>
      </c>
      <c r="M322" t="str">
        <f>_xlfn.XLOOKUP(D322, Products!A:A, Products!C:C)</f>
        <v>Apparel</v>
      </c>
      <c r="N322" t="str">
        <f>_xlfn.XLOOKUP(E322, Sales_Reps!A:A, Sales_Reps!C:C)</f>
        <v>North</v>
      </c>
      <c r="O322">
        <f>_xlfn.XLOOKUP(D322, Products!A:A, Products!D:D)</f>
        <v>396</v>
      </c>
      <c r="P322">
        <f>_xlfn.XLOOKUP(D322, Products!A:A, Products!E:E)</f>
        <v>620</v>
      </c>
    </row>
    <row r="323" spans="1:16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 t="shared" ref="L323:L386" si="5">PROPER(TRIM(K323))</f>
        <v>Hyderabad</v>
      </c>
      <c r="M323" t="str">
        <f>_xlfn.XLOOKUP(D323, Products!A:A, Products!C:C)</f>
        <v>Apparel</v>
      </c>
      <c r="N323" t="str">
        <f>_xlfn.XLOOKUP(E323, Sales_Reps!A:A, Sales_Reps!C:C)</f>
        <v>North</v>
      </c>
      <c r="O323">
        <f>_xlfn.XLOOKUP(D323, Products!A:A, Products!D:D)</f>
        <v>2629</v>
      </c>
      <c r="P323">
        <f>_xlfn.XLOOKUP(D323, Products!A:A, Products!E:E)</f>
        <v>3560</v>
      </c>
    </row>
    <row r="324" spans="1:16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 t="shared" si="5"/>
        <v>Pune</v>
      </c>
      <c r="M324" t="str">
        <f>_xlfn.XLOOKUP(D324, Products!A:A, Products!C:C)</f>
        <v>Sports</v>
      </c>
      <c r="N324" t="str">
        <f>_xlfn.XLOOKUP(E324, Sales_Reps!A:A, Sales_Reps!C:C)</f>
        <v>South</v>
      </c>
      <c r="O324">
        <f>_xlfn.XLOOKUP(D324, Products!A:A, Products!D:D)</f>
        <v>974</v>
      </c>
      <c r="P324">
        <f>_xlfn.XLOOKUP(D324, Products!A:A, Products!E:E)</f>
        <v>2400</v>
      </c>
    </row>
    <row r="325" spans="1:16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 t="shared" si="5"/>
        <v>Delhi</v>
      </c>
      <c r="M325" t="str">
        <f>_xlfn.XLOOKUP(D325, Products!A:A, Products!C:C)</f>
        <v>Sports</v>
      </c>
      <c r="N325" t="str">
        <f>_xlfn.XLOOKUP(E325, Sales_Reps!A:A, Sales_Reps!C:C)</f>
        <v>North</v>
      </c>
      <c r="O325">
        <f>_xlfn.XLOOKUP(D325, Products!A:A, Products!D:D)</f>
        <v>2827</v>
      </c>
      <c r="P325">
        <f>_xlfn.XLOOKUP(D325, Products!A:A, Products!E:E)</f>
        <v>6940</v>
      </c>
    </row>
    <row r="326" spans="1:16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 t="shared" si="5"/>
        <v>Mumbai</v>
      </c>
      <c r="M326" t="str">
        <f>_xlfn.XLOOKUP(D326, Products!A:A, Products!C:C)</f>
        <v>Grocery</v>
      </c>
      <c r="N326" t="str">
        <f>_xlfn.XLOOKUP(E326, Sales_Reps!A:A, Sales_Reps!C:C)</f>
        <v>West</v>
      </c>
      <c r="O326">
        <f>_xlfn.XLOOKUP(D326, Products!A:A, Products!D:D)</f>
        <v>1182</v>
      </c>
      <c r="P326">
        <f>_xlfn.XLOOKUP(D326, Products!A:A, Products!E:E)</f>
        <v>2380</v>
      </c>
    </row>
    <row r="327" spans="1:16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 t="shared" si="5"/>
        <v>Delhi</v>
      </c>
      <c r="M327" t="str">
        <f>_xlfn.XLOOKUP(D327, Products!A:A, Products!C:C)</f>
        <v>Apparel</v>
      </c>
      <c r="N327" t="str">
        <f>_xlfn.XLOOKUP(E327, Sales_Reps!A:A, Sales_Reps!C:C)</f>
        <v>West</v>
      </c>
      <c r="O327">
        <f>_xlfn.XLOOKUP(D327, Products!A:A, Products!D:D)</f>
        <v>2509</v>
      </c>
      <c r="P327">
        <f>_xlfn.XLOOKUP(D327, Products!A:A, Products!E:E)</f>
        <v>3620</v>
      </c>
    </row>
    <row r="328" spans="1:16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 t="shared" si="5"/>
        <v>Hyderabad</v>
      </c>
      <c r="M328" t="str">
        <f>_xlfn.XLOOKUP(D328, Products!A:A, Products!C:C)</f>
        <v>Beauty</v>
      </c>
      <c r="N328" t="str">
        <f>_xlfn.XLOOKUP(E328, Sales_Reps!A:A, Sales_Reps!C:C)</f>
        <v>North</v>
      </c>
      <c r="O328">
        <f>_xlfn.XLOOKUP(D328, Products!A:A, Products!D:D)</f>
        <v>2617</v>
      </c>
      <c r="P328">
        <f>_xlfn.XLOOKUP(D328, Products!A:A, Products!E:E)</f>
        <v>6080</v>
      </c>
    </row>
    <row r="329" spans="1:16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 t="shared" si="5"/>
        <v>Chennai</v>
      </c>
      <c r="M329" t="str">
        <f>_xlfn.XLOOKUP(D329, Products!A:A, Products!C:C)</f>
        <v>Apparel</v>
      </c>
      <c r="N329" t="str">
        <f>_xlfn.XLOOKUP(E329, Sales_Reps!A:A, Sales_Reps!C:C)</f>
        <v>East</v>
      </c>
      <c r="O329">
        <f>_xlfn.XLOOKUP(D329, Products!A:A, Products!D:D)</f>
        <v>391</v>
      </c>
      <c r="P329">
        <f>_xlfn.XLOOKUP(D329, Products!A:A, Products!E:E)</f>
        <v>820</v>
      </c>
    </row>
    <row r="330" spans="1:16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 t="shared" si="5"/>
        <v>Mumbai</v>
      </c>
      <c r="M330" t="str">
        <f>_xlfn.XLOOKUP(D330, Products!A:A, Products!C:C)</f>
        <v>Beauty</v>
      </c>
      <c r="N330" t="str">
        <f>_xlfn.XLOOKUP(E330, Sales_Reps!A:A, Sales_Reps!C:C)</f>
        <v>West</v>
      </c>
      <c r="O330">
        <f>_xlfn.XLOOKUP(D330, Products!A:A, Products!D:D)</f>
        <v>1626</v>
      </c>
      <c r="P330">
        <f>_xlfn.XLOOKUP(D330, Products!A:A, Products!E:E)</f>
        <v>3020</v>
      </c>
    </row>
    <row r="331" spans="1:16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 t="shared" si="5"/>
        <v>Delhi</v>
      </c>
      <c r="M331" t="str">
        <f>_xlfn.XLOOKUP(D331, Products!A:A, Products!C:C)</f>
        <v>Electronics</v>
      </c>
      <c r="N331" t="str">
        <f>_xlfn.XLOOKUP(E331, Sales_Reps!A:A, Sales_Reps!C:C)</f>
        <v>West</v>
      </c>
      <c r="O331">
        <f>_xlfn.XLOOKUP(D331, Products!A:A, Products!D:D)</f>
        <v>1559</v>
      </c>
      <c r="P331">
        <f>_xlfn.XLOOKUP(D331, Products!A:A, Products!E:E)</f>
        <v>3870</v>
      </c>
    </row>
    <row r="332" spans="1:16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 t="shared" si="5"/>
        <v>Pune</v>
      </c>
      <c r="M332" t="str">
        <f>_xlfn.XLOOKUP(D332, Products!A:A, Products!C:C)</f>
        <v>Beauty</v>
      </c>
      <c r="N332" t="str">
        <f>_xlfn.XLOOKUP(E332, Sales_Reps!A:A, Sales_Reps!C:C)</f>
        <v>West</v>
      </c>
      <c r="O332">
        <f>_xlfn.XLOOKUP(D332, Products!A:A, Products!D:D)</f>
        <v>2420</v>
      </c>
      <c r="P332">
        <f>_xlfn.XLOOKUP(D332, Products!A:A, Products!E:E)</f>
        <v>3450</v>
      </c>
    </row>
    <row r="333" spans="1:16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 t="shared" si="5"/>
        <v>Chennai</v>
      </c>
      <c r="M333" t="str">
        <f>_xlfn.XLOOKUP(D333, Products!A:A, Products!C:C)</f>
        <v>Beauty</v>
      </c>
      <c r="N333" t="str">
        <f>_xlfn.XLOOKUP(E333, Sales_Reps!A:A, Sales_Reps!C:C)</f>
        <v>North</v>
      </c>
      <c r="O333">
        <f>_xlfn.XLOOKUP(D333, Products!A:A, Products!D:D)</f>
        <v>2237</v>
      </c>
      <c r="P333">
        <f>_xlfn.XLOOKUP(D333, Products!A:A, Products!E:E)</f>
        <v>5100</v>
      </c>
    </row>
    <row r="334" spans="1:16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 t="shared" si="5"/>
        <v>Delhi</v>
      </c>
      <c r="M334" t="str">
        <f>_xlfn.XLOOKUP(D334, Products!A:A, Products!C:C)</f>
        <v>Grocery</v>
      </c>
      <c r="N334" t="str">
        <f>_xlfn.XLOOKUP(E334, Sales_Reps!A:A, Sales_Reps!C:C)</f>
        <v>North</v>
      </c>
      <c r="O334">
        <f>_xlfn.XLOOKUP(D334, Products!A:A, Products!D:D)</f>
        <v>2027</v>
      </c>
      <c r="P334">
        <f>_xlfn.XLOOKUP(D334, Products!A:A, Products!E:E)</f>
        <v>4070</v>
      </c>
    </row>
    <row r="335" spans="1:16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 t="shared" si="5"/>
        <v>Pune</v>
      </c>
      <c r="M335" t="str">
        <f>_xlfn.XLOOKUP(D335, Products!A:A, Products!C:C)</f>
        <v>Electronics</v>
      </c>
      <c r="N335" t="str">
        <f>_xlfn.XLOOKUP(E335, Sales_Reps!A:A, Sales_Reps!C:C)</f>
        <v>North</v>
      </c>
      <c r="O335">
        <f>_xlfn.XLOOKUP(D335, Products!A:A, Products!D:D)</f>
        <v>2405</v>
      </c>
      <c r="P335">
        <f>_xlfn.XLOOKUP(D335, Products!A:A, Products!E:E)</f>
        <v>5330</v>
      </c>
    </row>
    <row r="336" spans="1:16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 t="shared" si="5"/>
        <v>Pune</v>
      </c>
      <c r="M336" t="str">
        <f>_xlfn.XLOOKUP(D336, Products!A:A, Products!C:C)</f>
        <v>Grocery</v>
      </c>
      <c r="N336" t="str">
        <f>_xlfn.XLOOKUP(E336, Sales_Reps!A:A, Sales_Reps!C:C)</f>
        <v>East</v>
      </c>
      <c r="O336">
        <f>_xlfn.XLOOKUP(D336, Products!A:A, Products!D:D)</f>
        <v>1203</v>
      </c>
      <c r="P336">
        <f>_xlfn.XLOOKUP(D336, Products!A:A, Products!E:E)</f>
        <v>2270</v>
      </c>
    </row>
    <row r="337" spans="1:16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 t="shared" si="5"/>
        <v>Pune</v>
      </c>
      <c r="M337" t="str">
        <f>_xlfn.XLOOKUP(D337, Products!A:A, Products!C:C)</f>
        <v>Apparel</v>
      </c>
      <c r="N337" t="str">
        <f>_xlfn.XLOOKUP(E337, Sales_Reps!A:A, Sales_Reps!C:C)</f>
        <v>West</v>
      </c>
      <c r="O337">
        <f>_xlfn.XLOOKUP(D337, Products!A:A, Products!D:D)</f>
        <v>1075</v>
      </c>
      <c r="P337">
        <f>_xlfn.XLOOKUP(D337, Products!A:A, Products!E:E)</f>
        <v>2510</v>
      </c>
    </row>
    <row r="338" spans="1:16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 t="shared" si="5"/>
        <v>Delhi</v>
      </c>
      <c r="M338" t="str">
        <f>_xlfn.XLOOKUP(D338, Products!A:A, Products!C:C)</f>
        <v>Grocery</v>
      </c>
      <c r="N338" t="str">
        <f>_xlfn.XLOOKUP(E338, Sales_Reps!A:A, Sales_Reps!C:C)</f>
        <v>East</v>
      </c>
      <c r="O338">
        <f>_xlfn.XLOOKUP(D338, Products!A:A, Products!D:D)</f>
        <v>1182</v>
      </c>
      <c r="P338">
        <f>_xlfn.XLOOKUP(D338, Products!A:A, Products!E:E)</f>
        <v>2380</v>
      </c>
    </row>
    <row r="339" spans="1:16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 t="shared" si="5"/>
        <v>Delhi</v>
      </c>
      <c r="M339" t="str">
        <f>_xlfn.XLOOKUP(D339, Products!A:A, Products!C:C)</f>
        <v>Apparel</v>
      </c>
      <c r="N339" t="str">
        <f>_xlfn.XLOOKUP(E339, Sales_Reps!A:A, Sales_Reps!C:C)</f>
        <v>North</v>
      </c>
      <c r="O339">
        <f>_xlfn.XLOOKUP(D339, Products!A:A, Products!D:D)</f>
        <v>1748</v>
      </c>
      <c r="P339">
        <f>_xlfn.XLOOKUP(D339, Products!A:A, Products!E:E)</f>
        <v>3450</v>
      </c>
    </row>
    <row r="340" spans="1:16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 t="shared" si="5"/>
        <v>Bengaluru</v>
      </c>
      <c r="M340" t="str">
        <f>_xlfn.XLOOKUP(D340, Products!A:A, Products!C:C)</f>
        <v>Electronics</v>
      </c>
      <c r="N340" t="str">
        <f>_xlfn.XLOOKUP(E340, Sales_Reps!A:A, Sales_Reps!C:C)</f>
        <v>North</v>
      </c>
      <c r="O340">
        <f>_xlfn.XLOOKUP(D340, Products!A:A, Products!D:D)</f>
        <v>1665</v>
      </c>
      <c r="P340">
        <f>_xlfn.XLOOKUP(D340, Products!A:A, Products!E:E)</f>
        <v>3570</v>
      </c>
    </row>
    <row r="341" spans="1:16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 t="shared" si="5"/>
        <v>Hyderabad</v>
      </c>
      <c r="M341" t="str">
        <f>_xlfn.XLOOKUP(D341, Products!A:A, Products!C:C)</f>
        <v>Electronics</v>
      </c>
      <c r="N341" t="str">
        <f>_xlfn.XLOOKUP(E341, Sales_Reps!A:A, Sales_Reps!C:C)</f>
        <v>West</v>
      </c>
      <c r="O341">
        <f>_xlfn.XLOOKUP(D341, Products!A:A, Products!D:D)</f>
        <v>2405</v>
      </c>
      <c r="P341">
        <f>_xlfn.XLOOKUP(D341, Products!A:A, Products!E:E)</f>
        <v>5330</v>
      </c>
    </row>
    <row r="342" spans="1:16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 t="shared" si="5"/>
        <v>Mumbai</v>
      </c>
      <c r="M342" t="str">
        <f>_xlfn.XLOOKUP(D342, Products!A:A, Products!C:C)</f>
        <v>Grocery</v>
      </c>
      <c r="N342" t="str">
        <f>_xlfn.XLOOKUP(E342, Sales_Reps!A:A, Sales_Reps!C:C)</f>
        <v>West</v>
      </c>
      <c r="O342">
        <f>_xlfn.XLOOKUP(D342, Products!A:A, Products!D:D)</f>
        <v>2214</v>
      </c>
      <c r="P342">
        <f>_xlfn.XLOOKUP(D342, Products!A:A, Products!E:E)</f>
        <v>3660</v>
      </c>
    </row>
    <row r="343" spans="1:16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 t="shared" si="5"/>
        <v>Mumbai</v>
      </c>
      <c r="M343" t="str">
        <f>_xlfn.XLOOKUP(D343, Products!A:A, Products!C:C)</f>
        <v>Sports</v>
      </c>
      <c r="N343" t="str">
        <f>_xlfn.XLOOKUP(E343, Sales_Reps!A:A, Sales_Reps!C:C)</f>
        <v>South</v>
      </c>
      <c r="O343">
        <f>_xlfn.XLOOKUP(D343, Products!A:A, Products!D:D)</f>
        <v>516</v>
      </c>
      <c r="P343">
        <f>_xlfn.XLOOKUP(D343, Products!A:A, Products!E:E)</f>
        <v>1010</v>
      </c>
    </row>
    <row r="344" spans="1:16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 t="shared" si="5"/>
        <v>Delhi</v>
      </c>
      <c r="M344" t="str">
        <f>_xlfn.XLOOKUP(D344, Products!A:A, Products!C:C)</f>
        <v>Home</v>
      </c>
      <c r="N344" t="str">
        <f>_xlfn.XLOOKUP(E344, Sales_Reps!A:A, Sales_Reps!C:C)</f>
        <v>South</v>
      </c>
      <c r="O344">
        <f>_xlfn.XLOOKUP(D344, Products!A:A, Products!D:D)</f>
        <v>519</v>
      </c>
      <c r="P344">
        <f>_xlfn.XLOOKUP(D344, Products!A:A, Products!E:E)</f>
        <v>1080</v>
      </c>
    </row>
    <row r="345" spans="1:16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 t="shared" si="5"/>
        <v>Pune</v>
      </c>
      <c r="M345" t="str">
        <f>_xlfn.XLOOKUP(D345, Products!A:A, Products!C:C)</f>
        <v>Sports</v>
      </c>
      <c r="N345" t="str">
        <f>_xlfn.XLOOKUP(E345, Sales_Reps!A:A, Sales_Reps!C:C)</f>
        <v>South</v>
      </c>
      <c r="O345">
        <f>_xlfn.XLOOKUP(D345, Products!A:A, Products!D:D)</f>
        <v>2467</v>
      </c>
      <c r="P345">
        <f>_xlfn.XLOOKUP(D345, Products!A:A, Products!E:E)</f>
        <v>3450</v>
      </c>
    </row>
    <row r="346" spans="1:16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 t="shared" si="5"/>
        <v>Mumbai</v>
      </c>
      <c r="M346" t="str">
        <f>_xlfn.XLOOKUP(D346, Products!A:A, Products!C:C)</f>
        <v>Sports</v>
      </c>
      <c r="N346" t="str">
        <f>_xlfn.XLOOKUP(E346, Sales_Reps!A:A, Sales_Reps!C:C)</f>
        <v>South</v>
      </c>
      <c r="O346">
        <f>_xlfn.XLOOKUP(D346, Products!A:A, Products!D:D)</f>
        <v>2827</v>
      </c>
      <c r="P346">
        <f>_xlfn.XLOOKUP(D346, Products!A:A, Products!E:E)</f>
        <v>6940</v>
      </c>
    </row>
    <row r="347" spans="1:16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 t="shared" si="5"/>
        <v>Pune</v>
      </c>
      <c r="M347" t="str">
        <f>_xlfn.XLOOKUP(D347, Products!A:A, Products!C:C)</f>
        <v>Beauty</v>
      </c>
      <c r="N347" t="str">
        <f>_xlfn.XLOOKUP(E347, Sales_Reps!A:A, Sales_Reps!C:C)</f>
        <v>North</v>
      </c>
      <c r="O347">
        <f>_xlfn.XLOOKUP(D347, Products!A:A, Products!D:D)</f>
        <v>647</v>
      </c>
      <c r="P347">
        <f>_xlfn.XLOOKUP(D347, Products!A:A, Products!E:E)</f>
        <v>1540</v>
      </c>
    </row>
    <row r="348" spans="1:16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 t="shared" si="5"/>
        <v>Pune</v>
      </c>
      <c r="M348" t="str">
        <f>_xlfn.XLOOKUP(D348, Products!A:A, Products!C:C)</f>
        <v>Electronics</v>
      </c>
      <c r="N348" t="str">
        <f>_xlfn.XLOOKUP(E348, Sales_Reps!A:A, Sales_Reps!C:C)</f>
        <v>South</v>
      </c>
      <c r="O348">
        <f>_xlfn.XLOOKUP(D348, Products!A:A, Products!D:D)</f>
        <v>1149</v>
      </c>
      <c r="P348">
        <f>_xlfn.XLOOKUP(D348, Products!A:A, Products!E:E)</f>
        <v>2640</v>
      </c>
    </row>
    <row r="349" spans="1:16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 t="shared" si="5"/>
        <v>Pune</v>
      </c>
      <c r="M349" t="str">
        <f>_xlfn.XLOOKUP(D349, Products!A:A, Products!C:C)</f>
        <v>Sports</v>
      </c>
      <c r="N349" t="str">
        <f>_xlfn.XLOOKUP(E349, Sales_Reps!A:A, Sales_Reps!C:C)</f>
        <v>West</v>
      </c>
      <c r="O349">
        <f>_xlfn.XLOOKUP(D349, Products!A:A, Products!D:D)</f>
        <v>2265</v>
      </c>
      <c r="P349">
        <f>_xlfn.XLOOKUP(D349, Products!A:A, Products!E:E)</f>
        <v>5410</v>
      </c>
    </row>
    <row r="350" spans="1:16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 t="shared" si="5"/>
        <v>Delhi</v>
      </c>
      <c r="M350" t="str">
        <f>_xlfn.XLOOKUP(D350, Products!A:A, Products!C:C)</f>
        <v>Electronics</v>
      </c>
      <c r="N350" t="str">
        <f>_xlfn.XLOOKUP(E350, Sales_Reps!A:A, Sales_Reps!C:C)</f>
        <v>West</v>
      </c>
      <c r="O350">
        <f>_xlfn.XLOOKUP(D350, Products!A:A, Products!D:D)</f>
        <v>1665</v>
      </c>
      <c r="P350">
        <f>_xlfn.XLOOKUP(D350, Products!A:A, Products!E:E)</f>
        <v>3570</v>
      </c>
    </row>
    <row r="351" spans="1:16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 t="shared" si="5"/>
        <v>Hyderabad</v>
      </c>
      <c r="M351" t="str">
        <f>_xlfn.XLOOKUP(D351, Products!A:A, Products!C:C)</f>
        <v>Home</v>
      </c>
      <c r="N351" t="str">
        <f>_xlfn.XLOOKUP(E351, Sales_Reps!A:A, Sales_Reps!C:C)</f>
        <v>West</v>
      </c>
      <c r="O351">
        <f>_xlfn.XLOOKUP(D351, Products!A:A, Products!D:D)</f>
        <v>288</v>
      </c>
      <c r="P351">
        <f>_xlfn.XLOOKUP(D351, Products!A:A, Products!E:E)</f>
        <v>370</v>
      </c>
    </row>
    <row r="352" spans="1:16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 t="shared" si="5"/>
        <v>Mumbai</v>
      </c>
      <c r="M352" t="str">
        <f>_xlfn.XLOOKUP(D352, Products!A:A, Products!C:C)</f>
        <v>Apparel</v>
      </c>
      <c r="N352" t="str">
        <f>_xlfn.XLOOKUP(E352, Sales_Reps!A:A, Sales_Reps!C:C)</f>
        <v>East</v>
      </c>
      <c r="O352">
        <f>_xlfn.XLOOKUP(D352, Products!A:A, Products!D:D)</f>
        <v>1075</v>
      </c>
      <c r="P352">
        <f>_xlfn.XLOOKUP(D352, Products!A:A, Products!E:E)</f>
        <v>2510</v>
      </c>
    </row>
    <row r="353" spans="1:16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 t="shared" si="5"/>
        <v>Hyderabad</v>
      </c>
      <c r="M353" t="str">
        <f>_xlfn.XLOOKUP(D353, Products!A:A, Products!C:C)</f>
        <v>Apparel</v>
      </c>
      <c r="N353" t="str">
        <f>_xlfn.XLOOKUP(E353, Sales_Reps!A:A, Sales_Reps!C:C)</f>
        <v>East</v>
      </c>
      <c r="O353">
        <f>_xlfn.XLOOKUP(D353, Products!A:A, Products!D:D)</f>
        <v>2611</v>
      </c>
      <c r="P353">
        <f>_xlfn.XLOOKUP(D353, Products!A:A, Products!E:E)</f>
        <v>3640</v>
      </c>
    </row>
    <row r="354" spans="1:16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 t="shared" si="5"/>
        <v>Chennai</v>
      </c>
      <c r="M354" t="str">
        <f>_xlfn.XLOOKUP(D354, Products!A:A, Products!C:C)</f>
        <v>Beauty</v>
      </c>
      <c r="N354" t="str">
        <f>_xlfn.XLOOKUP(E354, Sales_Reps!A:A, Sales_Reps!C:C)</f>
        <v>West</v>
      </c>
      <c r="O354">
        <f>_xlfn.XLOOKUP(D354, Products!A:A, Products!D:D)</f>
        <v>1222</v>
      </c>
      <c r="P354">
        <f>_xlfn.XLOOKUP(D354, Products!A:A, Products!E:E)</f>
        <v>1650</v>
      </c>
    </row>
    <row r="355" spans="1:16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 t="shared" si="5"/>
        <v>Chennai</v>
      </c>
      <c r="M355" t="str">
        <f>_xlfn.XLOOKUP(D355, Products!A:A, Products!C:C)</f>
        <v>Beauty</v>
      </c>
      <c r="N355" t="str">
        <f>_xlfn.XLOOKUP(E355, Sales_Reps!A:A, Sales_Reps!C:C)</f>
        <v>West</v>
      </c>
      <c r="O355">
        <f>_xlfn.XLOOKUP(D355, Products!A:A, Products!D:D)</f>
        <v>675</v>
      </c>
      <c r="P355">
        <f>_xlfn.XLOOKUP(D355, Products!A:A, Products!E:E)</f>
        <v>960</v>
      </c>
    </row>
    <row r="356" spans="1:16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 t="shared" si="5"/>
        <v>Bengaluru</v>
      </c>
      <c r="M356" t="str">
        <f>_xlfn.XLOOKUP(D356, Products!A:A, Products!C:C)</f>
        <v>Grocery</v>
      </c>
      <c r="N356" t="str">
        <f>_xlfn.XLOOKUP(E356, Sales_Reps!A:A, Sales_Reps!C:C)</f>
        <v>East</v>
      </c>
      <c r="O356">
        <f>_xlfn.XLOOKUP(D356, Products!A:A, Products!D:D)</f>
        <v>2436</v>
      </c>
      <c r="P356">
        <f>_xlfn.XLOOKUP(D356, Products!A:A, Products!E:E)</f>
        <v>3780</v>
      </c>
    </row>
    <row r="357" spans="1:16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 t="shared" si="5"/>
        <v>Chennai</v>
      </c>
      <c r="M357" t="str">
        <f>_xlfn.XLOOKUP(D357, Products!A:A, Products!C:C)</f>
        <v>Beauty</v>
      </c>
      <c r="N357" t="str">
        <f>_xlfn.XLOOKUP(E357, Sales_Reps!A:A, Sales_Reps!C:C)</f>
        <v>South</v>
      </c>
      <c r="O357">
        <f>_xlfn.XLOOKUP(D357, Products!A:A, Products!D:D)</f>
        <v>1222</v>
      </c>
      <c r="P357">
        <f>_xlfn.XLOOKUP(D357, Products!A:A, Products!E:E)</f>
        <v>1650</v>
      </c>
    </row>
    <row r="358" spans="1:16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 t="shared" si="5"/>
        <v>Hyderabad</v>
      </c>
      <c r="M358" t="str">
        <f>_xlfn.XLOOKUP(D358, Products!A:A, Products!C:C)</f>
        <v>Apparel</v>
      </c>
      <c r="N358" t="str">
        <f>_xlfn.XLOOKUP(E358, Sales_Reps!A:A, Sales_Reps!C:C)</f>
        <v>South</v>
      </c>
      <c r="O358">
        <f>_xlfn.XLOOKUP(D358, Products!A:A, Products!D:D)</f>
        <v>2509</v>
      </c>
      <c r="P358">
        <f>_xlfn.XLOOKUP(D358, Products!A:A, Products!E:E)</f>
        <v>3620</v>
      </c>
    </row>
    <row r="359" spans="1:16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 t="shared" si="5"/>
        <v>Delhi</v>
      </c>
      <c r="M359" t="str">
        <f>_xlfn.XLOOKUP(D359, Products!A:A, Products!C:C)</f>
        <v>Grocery</v>
      </c>
      <c r="N359" t="str">
        <f>_xlfn.XLOOKUP(E359, Sales_Reps!A:A, Sales_Reps!C:C)</f>
        <v>West</v>
      </c>
      <c r="O359">
        <f>_xlfn.XLOOKUP(D359, Products!A:A, Products!D:D)</f>
        <v>1412</v>
      </c>
      <c r="P359">
        <f>_xlfn.XLOOKUP(D359, Products!A:A, Products!E:E)</f>
        <v>2270</v>
      </c>
    </row>
    <row r="360" spans="1:16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 t="shared" si="5"/>
        <v>Bengaluru</v>
      </c>
      <c r="M360" t="str">
        <f>_xlfn.XLOOKUP(D360, Products!A:A, Products!C:C)</f>
        <v>Beauty</v>
      </c>
      <c r="N360" t="str">
        <f>_xlfn.XLOOKUP(E360, Sales_Reps!A:A, Sales_Reps!C:C)</f>
        <v>South</v>
      </c>
      <c r="O360">
        <f>_xlfn.XLOOKUP(D360, Products!A:A, Products!D:D)</f>
        <v>647</v>
      </c>
      <c r="P360">
        <f>_xlfn.XLOOKUP(D360, Products!A:A, Products!E:E)</f>
        <v>1540</v>
      </c>
    </row>
    <row r="361" spans="1:16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 t="shared" si="5"/>
        <v>Hyderabad</v>
      </c>
      <c r="M361" t="str">
        <f>_xlfn.XLOOKUP(D361, Products!A:A, Products!C:C)</f>
        <v>Sports</v>
      </c>
      <c r="N361" t="str">
        <f>_xlfn.XLOOKUP(E361, Sales_Reps!A:A, Sales_Reps!C:C)</f>
        <v>East</v>
      </c>
      <c r="O361">
        <f>_xlfn.XLOOKUP(D361, Products!A:A, Products!D:D)</f>
        <v>2028</v>
      </c>
      <c r="P361">
        <f>_xlfn.XLOOKUP(D361, Products!A:A, Products!E:E)</f>
        <v>2860</v>
      </c>
    </row>
    <row r="362" spans="1:16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 t="shared" si="5"/>
        <v>Chennai</v>
      </c>
      <c r="M362" t="str">
        <f>_xlfn.XLOOKUP(D362, Products!A:A, Products!C:C)</f>
        <v>Grocery</v>
      </c>
      <c r="N362" t="str">
        <f>_xlfn.XLOOKUP(E362, Sales_Reps!A:A, Sales_Reps!C:C)</f>
        <v>South</v>
      </c>
      <c r="O362">
        <f>_xlfn.XLOOKUP(D362, Products!A:A, Products!D:D)</f>
        <v>1010</v>
      </c>
      <c r="P362">
        <f>_xlfn.XLOOKUP(D362, Products!A:A, Products!E:E)</f>
        <v>2210</v>
      </c>
    </row>
    <row r="363" spans="1:16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 t="shared" si="5"/>
        <v>Chennai</v>
      </c>
      <c r="M363" t="str">
        <f>_xlfn.XLOOKUP(D363, Products!A:A, Products!C:C)</f>
        <v>Electronics</v>
      </c>
      <c r="N363" t="str">
        <f>_xlfn.XLOOKUP(E363, Sales_Reps!A:A, Sales_Reps!C:C)</f>
        <v>West</v>
      </c>
      <c r="O363">
        <f>_xlfn.XLOOKUP(D363, Products!A:A, Products!D:D)</f>
        <v>517</v>
      </c>
      <c r="P363">
        <f>_xlfn.XLOOKUP(D363, Products!A:A, Products!E:E)</f>
        <v>1220</v>
      </c>
    </row>
    <row r="364" spans="1:16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 t="shared" si="5"/>
        <v>Bengaluru</v>
      </c>
      <c r="M364" t="str">
        <f>_xlfn.XLOOKUP(D364, Products!A:A, Products!C:C)</f>
        <v>Electronics</v>
      </c>
      <c r="N364" t="str">
        <f>_xlfn.XLOOKUP(E364, Sales_Reps!A:A, Sales_Reps!C:C)</f>
        <v>North</v>
      </c>
      <c r="O364">
        <f>_xlfn.XLOOKUP(D364, Products!A:A, Products!D:D)</f>
        <v>1665</v>
      </c>
      <c r="P364">
        <f>_xlfn.XLOOKUP(D364, Products!A:A, Products!E:E)</f>
        <v>3570</v>
      </c>
    </row>
    <row r="365" spans="1:16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 t="shared" si="5"/>
        <v>Bengaluru</v>
      </c>
      <c r="M365" t="str">
        <f>_xlfn.XLOOKUP(D365, Products!A:A, Products!C:C)</f>
        <v>Apparel</v>
      </c>
      <c r="N365" t="str">
        <f>_xlfn.XLOOKUP(E365, Sales_Reps!A:A, Sales_Reps!C:C)</f>
        <v>South</v>
      </c>
      <c r="O365">
        <f>_xlfn.XLOOKUP(D365, Products!A:A, Products!D:D)</f>
        <v>1748</v>
      </c>
      <c r="P365">
        <f>_xlfn.XLOOKUP(D365, Products!A:A, Products!E:E)</f>
        <v>3450</v>
      </c>
    </row>
    <row r="366" spans="1:16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 t="shared" si="5"/>
        <v>Pune</v>
      </c>
      <c r="M366" t="str">
        <f>_xlfn.XLOOKUP(D366, Products!A:A, Products!C:C)</f>
        <v>Grocery</v>
      </c>
      <c r="N366" t="str">
        <f>_xlfn.XLOOKUP(E366, Sales_Reps!A:A, Sales_Reps!C:C)</f>
        <v>East</v>
      </c>
      <c r="O366">
        <f>_xlfn.XLOOKUP(D366, Products!A:A, Products!D:D)</f>
        <v>1010</v>
      </c>
      <c r="P366">
        <f>_xlfn.XLOOKUP(D366, Products!A:A, Products!E:E)</f>
        <v>2210</v>
      </c>
    </row>
    <row r="367" spans="1:16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 t="shared" si="5"/>
        <v>Hyderabad</v>
      </c>
      <c r="M367" t="str">
        <f>_xlfn.XLOOKUP(D367, Products!A:A, Products!C:C)</f>
        <v>Home</v>
      </c>
      <c r="N367" t="str">
        <f>_xlfn.XLOOKUP(E367, Sales_Reps!A:A, Sales_Reps!C:C)</f>
        <v>South</v>
      </c>
      <c r="O367">
        <f>_xlfn.XLOOKUP(D367, Products!A:A, Products!D:D)</f>
        <v>464</v>
      </c>
      <c r="P367">
        <f>_xlfn.XLOOKUP(D367, Products!A:A, Products!E:E)</f>
        <v>1090</v>
      </c>
    </row>
    <row r="368" spans="1:16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 t="shared" si="5"/>
        <v>Chennai</v>
      </c>
      <c r="M368" t="str">
        <f>_xlfn.XLOOKUP(D368, Products!A:A, Products!C:C)</f>
        <v>Beauty</v>
      </c>
      <c r="N368" t="str">
        <f>_xlfn.XLOOKUP(E368, Sales_Reps!A:A, Sales_Reps!C:C)</f>
        <v>East</v>
      </c>
      <c r="O368">
        <f>_xlfn.XLOOKUP(D368, Products!A:A, Products!D:D)</f>
        <v>647</v>
      </c>
      <c r="P368">
        <f>_xlfn.XLOOKUP(D368, Products!A:A, Products!E:E)</f>
        <v>1540</v>
      </c>
    </row>
    <row r="369" spans="1:16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 t="shared" si="5"/>
        <v>Pune</v>
      </c>
      <c r="M369" t="str">
        <f>_xlfn.XLOOKUP(D369, Products!A:A, Products!C:C)</f>
        <v>Electronics</v>
      </c>
      <c r="N369" t="str">
        <f>_xlfn.XLOOKUP(E369, Sales_Reps!A:A, Sales_Reps!C:C)</f>
        <v>West</v>
      </c>
      <c r="O369">
        <f>_xlfn.XLOOKUP(D369, Products!A:A, Products!D:D)</f>
        <v>1052</v>
      </c>
      <c r="P369">
        <f>_xlfn.XLOOKUP(D369, Products!A:A, Products!E:E)</f>
        <v>2600</v>
      </c>
    </row>
    <row r="370" spans="1:16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 t="shared" si="5"/>
        <v>Chennai</v>
      </c>
      <c r="M370" t="str">
        <f>_xlfn.XLOOKUP(D370, Products!A:A, Products!C:C)</f>
        <v>Sports</v>
      </c>
      <c r="N370" t="str">
        <f>_xlfn.XLOOKUP(E370, Sales_Reps!A:A, Sales_Reps!C:C)</f>
        <v>North</v>
      </c>
      <c r="O370">
        <f>_xlfn.XLOOKUP(D370, Products!A:A, Products!D:D)</f>
        <v>147</v>
      </c>
      <c r="P370">
        <f>_xlfn.XLOOKUP(D370, Products!A:A, Products!E:E)</f>
        <v>190</v>
      </c>
    </row>
    <row r="371" spans="1:16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 t="shared" si="5"/>
        <v>Pune</v>
      </c>
      <c r="M371" t="str">
        <f>_xlfn.XLOOKUP(D371, Products!A:A, Products!C:C)</f>
        <v>Apparel</v>
      </c>
      <c r="N371" t="str">
        <f>_xlfn.XLOOKUP(E371, Sales_Reps!A:A, Sales_Reps!C:C)</f>
        <v>South</v>
      </c>
      <c r="O371">
        <f>_xlfn.XLOOKUP(D371, Products!A:A, Products!D:D)</f>
        <v>1173</v>
      </c>
      <c r="P371">
        <f>_xlfn.XLOOKUP(D371, Products!A:A, Products!E:E)</f>
        <v>2480</v>
      </c>
    </row>
    <row r="372" spans="1:16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 t="shared" si="5"/>
        <v>Pune</v>
      </c>
      <c r="M372" t="str">
        <f>_xlfn.XLOOKUP(D372, Products!A:A, Products!C:C)</f>
        <v>Beauty</v>
      </c>
      <c r="N372" t="str">
        <f>_xlfn.XLOOKUP(E372, Sales_Reps!A:A, Sales_Reps!C:C)</f>
        <v>North</v>
      </c>
      <c r="O372">
        <f>_xlfn.XLOOKUP(D372, Products!A:A, Products!D:D)</f>
        <v>1219</v>
      </c>
      <c r="P372">
        <f>_xlfn.XLOOKUP(D372, Products!A:A, Products!E:E)</f>
        <v>2290</v>
      </c>
    </row>
    <row r="373" spans="1:16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 t="shared" si="5"/>
        <v>Hyderabad</v>
      </c>
      <c r="M373" t="str">
        <f>_xlfn.XLOOKUP(D373, Products!A:A, Products!C:C)</f>
        <v>Beauty</v>
      </c>
      <c r="N373" t="str">
        <f>_xlfn.XLOOKUP(E373, Sales_Reps!A:A, Sales_Reps!C:C)</f>
        <v>South</v>
      </c>
      <c r="O373">
        <f>_xlfn.XLOOKUP(D373, Products!A:A, Products!D:D)</f>
        <v>647</v>
      </c>
      <c r="P373">
        <f>_xlfn.XLOOKUP(D373, Products!A:A, Products!E:E)</f>
        <v>1540</v>
      </c>
    </row>
    <row r="374" spans="1:16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 t="shared" si="5"/>
        <v>Delhi</v>
      </c>
      <c r="M374" t="str">
        <f>_xlfn.XLOOKUP(D374, Products!A:A, Products!C:C)</f>
        <v>Home</v>
      </c>
      <c r="N374" t="str">
        <f>_xlfn.XLOOKUP(E374, Sales_Reps!A:A, Sales_Reps!C:C)</f>
        <v>West</v>
      </c>
      <c r="O374">
        <f>_xlfn.XLOOKUP(D374, Products!A:A, Products!D:D)</f>
        <v>2459</v>
      </c>
      <c r="P374">
        <f>_xlfn.XLOOKUP(D374, Products!A:A, Products!E:E)</f>
        <v>5080</v>
      </c>
    </row>
    <row r="375" spans="1:16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 t="shared" si="5"/>
        <v>Pune</v>
      </c>
      <c r="M375" t="str">
        <f>_xlfn.XLOOKUP(D375, Products!A:A, Products!C:C)</f>
        <v>Apparel</v>
      </c>
      <c r="N375" t="str">
        <f>_xlfn.XLOOKUP(E375, Sales_Reps!A:A, Sales_Reps!C:C)</f>
        <v>South</v>
      </c>
      <c r="O375">
        <f>_xlfn.XLOOKUP(D375, Products!A:A, Products!D:D)</f>
        <v>1075</v>
      </c>
      <c r="P375">
        <f>_xlfn.XLOOKUP(D375, Products!A:A, Products!E:E)</f>
        <v>2510</v>
      </c>
    </row>
    <row r="376" spans="1:16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 t="shared" si="5"/>
        <v>Delhi</v>
      </c>
      <c r="M376" t="str">
        <f>_xlfn.XLOOKUP(D376, Products!A:A, Products!C:C)</f>
        <v>Beauty</v>
      </c>
      <c r="N376" t="str">
        <f>_xlfn.XLOOKUP(E376, Sales_Reps!A:A, Sales_Reps!C:C)</f>
        <v>South</v>
      </c>
      <c r="O376">
        <f>_xlfn.XLOOKUP(D376, Products!A:A, Products!D:D)</f>
        <v>1219</v>
      </c>
      <c r="P376">
        <f>_xlfn.XLOOKUP(D376, Products!A:A, Products!E:E)</f>
        <v>2290</v>
      </c>
    </row>
    <row r="377" spans="1:16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 t="shared" si="5"/>
        <v>Chennai</v>
      </c>
      <c r="M377" t="str">
        <f>_xlfn.XLOOKUP(D377, Products!A:A, Products!C:C)</f>
        <v>Sports</v>
      </c>
      <c r="N377" t="str">
        <f>_xlfn.XLOOKUP(E377, Sales_Reps!A:A, Sales_Reps!C:C)</f>
        <v>North</v>
      </c>
      <c r="O377">
        <f>_xlfn.XLOOKUP(D377, Products!A:A, Products!D:D)</f>
        <v>302</v>
      </c>
      <c r="P377">
        <f>_xlfn.XLOOKUP(D377, Products!A:A, Products!E:E)</f>
        <v>470</v>
      </c>
    </row>
    <row r="378" spans="1:16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 t="shared" si="5"/>
        <v>Hyderabad</v>
      </c>
      <c r="M378" t="str">
        <f>_xlfn.XLOOKUP(D378, Products!A:A, Products!C:C)</f>
        <v>Beauty</v>
      </c>
      <c r="N378" t="str">
        <f>_xlfn.XLOOKUP(E378, Sales_Reps!A:A, Sales_Reps!C:C)</f>
        <v>South</v>
      </c>
      <c r="O378">
        <f>_xlfn.XLOOKUP(D378, Products!A:A, Products!D:D)</f>
        <v>2237</v>
      </c>
      <c r="P378">
        <f>_xlfn.XLOOKUP(D378, Products!A:A, Products!E:E)</f>
        <v>5100</v>
      </c>
    </row>
    <row r="379" spans="1:16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 t="shared" si="5"/>
        <v>Chennai</v>
      </c>
      <c r="M379" t="str">
        <f>_xlfn.XLOOKUP(D379, Products!A:A, Products!C:C)</f>
        <v>Electronics</v>
      </c>
      <c r="N379" t="str">
        <f>_xlfn.XLOOKUP(E379, Sales_Reps!A:A, Sales_Reps!C:C)</f>
        <v>South</v>
      </c>
      <c r="O379">
        <f>_xlfn.XLOOKUP(D379, Products!A:A, Products!D:D)</f>
        <v>2405</v>
      </c>
      <c r="P379">
        <f>_xlfn.XLOOKUP(D379, Products!A:A, Products!E:E)</f>
        <v>5330</v>
      </c>
    </row>
    <row r="380" spans="1:16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 t="shared" si="5"/>
        <v>Bengaluru</v>
      </c>
      <c r="M380" t="str">
        <f>_xlfn.XLOOKUP(D380, Products!A:A, Products!C:C)</f>
        <v>Home</v>
      </c>
      <c r="N380" t="str">
        <f>_xlfn.XLOOKUP(E380, Sales_Reps!A:A, Sales_Reps!C:C)</f>
        <v>West</v>
      </c>
      <c r="O380">
        <f>_xlfn.XLOOKUP(D380, Products!A:A, Products!D:D)</f>
        <v>1143</v>
      </c>
      <c r="P380">
        <f>_xlfn.XLOOKUP(D380, Products!A:A, Products!E:E)</f>
        <v>2030</v>
      </c>
    </row>
    <row r="381" spans="1:16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 t="shared" si="5"/>
        <v>Delhi</v>
      </c>
      <c r="M381" t="str">
        <f>_xlfn.XLOOKUP(D381, Products!A:A, Products!C:C)</f>
        <v>Home</v>
      </c>
      <c r="N381" t="str">
        <f>_xlfn.XLOOKUP(E381, Sales_Reps!A:A, Sales_Reps!C:C)</f>
        <v>North</v>
      </c>
      <c r="O381">
        <f>_xlfn.XLOOKUP(D381, Products!A:A, Products!D:D)</f>
        <v>2459</v>
      </c>
      <c r="P381">
        <f>_xlfn.XLOOKUP(D381, Products!A:A, Products!E:E)</f>
        <v>5080</v>
      </c>
    </row>
    <row r="382" spans="1:16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 t="shared" si="5"/>
        <v>Hyderabad</v>
      </c>
      <c r="M382" t="str">
        <f>_xlfn.XLOOKUP(D382, Products!A:A, Products!C:C)</f>
        <v>Grocery</v>
      </c>
      <c r="N382" t="str">
        <f>_xlfn.XLOOKUP(E382, Sales_Reps!A:A, Sales_Reps!C:C)</f>
        <v>South</v>
      </c>
      <c r="O382">
        <f>_xlfn.XLOOKUP(D382, Products!A:A, Products!D:D)</f>
        <v>1182</v>
      </c>
      <c r="P382">
        <f>_xlfn.XLOOKUP(D382, Products!A:A, Products!E:E)</f>
        <v>2380</v>
      </c>
    </row>
    <row r="383" spans="1:16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 t="shared" si="5"/>
        <v>Chennai</v>
      </c>
      <c r="M383" t="str">
        <f>_xlfn.XLOOKUP(D383, Products!A:A, Products!C:C)</f>
        <v>Beauty</v>
      </c>
      <c r="N383" t="str">
        <f>_xlfn.XLOOKUP(E383, Sales_Reps!A:A, Sales_Reps!C:C)</f>
        <v>West</v>
      </c>
      <c r="O383">
        <f>_xlfn.XLOOKUP(D383, Products!A:A, Products!D:D)</f>
        <v>647</v>
      </c>
      <c r="P383">
        <f>_xlfn.XLOOKUP(D383, Products!A:A, Products!E:E)</f>
        <v>1540</v>
      </c>
    </row>
    <row r="384" spans="1:16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 t="shared" si="5"/>
        <v>Pune</v>
      </c>
      <c r="M384" t="str">
        <f>_xlfn.XLOOKUP(D384, Products!A:A, Products!C:C)</f>
        <v>Grocery</v>
      </c>
      <c r="N384" t="str">
        <f>_xlfn.XLOOKUP(E384, Sales_Reps!A:A, Sales_Reps!C:C)</f>
        <v>West</v>
      </c>
      <c r="O384">
        <f>_xlfn.XLOOKUP(D384, Products!A:A, Products!D:D)</f>
        <v>1203</v>
      </c>
      <c r="P384">
        <f>_xlfn.XLOOKUP(D384, Products!A:A, Products!E:E)</f>
        <v>2270</v>
      </c>
    </row>
    <row r="385" spans="1:16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 t="shared" si="5"/>
        <v>Pune</v>
      </c>
      <c r="M385" t="str">
        <f>_xlfn.XLOOKUP(D385, Products!A:A, Products!C:C)</f>
        <v>Apparel</v>
      </c>
      <c r="N385" t="str">
        <f>_xlfn.XLOOKUP(E385, Sales_Reps!A:A, Sales_Reps!C:C)</f>
        <v>West</v>
      </c>
      <c r="O385">
        <f>_xlfn.XLOOKUP(D385, Products!A:A, Products!D:D)</f>
        <v>1173</v>
      </c>
      <c r="P385">
        <f>_xlfn.XLOOKUP(D385, Products!A:A, Products!E:E)</f>
        <v>2480</v>
      </c>
    </row>
    <row r="386" spans="1:16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 t="shared" si="5"/>
        <v>Chennai</v>
      </c>
      <c r="M386" t="str">
        <f>_xlfn.XLOOKUP(D386, Products!A:A, Products!C:C)</f>
        <v>Apparel</v>
      </c>
      <c r="N386" t="str">
        <f>_xlfn.XLOOKUP(E386, Sales_Reps!A:A, Sales_Reps!C:C)</f>
        <v>East</v>
      </c>
      <c r="O386">
        <f>_xlfn.XLOOKUP(D386, Products!A:A, Products!D:D)</f>
        <v>2629</v>
      </c>
      <c r="P386">
        <f>_xlfn.XLOOKUP(D386, Products!A:A, Products!E:E)</f>
        <v>3560</v>
      </c>
    </row>
    <row r="387" spans="1:16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 t="shared" ref="L387:L450" si="6">PROPER(TRIM(K387))</f>
        <v>Hyderabad</v>
      </c>
      <c r="M387" t="str">
        <f>_xlfn.XLOOKUP(D387, Products!A:A, Products!C:C)</f>
        <v>Electronics</v>
      </c>
      <c r="N387" t="str">
        <f>_xlfn.XLOOKUP(E387, Sales_Reps!A:A, Sales_Reps!C:C)</f>
        <v>North</v>
      </c>
      <c r="O387">
        <f>_xlfn.XLOOKUP(D387, Products!A:A, Products!D:D)</f>
        <v>1259</v>
      </c>
      <c r="P387">
        <f>_xlfn.XLOOKUP(D387, Products!A:A, Products!E:E)</f>
        <v>2660</v>
      </c>
    </row>
    <row r="388" spans="1:16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 t="shared" si="6"/>
        <v>Pune</v>
      </c>
      <c r="M388" t="str">
        <f>_xlfn.XLOOKUP(D388, Products!A:A, Products!C:C)</f>
        <v>Electronics</v>
      </c>
      <c r="N388" t="str">
        <f>_xlfn.XLOOKUP(E388, Sales_Reps!A:A, Sales_Reps!C:C)</f>
        <v>South</v>
      </c>
      <c r="O388">
        <f>_xlfn.XLOOKUP(D388, Products!A:A, Products!D:D)</f>
        <v>517</v>
      </c>
      <c r="P388">
        <f>_xlfn.XLOOKUP(D388, Products!A:A, Products!E:E)</f>
        <v>1220</v>
      </c>
    </row>
    <row r="389" spans="1:16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 t="shared" si="6"/>
        <v>Pune</v>
      </c>
      <c r="M389" t="str">
        <f>_xlfn.XLOOKUP(D389, Products!A:A, Products!C:C)</f>
        <v>Electronics</v>
      </c>
      <c r="N389" t="str">
        <f>_xlfn.XLOOKUP(E389, Sales_Reps!A:A, Sales_Reps!C:C)</f>
        <v>South</v>
      </c>
      <c r="O389">
        <f>_xlfn.XLOOKUP(D389, Products!A:A, Products!D:D)</f>
        <v>1052</v>
      </c>
      <c r="P389">
        <f>_xlfn.XLOOKUP(D389, Products!A:A, Products!E:E)</f>
        <v>2600</v>
      </c>
    </row>
    <row r="390" spans="1:16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 t="shared" si="6"/>
        <v>Pune</v>
      </c>
      <c r="M390" t="str">
        <f>_xlfn.XLOOKUP(D390, Products!A:A, Products!C:C)</f>
        <v>Apparel</v>
      </c>
      <c r="N390" t="str">
        <f>_xlfn.XLOOKUP(E390, Sales_Reps!A:A, Sales_Reps!C:C)</f>
        <v>East</v>
      </c>
      <c r="O390">
        <f>_xlfn.XLOOKUP(D390, Products!A:A, Products!D:D)</f>
        <v>1748</v>
      </c>
      <c r="P390">
        <f>_xlfn.XLOOKUP(D390, Products!A:A, Products!E:E)</f>
        <v>3450</v>
      </c>
    </row>
    <row r="391" spans="1:16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 t="shared" si="6"/>
        <v>Hyderabad</v>
      </c>
      <c r="M391" t="str">
        <f>_xlfn.XLOOKUP(D391, Products!A:A, Products!C:C)</f>
        <v>Sports</v>
      </c>
      <c r="N391" t="str">
        <f>_xlfn.XLOOKUP(E391, Sales_Reps!A:A, Sales_Reps!C:C)</f>
        <v>East</v>
      </c>
      <c r="O391">
        <f>_xlfn.XLOOKUP(D391, Products!A:A, Products!D:D)</f>
        <v>2827</v>
      </c>
      <c r="P391">
        <f>_xlfn.XLOOKUP(D391, Products!A:A, Products!E:E)</f>
        <v>6940</v>
      </c>
    </row>
    <row r="392" spans="1:16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 t="shared" si="6"/>
        <v>Chennai</v>
      </c>
      <c r="M392" t="str">
        <f>_xlfn.XLOOKUP(D392, Products!A:A, Products!C:C)</f>
        <v>Beauty</v>
      </c>
      <c r="N392" t="str">
        <f>_xlfn.XLOOKUP(E392, Sales_Reps!A:A, Sales_Reps!C:C)</f>
        <v>North</v>
      </c>
      <c r="O392">
        <f>_xlfn.XLOOKUP(D392, Products!A:A, Products!D:D)</f>
        <v>1728</v>
      </c>
      <c r="P392">
        <f>_xlfn.XLOOKUP(D392, Products!A:A, Products!E:E)</f>
        <v>3350</v>
      </c>
    </row>
    <row r="393" spans="1:16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 t="shared" si="6"/>
        <v>Delhi</v>
      </c>
      <c r="M393" t="str">
        <f>_xlfn.XLOOKUP(D393, Products!A:A, Products!C:C)</f>
        <v>Beauty</v>
      </c>
      <c r="N393" t="str">
        <f>_xlfn.XLOOKUP(E393, Sales_Reps!A:A, Sales_Reps!C:C)</f>
        <v>West</v>
      </c>
      <c r="O393">
        <f>_xlfn.XLOOKUP(D393, Products!A:A, Products!D:D)</f>
        <v>647</v>
      </c>
      <c r="P393">
        <f>_xlfn.XLOOKUP(D393, Products!A:A, Products!E:E)</f>
        <v>1540</v>
      </c>
    </row>
    <row r="394" spans="1:16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 t="shared" si="6"/>
        <v>Pune</v>
      </c>
      <c r="M394" t="str">
        <f>_xlfn.XLOOKUP(D394, Products!A:A, Products!C:C)</f>
        <v>Apparel</v>
      </c>
      <c r="N394" t="str">
        <f>_xlfn.XLOOKUP(E394, Sales_Reps!A:A, Sales_Reps!C:C)</f>
        <v>West</v>
      </c>
      <c r="O394">
        <f>_xlfn.XLOOKUP(D394, Products!A:A, Products!D:D)</f>
        <v>2509</v>
      </c>
      <c r="P394">
        <f>_xlfn.XLOOKUP(D394, Products!A:A, Products!E:E)</f>
        <v>3620</v>
      </c>
    </row>
    <row r="395" spans="1:16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 t="shared" si="6"/>
        <v>Pune</v>
      </c>
      <c r="M395" t="str">
        <f>_xlfn.XLOOKUP(D395, Products!A:A, Products!C:C)</f>
        <v>Sports</v>
      </c>
      <c r="N395" t="str">
        <f>_xlfn.XLOOKUP(E395, Sales_Reps!A:A, Sales_Reps!C:C)</f>
        <v>West</v>
      </c>
      <c r="O395">
        <f>_xlfn.XLOOKUP(D395, Products!A:A, Products!D:D)</f>
        <v>302</v>
      </c>
      <c r="P395">
        <f>_xlfn.XLOOKUP(D395, Products!A:A, Products!E:E)</f>
        <v>470</v>
      </c>
    </row>
    <row r="396" spans="1:16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 t="shared" si="6"/>
        <v>Chennai</v>
      </c>
      <c r="M396" t="str">
        <f>_xlfn.XLOOKUP(D396, Products!A:A, Products!C:C)</f>
        <v>Grocery</v>
      </c>
      <c r="N396" t="str">
        <f>_xlfn.XLOOKUP(E396, Sales_Reps!A:A, Sales_Reps!C:C)</f>
        <v>South</v>
      </c>
      <c r="O396">
        <f>_xlfn.XLOOKUP(D396, Products!A:A, Products!D:D)</f>
        <v>2214</v>
      </c>
      <c r="P396">
        <f>_xlfn.XLOOKUP(D396, Products!A:A, Products!E:E)</f>
        <v>3660</v>
      </c>
    </row>
    <row r="397" spans="1:16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 t="shared" si="6"/>
        <v>Bengaluru</v>
      </c>
      <c r="M397" t="str">
        <f>_xlfn.XLOOKUP(D397, Products!A:A, Products!C:C)</f>
        <v>Sports</v>
      </c>
      <c r="N397" t="str">
        <f>_xlfn.XLOOKUP(E397, Sales_Reps!A:A, Sales_Reps!C:C)</f>
        <v>East</v>
      </c>
      <c r="O397">
        <f>_xlfn.XLOOKUP(D397, Products!A:A, Products!D:D)</f>
        <v>2827</v>
      </c>
      <c r="P397">
        <f>_xlfn.XLOOKUP(D397, Products!A:A, Products!E:E)</f>
        <v>6940</v>
      </c>
    </row>
    <row r="398" spans="1:16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 t="shared" si="6"/>
        <v>Pune</v>
      </c>
      <c r="M398" t="str">
        <f>_xlfn.XLOOKUP(D398, Products!A:A, Products!C:C)</f>
        <v>Beauty</v>
      </c>
      <c r="N398" t="str">
        <f>_xlfn.XLOOKUP(E398, Sales_Reps!A:A, Sales_Reps!C:C)</f>
        <v>North</v>
      </c>
      <c r="O398">
        <f>_xlfn.XLOOKUP(D398, Products!A:A, Products!D:D)</f>
        <v>1219</v>
      </c>
      <c r="P398">
        <f>_xlfn.XLOOKUP(D398, Products!A:A, Products!E:E)</f>
        <v>2290</v>
      </c>
    </row>
    <row r="399" spans="1:16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 t="shared" si="6"/>
        <v>Hyderabad</v>
      </c>
      <c r="M399" t="str">
        <f>_xlfn.XLOOKUP(D399, Products!A:A, Products!C:C)</f>
        <v>Apparel</v>
      </c>
      <c r="N399" t="str">
        <f>_xlfn.XLOOKUP(E399, Sales_Reps!A:A, Sales_Reps!C:C)</f>
        <v>West</v>
      </c>
      <c r="O399">
        <f>_xlfn.XLOOKUP(D399, Products!A:A, Products!D:D)</f>
        <v>1886</v>
      </c>
      <c r="P399">
        <f>_xlfn.XLOOKUP(D399, Products!A:A, Products!E:E)</f>
        <v>3160</v>
      </c>
    </row>
    <row r="400" spans="1:16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 t="shared" si="6"/>
        <v>Pune</v>
      </c>
      <c r="M400" t="str">
        <f>_xlfn.XLOOKUP(D400, Products!A:A, Products!C:C)</f>
        <v>Home</v>
      </c>
      <c r="N400" t="str">
        <f>_xlfn.XLOOKUP(E400, Sales_Reps!A:A, Sales_Reps!C:C)</f>
        <v>West</v>
      </c>
      <c r="O400">
        <f>_xlfn.XLOOKUP(D400, Products!A:A, Products!D:D)</f>
        <v>2459</v>
      </c>
      <c r="P400">
        <f>_xlfn.XLOOKUP(D400, Products!A:A, Products!E:E)</f>
        <v>5080</v>
      </c>
    </row>
    <row r="401" spans="1:16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 t="shared" si="6"/>
        <v>Hyderabad</v>
      </c>
      <c r="M401" t="str">
        <f>_xlfn.XLOOKUP(D401, Products!A:A, Products!C:C)</f>
        <v>Grocery</v>
      </c>
      <c r="N401" t="str">
        <f>_xlfn.XLOOKUP(E401, Sales_Reps!A:A, Sales_Reps!C:C)</f>
        <v>South</v>
      </c>
      <c r="O401">
        <f>_xlfn.XLOOKUP(D401, Products!A:A, Products!D:D)</f>
        <v>1435</v>
      </c>
      <c r="P401">
        <f>_xlfn.XLOOKUP(D401, Products!A:A, Products!E:E)</f>
        <v>2760</v>
      </c>
    </row>
    <row r="402" spans="1:16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 t="shared" si="6"/>
        <v>Mumbai</v>
      </c>
      <c r="M402" t="str">
        <f>_xlfn.XLOOKUP(D402, Products!A:A, Products!C:C)</f>
        <v>Electronics</v>
      </c>
      <c r="N402" t="str">
        <f>_xlfn.XLOOKUP(E402, Sales_Reps!A:A, Sales_Reps!C:C)</f>
        <v>South</v>
      </c>
      <c r="O402">
        <f>_xlfn.XLOOKUP(D402, Products!A:A, Products!D:D)</f>
        <v>517</v>
      </c>
      <c r="P402">
        <f>_xlfn.XLOOKUP(D402, Products!A:A, Products!E:E)</f>
        <v>1220</v>
      </c>
    </row>
    <row r="403" spans="1:16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 t="shared" si="6"/>
        <v>Chennai</v>
      </c>
      <c r="M403" t="str">
        <f>_xlfn.XLOOKUP(D403, Products!A:A, Products!C:C)</f>
        <v>Beauty</v>
      </c>
      <c r="N403" t="str">
        <f>_xlfn.XLOOKUP(E403, Sales_Reps!A:A, Sales_Reps!C:C)</f>
        <v>West</v>
      </c>
      <c r="O403">
        <f>_xlfn.XLOOKUP(D403, Products!A:A, Products!D:D)</f>
        <v>2768</v>
      </c>
      <c r="P403">
        <f>_xlfn.XLOOKUP(D403, Products!A:A, Products!E:E)</f>
        <v>4880</v>
      </c>
    </row>
    <row r="404" spans="1:16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 t="shared" si="6"/>
        <v>Bengaluru</v>
      </c>
      <c r="M404" t="str">
        <f>_xlfn.XLOOKUP(D404, Products!A:A, Products!C:C)</f>
        <v>Grocery</v>
      </c>
      <c r="N404" t="str">
        <f>_xlfn.XLOOKUP(E404, Sales_Reps!A:A, Sales_Reps!C:C)</f>
        <v>East</v>
      </c>
      <c r="O404">
        <f>_xlfn.XLOOKUP(D404, Products!A:A, Products!D:D)</f>
        <v>2027</v>
      </c>
      <c r="P404">
        <f>_xlfn.XLOOKUP(D404, Products!A:A, Products!E:E)</f>
        <v>4070</v>
      </c>
    </row>
    <row r="405" spans="1:16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 t="shared" si="6"/>
        <v>Hyderabad</v>
      </c>
      <c r="M405" t="str">
        <f>_xlfn.XLOOKUP(D405, Products!A:A, Products!C:C)</f>
        <v>Electronics</v>
      </c>
      <c r="N405" t="str">
        <f>_xlfn.XLOOKUP(E405, Sales_Reps!A:A, Sales_Reps!C:C)</f>
        <v>West</v>
      </c>
      <c r="O405">
        <f>_xlfn.XLOOKUP(D405, Products!A:A, Products!D:D)</f>
        <v>2865</v>
      </c>
      <c r="P405">
        <f>_xlfn.XLOOKUP(D405, Products!A:A, Products!E:E)</f>
        <v>3970</v>
      </c>
    </row>
    <row r="406" spans="1:16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 t="shared" si="6"/>
        <v>Delhi</v>
      </c>
      <c r="M406" t="str">
        <f>_xlfn.XLOOKUP(D406, Products!A:A, Products!C:C)</f>
        <v>Electronics</v>
      </c>
      <c r="N406" t="str">
        <f>_xlfn.XLOOKUP(E406, Sales_Reps!A:A, Sales_Reps!C:C)</f>
        <v>East</v>
      </c>
      <c r="O406">
        <f>_xlfn.XLOOKUP(D406, Products!A:A, Products!D:D)</f>
        <v>1259</v>
      </c>
      <c r="P406">
        <f>_xlfn.XLOOKUP(D406, Products!A:A, Products!E:E)</f>
        <v>2660</v>
      </c>
    </row>
    <row r="407" spans="1:16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 t="shared" si="6"/>
        <v>Pune</v>
      </c>
      <c r="M407" t="str">
        <f>_xlfn.XLOOKUP(D407, Products!A:A, Products!C:C)</f>
        <v>Sports</v>
      </c>
      <c r="N407" t="str">
        <f>_xlfn.XLOOKUP(E407, Sales_Reps!A:A, Sales_Reps!C:C)</f>
        <v>East</v>
      </c>
      <c r="O407">
        <f>_xlfn.XLOOKUP(D407, Products!A:A, Products!D:D)</f>
        <v>2028</v>
      </c>
      <c r="P407">
        <f>_xlfn.XLOOKUP(D407, Products!A:A, Products!E:E)</f>
        <v>2860</v>
      </c>
    </row>
    <row r="408" spans="1:16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 t="shared" si="6"/>
        <v>Delhi</v>
      </c>
      <c r="M408" t="str">
        <f>_xlfn.XLOOKUP(D408, Products!A:A, Products!C:C)</f>
        <v>Electronics</v>
      </c>
      <c r="N408" t="str">
        <f>_xlfn.XLOOKUP(E408, Sales_Reps!A:A, Sales_Reps!C:C)</f>
        <v>North</v>
      </c>
      <c r="O408">
        <f>_xlfn.XLOOKUP(D408, Products!A:A, Products!D:D)</f>
        <v>517</v>
      </c>
      <c r="P408">
        <f>_xlfn.XLOOKUP(D408, Products!A:A, Products!E:E)</f>
        <v>1220</v>
      </c>
    </row>
    <row r="409" spans="1:16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 t="shared" si="6"/>
        <v>Delhi</v>
      </c>
      <c r="M409" t="str">
        <f>_xlfn.XLOOKUP(D409, Products!A:A, Products!C:C)</f>
        <v>Grocery</v>
      </c>
      <c r="N409" t="str">
        <f>_xlfn.XLOOKUP(E409, Sales_Reps!A:A, Sales_Reps!C:C)</f>
        <v>West</v>
      </c>
      <c r="O409">
        <f>_xlfn.XLOOKUP(D409, Products!A:A, Products!D:D)</f>
        <v>1412</v>
      </c>
      <c r="P409">
        <f>_xlfn.XLOOKUP(D409, Products!A:A, Products!E:E)</f>
        <v>2270</v>
      </c>
    </row>
    <row r="410" spans="1:16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 t="shared" si="6"/>
        <v>Mumbai</v>
      </c>
      <c r="M410" t="str">
        <f>_xlfn.XLOOKUP(D410, Products!A:A, Products!C:C)</f>
        <v>Home</v>
      </c>
      <c r="N410" t="str">
        <f>_xlfn.XLOOKUP(E410, Sales_Reps!A:A, Sales_Reps!C:C)</f>
        <v>North</v>
      </c>
      <c r="O410">
        <f>_xlfn.XLOOKUP(D410, Products!A:A, Products!D:D)</f>
        <v>329</v>
      </c>
      <c r="P410">
        <f>_xlfn.XLOOKUP(D410, Products!A:A, Products!E:E)</f>
        <v>660</v>
      </c>
    </row>
    <row r="411" spans="1:16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 t="shared" si="6"/>
        <v>Chennai</v>
      </c>
      <c r="M411" t="str">
        <f>_xlfn.XLOOKUP(D411, Products!A:A, Products!C:C)</f>
        <v>Apparel</v>
      </c>
      <c r="N411" t="str">
        <f>_xlfn.XLOOKUP(E411, Sales_Reps!A:A, Sales_Reps!C:C)</f>
        <v>South</v>
      </c>
      <c r="O411">
        <f>_xlfn.XLOOKUP(D411, Products!A:A, Products!D:D)</f>
        <v>1886</v>
      </c>
      <c r="P411">
        <f>_xlfn.XLOOKUP(D411, Products!A:A, Products!E:E)</f>
        <v>3160</v>
      </c>
    </row>
    <row r="412" spans="1:16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 t="shared" si="6"/>
        <v>Chennai</v>
      </c>
      <c r="M412" t="str">
        <f>_xlfn.XLOOKUP(D412, Products!A:A, Products!C:C)</f>
        <v>Electronics</v>
      </c>
      <c r="N412" t="str">
        <f>_xlfn.XLOOKUP(E412, Sales_Reps!A:A, Sales_Reps!C:C)</f>
        <v>South</v>
      </c>
      <c r="O412">
        <f>_xlfn.XLOOKUP(D412, Products!A:A, Products!D:D)</f>
        <v>1052</v>
      </c>
      <c r="P412">
        <f>_xlfn.XLOOKUP(D412, Products!A:A, Products!E:E)</f>
        <v>2600</v>
      </c>
    </row>
    <row r="413" spans="1:16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 t="shared" si="6"/>
        <v>Chennai</v>
      </c>
      <c r="M413" t="str">
        <f>_xlfn.XLOOKUP(D413, Products!A:A, Products!C:C)</f>
        <v>Home</v>
      </c>
      <c r="N413" t="str">
        <f>_xlfn.XLOOKUP(E413, Sales_Reps!A:A, Sales_Reps!C:C)</f>
        <v>South</v>
      </c>
      <c r="O413">
        <f>_xlfn.XLOOKUP(D413, Products!A:A, Products!D:D)</f>
        <v>1850</v>
      </c>
      <c r="P413">
        <f>_xlfn.XLOOKUP(D413, Products!A:A, Products!E:E)</f>
        <v>4610</v>
      </c>
    </row>
    <row r="414" spans="1:16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 t="shared" si="6"/>
        <v>Pune</v>
      </c>
      <c r="M414" t="str">
        <f>_xlfn.XLOOKUP(D414, Products!A:A, Products!C:C)</f>
        <v>Apparel</v>
      </c>
      <c r="N414" t="str">
        <f>_xlfn.XLOOKUP(E414, Sales_Reps!A:A, Sales_Reps!C:C)</f>
        <v>East</v>
      </c>
      <c r="O414">
        <f>_xlfn.XLOOKUP(D414, Products!A:A, Products!D:D)</f>
        <v>2611</v>
      </c>
      <c r="P414">
        <f>_xlfn.XLOOKUP(D414, Products!A:A, Products!E:E)</f>
        <v>3640</v>
      </c>
    </row>
    <row r="415" spans="1:16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 t="shared" si="6"/>
        <v>Delhi</v>
      </c>
      <c r="M415" t="str">
        <f>_xlfn.XLOOKUP(D415, Products!A:A, Products!C:C)</f>
        <v>Apparel</v>
      </c>
      <c r="N415" t="str">
        <f>_xlfn.XLOOKUP(E415, Sales_Reps!A:A, Sales_Reps!C:C)</f>
        <v>North</v>
      </c>
      <c r="O415">
        <f>_xlfn.XLOOKUP(D415, Products!A:A, Products!D:D)</f>
        <v>1962</v>
      </c>
      <c r="P415">
        <f>_xlfn.XLOOKUP(D415, Products!A:A, Products!E:E)</f>
        <v>2720</v>
      </c>
    </row>
    <row r="416" spans="1:16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 t="shared" si="6"/>
        <v>Delhi</v>
      </c>
      <c r="M416" t="str">
        <f>_xlfn.XLOOKUP(D416, Products!A:A, Products!C:C)</f>
        <v>Sports</v>
      </c>
      <c r="N416" t="str">
        <f>_xlfn.XLOOKUP(E416, Sales_Reps!A:A, Sales_Reps!C:C)</f>
        <v>North</v>
      </c>
      <c r="O416">
        <f>_xlfn.XLOOKUP(D416, Products!A:A, Products!D:D)</f>
        <v>1860</v>
      </c>
      <c r="P416">
        <f>_xlfn.XLOOKUP(D416, Products!A:A, Products!E:E)</f>
        <v>3780</v>
      </c>
    </row>
    <row r="417" spans="1:16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 t="shared" si="6"/>
        <v>Hyderabad</v>
      </c>
      <c r="M417" t="str">
        <f>_xlfn.XLOOKUP(D417, Products!A:A, Products!C:C)</f>
        <v>Home</v>
      </c>
      <c r="N417" t="str">
        <f>_xlfn.XLOOKUP(E417, Sales_Reps!A:A, Sales_Reps!C:C)</f>
        <v>West</v>
      </c>
      <c r="O417">
        <f>_xlfn.XLOOKUP(D417, Products!A:A, Products!D:D)</f>
        <v>464</v>
      </c>
      <c r="P417">
        <f>_xlfn.XLOOKUP(D417, Products!A:A, Products!E:E)</f>
        <v>1090</v>
      </c>
    </row>
    <row r="418" spans="1:16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 t="shared" si="6"/>
        <v>Chennai</v>
      </c>
      <c r="M418" t="str">
        <f>_xlfn.XLOOKUP(D418, Products!A:A, Products!C:C)</f>
        <v>Home</v>
      </c>
      <c r="N418" t="str">
        <f>_xlfn.XLOOKUP(E418, Sales_Reps!A:A, Sales_Reps!C:C)</f>
        <v>West</v>
      </c>
      <c r="O418">
        <f>_xlfn.XLOOKUP(D418, Products!A:A, Products!D:D)</f>
        <v>464</v>
      </c>
      <c r="P418">
        <f>_xlfn.XLOOKUP(D418, Products!A:A, Products!E:E)</f>
        <v>1090</v>
      </c>
    </row>
    <row r="419" spans="1:16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 t="shared" si="6"/>
        <v>Mumbai</v>
      </c>
      <c r="M419" t="str">
        <f>_xlfn.XLOOKUP(D419, Products!A:A, Products!C:C)</f>
        <v>Apparel</v>
      </c>
      <c r="N419" t="str">
        <f>_xlfn.XLOOKUP(E419, Sales_Reps!A:A, Sales_Reps!C:C)</f>
        <v>West</v>
      </c>
      <c r="O419">
        <f>_xlfn.XLOOKUP(D419, Products!A:A, Products!D:D)</f>
        <v>1075</v>
      </c>
      <c r="P419">
        <f>_xlfn.XLOOKUP(D419, Products!A:A, Products!E:E)</f>
        <v>2510</v>
      </c>
    </row>
    <row r="420" spans="1:16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 t="shared" si="6"/>
        <v>Pune</v>
      </c>
      <c r="M420" t="str">
        <f>_xlfn.XLOOKUP(D420, Products!A:A, Products!C:C)</f>
        <v>Electronics</v>
      </c>
      <c r="N420" t="str">
        <f>_xlfn.XLOOKUP(E420, Sales_Reps!A:A, Sales_Reps!C:C)</f>
        <v>South</v>
      </c>
      <c r="O420">
        <f>_xlfn.XLOOKUP(D420, Products!A:A, Products!D:D)</f>
        <v>2865</v>
      </c>
      <c r="P420">
        <f>_xlfn.XLOOKUP(D420, Products!A:A, Products!E:E)</f>
        <v>3970</v>
      </c>
    </row>
    <row r="421" spans="1:16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 t="shared" si="6"/>
        <v>Mumbai</v>
      </c>
      <c r="M421" t="str">
        <f>_xlfn.XLOOKUP(D421, Products!A:A, Products!C:C)</f>
        <v>Grocery</v>
      </c>
      <c r="N421" t="str">
        <f>_xlfn.XLOOKUP(E421, Sales_Reps!A:A, Sales_Reps!C:C)</f>
        <v>North</v>
      </c>
      <c r="O421">
        <f>_xlfn.XLOOKUP(D421, Products!A:A, Products!D:D)</f>
        <v>2027</v>
      </c>
      <c r="P421">
        <f>_xlfn.XLOOKUP(D421, Products!A:A, Products!E:E)</f>
        <v>4070</v>
      </c>
    </row>
    <row r="422" spans="1:16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 t="shared" si="6"/>
        <v>Chennai</v>
      </c>
      <c r="M422" t="str">
        <f>_xlfn.XLOOKUP(D422, Products!A:A, Products!C:C)</f>
        <v>Home</v>
      </c>
      <c r="N422" t="str">
        <f>_xlfn.XLOOKUP(E422, Sales_Reps!A:A, Sales_Reps!C:C)</f>
        <v>North</v>
      </c>
      <c r="O422">
        <f>_xlfn.XLOOKUP(D422, Products!A:A, Products!D:D)</f>
        <v>2549</v>
      </c>
      <c r="P422">
        <f>_xlfn.XLOOKUP(D422, Products!A:A, Products!E:E)</f>
        <v>5490</v>
      </c>
    </row>
    <row r="423" spans="1:16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 t="shared" si="6"/>
        <v>Bengaluru</v>
      </c>
      <c r="M423" t="str">
        <f>_xlfn.XLOOKUP(D423, Products!A:A, Products!C:C)</f>
        <v>Sports</v>
      </c>
      <c r="N423" t="str">
        <f>_xlfn.XLOOKUP(E423, Sales_Reps!A:A, Sales_Reps!C:C)</f>
        <v>East</v>
      </c>
      <c r="O423">
        <f>_xlfn.XLOOKUP(D423, Products!A:A, Products!D:D)</f>
        <v>516</v>
      </c>
      <c r="P423">
        <f>_xlfn.XLOOKUP(D423, Products!A:A, Products!E:E)</f>
        <v>1010</v>
      </c>
    </row>
    <row r="424" spans="1:16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 t="shared" si="6"/>
        <v>Bengaluru</v>
      </c>
      <c r="M424" t="str">
        <f>_xlfn.XLOOKUP(D424, Products!A:A, Products!C:C)</f>
        <v>Grocery</v>
      </c>
      <c r="N424" t="str">
        <f>_xlfn.XLOOKUP(E424, Sales_Reps!A:A, Sales_Reps!C:C)</f>
        <v>North</v>
      </c>
      <c r="O424">
        <f>_xlfn.XLOOKUP(D424, Products!A:A, Products!D:D)</f>
        <v>2214</v>
      </c>
      <c r="P424">
        <f>_xlfn.XLOOKUP(D424, Products!A:A, Products!E:E)</f>
        <v>3660</v>
      </c>
    </row>
    <row r="425" spans="1:16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 t="shared" si="6"/>
        <v>Pune</v>
      </c>
      <c r="M425" t="str">
        <f>_xlfn.XLOOKUP(D425, Products!A:A, Products!C:C)</f>
        <v>Beauty</v>
      </c>
      <c r="N425" t="str">
        <f>_xlfn.XLOOKUP(E425, Sales_Reps!A:A, Sales_Reps!C:C)</f>
        <v>South</v>
      </c>
      <c r="O425">
        <f>_xlfn.XLOOKUP(D425, Products!A:A, Products!D:D)</f>
        <v>2420</v>
      </c>
      <c r="P425">
        <f>_xlfn.XLOOKUP(D425, Products!A:A, Products!E:E)</f>
        <v>3450</v>
      </c>
    </row>
    <row r="426" spans="1:16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 t="shared" si="6"/>
        <v>Chennai</v>
      </c>
      <c r="M426" t="str">
        <f>_xlfn.XLOOKUP(D426, Products!A:A, Products!C:C)</f>
        <v>Grocery</v>
      </c>
      <c r="N426" t="str">
        <f>_xlfn.XLOOKUP(E426, Sales_Reps!A:A, Sales_Reps!C:C)</f>
        <v>South</v>
      </c>
      <c r="O426">
        <f>_xlfn.XLOOKUP(D426, Products!A:A, Products!D:D)</f>
        <v>2027</v>
      </c>
      <c r="P426">
        <f>_xlfn.XLOOKUP(D426, Products!A:A, Products!E:E)</f>
        <v>4070</v>
      </c>
    </row>
    <row r="427" spans="1:16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 t="shared" si="6"/>
        <v>Bengaluru</v>
      </c>
      <c r="M427" t="str">
        <f>_xlfn.XLOOKUP(D427, Products!A:A, Products!C:C)</f>
        <v>Electronics</v>
      </c>
      <c r="N427" t="str">
        <f>_xlfn.XLOOKUP(E427, Sales_Reps!A:A, Sales_Reps!C:C)</f>
        <v>West</v>
      </c>
      <c r="O427">
        <f>_xlfn.XLOOKUP(D427, Products!A:A, Products!D:D)</f>
        <v>1665</v>
      </c>
      <c r="P427">
        <f>_xlfn.XLOOKUP(D427, Products!A:A, Products!E:E)</f>
        <v>3570</v>
      </c>
    </row>
    <row r="428" spans="1:16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 t="shared" si="6"/>
        <v>Bengaluru</v>
      </c>
      <c r="M428" t="str">
        <f>_xlfn.XLOOKUP(D428, Products!A:A, Products!C:C)</f>
        <v>Sports</v>
      </c>
      <c r="N428" t="str">
        <f>_xlfn.XLOOKUP(E428, Sales_Reps!A:A, Sales_Reps!C:C)</f>
        <v>North</v>
      </c>
      <c r="O428">
        <f>_xlfn.XLOOKUP(D428, Products!A:A, Products!D:D)</f>
        <v>2827</v>
      </c>
      <c r="P428">
        <f>_xlfn.XLOOKUP(D428, Products!A:A, Products!E:E)</f>
        <v>6940</v>
      </c>
    </row>
    <row r="429" spans="1:16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 t="shared" si="6"/>
        <v>Pune</v>
      </c>
      <c r="M429" t="str">
        <f>_xlfn.XLOOKUP(D429, Products!A:A, Products!C:C)</f>
        <v>Beauty</v>
      </c>
      <c r="N429" t="str">
        <f>_xlfn.XLOOKUP(E429, Sales_Reps!A:A, Sales_Reps!C:C)</f>
        <v>South</v>
      </c>
      <c r="O429">
        <f>_xlfn.XLOOKUP(D429, Products!A:A, Products!D:D)</f>
        <v>1222</v>
      </c>
      <c r="P429">
        <f>_xlfn.XLOOKUP(D429, Products!A:A, Products!E:E)</f>
        <v>1650</v>
      </c>
    </row>
    <row r="430" spans="1:16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 t="shared" si="6"/>
        <v>Bengaluru</v>
      </c>
      <c r="M430" t="str">
        <f>_xlfn.XLOOKUP(D430, Products!A:A, Products!C:C)</f>
        <v>Electronics</v>
      </c>
      <c r="N430" t="str">
        <f>_xlfn.XLOOKUP(E430, Sales_Reps!A:A, Sales_Reps!C:C)</f>
        <v>South</v>
      </c>
      <c r="O430">
        <f>_xlfn.XLOOKUP(D430, Products!A:A, Products!D:D)</f>
        <v>861</v>
      </c>
      <c r="P430">
        <f>_xlfn.XLOOKUP(D430, Products!A:A, Products!E:E)</f>
        <v>1430</v>
      </c>
    </row>
    <row r="431" spans="1:16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 t="shared" si="6"/>
        <v>Pune</v>
      </c>
      <c r="M431" t="str">
        <f>_xlfn.XLOOKUP(D431, Products!A:A, Products!C:C)</f>
        <v>Grocery</v>
      </c>
      <c r="N431" t="str">
        <f>_xlfn.XLOOKUP(E431, Sales_Reps!A:A, Sales_Reps!C:C)</f>
        <v>South</v>
      </c>
      <c r="O431">
        <f>_xlfn.XLOOKUP(D431, Products!A:A, Products!D:D)</f>
        <v>2911</v>
      </c>
      <c r="P431">
        <f>_xlfn.XLOOKUP(D431, Products!A:A, Products!E:E)</f>
        <v>4060</v>
      </c>
    </row>
    <row r="432" spans="1:16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 t="shared" si="6"/>
        <v>Mumbai</v>
      </c>
      <c r="M432" t="str">
        <f>_xlfn.XLOOKUP(D432, Products!A:A, Products!C:C)</f>
        <v>Home</v>
      </c>
      <c r="N432" t="str">
        <f>_xlfn.XLOOKUP(E432, Sales_Reps!A:A, Sales_Reps!C:C)</f>
        <v>North</v>
      </c>
      <c r="O432">
        <f>_xlfn.XLOOKUP(D432, Products!A:A, Products!D:D)</f>
        <v>288</v>
      </c>
      <c r="P432">
        <f>_xlfn.XLOOKUP(D432, Products!A:A, Products!E:E)</f>
        <v>370</v>
      </c>
    </row>
    <row r="433" spans="1:16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 t="shared" si="6"/>
        <v>Pune</v>
      </c>
      <c r="M433" t="str">
        <f>_xlfn.XLOOKUP(D433, Products!A:A, Products!C:C)</f>
        <v>Beauty</v>
      </c>
      <c r="N433" t="str">
        <f>_xlfn.XLOOKUP(E433, Sales_Reps!A:A, Sales_Reps!C:C)</f>
        <v>South</v>
      </c>
      <c r="O433">
        <f>_xlfn.XLOOKUP(D433, Products!A:A, Products!D:D)</f>
        <v>647</v>
      </c>
      <c r="P433">
        <f>_xlfn.XLOOKUP(D433, Products!A:A, Products!E:E)</f>
        <v>1540</v>
      </c>
    </row>
    <row r="434" spans="1:16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 t="shared" si="6"/>
        <v>Pune</v>
      </c>
      <c r="M434" t="str">
        <f>_xlfn.XLOOKUP(D434, Products!A:A, Products!C:C)</f>
        <v>Electronics</v>
      </c>
      <c r="N434" t="str">
        <f>_xlfn.XLOOKUP(E434, Sales_Reps!A:A, Sales_Reps!C:C)</f>
        <v>West</v>
      </c>
      <c r="O434">
        <f>_xlfn.XLOOKUP(D434, Products!A:A, Products!D:D)</f>
        <v>1052</v>
      </c>
      <c r="P434">
        <f>_xlfn.XLOOKUP(D434, Products!A:A, Products!E:E)</f>
        <v>2600</v>
      </c>
    </row>
    <row r="435" spans="1:16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 t="shared" si="6"/>
        <v>Chennai</v>
      </c>
      <c r="M435" t="str">
        <f>_xlfn.XLOOKUP(D435, Products!A:A, Products!C:C)</f>
        <v>Apparel</v>
      </c>
      <c r="N435" t="str">
        <f>_xlfn.XLOOKUP(E435, Sales_Reps!A:A, Sales_Reps!C:C)</f>
        <v>South</v>
      </c>
      <c r="O435">
        <f>_xlfn.XLOOKUP(D435, Products!A:A, Products!D:D)</f>
        <v>1075</v>
      </c>
      <c r="P435">
        <f>_xlfn.XLOOKUP(D435, Products!A:A, Products!E:E)</f>
        <v>2510</v>
      </c>
    </row>
    <row r="436" spans="1:16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 t="shared" si="6"/>
        <v>Pune</v>
      </c>
      <c r="M436" t="str">
        <f>_xlfn.XLOOKUP(D436, Products!A:A, Products!C:C)</f>
        <v>Electronics</v>
      </c>
      <c r="N436" t="str">
        <f>_xlfn.XLOOKUP(E436, Sales_Reps!A:A, Sales_Reps!C:C)</f>
        <v>North</v>
      </c>
      <c r="O436">
        <f>_xlfn.XLOOKUP(D436, Products!A:A, Products!D:D)</f>
        <v>2405</v>
      </c>
      <c r="P436">
        <f>_xlfn.XLOOKUP(D436, Products!A:A, Products!E:E)</f>
        <v>5330</v>
      </c>
    </row>
    <row r="437" spans="1:16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 t="shared" si="6"/>
        <v>Bengaluru</v>
      </c>
      <c r="M437" t="str">
        <f>_xlfn.XLOOKUP(D437, Products!A:A, Products!C:C)</f>
        <v>Home</v>
      </c>
      <c r="N437" t="str">
        <f>_xlfn.XLOOKUP(E437, Sales_Reps!A:A, Sales_Reps!C:C)</f>
        <v>South</v>
      </c>
      <c r="O437">
        <f>_xlfn.XLOOKUP(D437, Products!A:A, Products!D:D)</f>
        <v>2459</v>
      </c>
      <c r="P437">
        <f>_xlfn.XLOOKUP(D437, Products!A:A, Products!E:E)</f>
        <v>5080</v>
      </c>
    </row>
    <row r="438" spans="1:16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 t="shared" si="6"/>
        <v>Bengaluru</v>
      </c>
      <c r="M438" t="str">
        <f>_xlfn.XLOOKUP(D438, Products!A:A, Products!C:C)</f>
        <v>Grocery</v>
      </c>
      <c r="N438" t="str">
        <f>_xlfn.XLOOKUP(E438, Sales_Reps!A:A, Sales_Reps!C:C)</f>
        <v>West</v>
      </c>
      <c r="O438">
        <f>_xlfn.XLOOKUP(D438, Products!A:A, Products!D:D)</f>
        <v>2027</v>
      </c>
      <c r="P438">
        <f>_xlfn.XLOOKUP(D438, Products!A:A, Products!E:E)</f>
        <v>4070</v>
      </c>
    </row>
    <row r="439" spans="1:16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 t="shared" si="6"/>
        <v>Hyderabad</v>
      </c>
      <c r="M439" t="str">
        <f>_xlfn.XLOOKUP(D439, Products!A:A, Products!C:C)</f>
        <v>Apparel</v>
      </c>
      <c r="N439" t="str">
        <f>_xlfn.XLOOKUP(E439, Sales_Reps!A:A, Sales_Reps!C:C)</f>
        <v>South</v>
      </c>
      <c r="O439">
        <f>_xlfn.XLOOKUP(D439, Products!A:A, Products!D:D)</f>
        <v>396</v>
      </c>
      <c r="P439">
        <f>_xlfn.XLOOKUP(D439, Products!A:A, Products!E:E)</f>
        <v>620</v>
      </c>
    </row>
    <row r="440" spans="1:16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 t="shared" si="6"/>
        <v>Pune</v>
      </c>
      <c r="M440" t="str">
        <f>_xlfn.XLOOKUP(D440, Products!A:A, Products!C:C)</f>
        <v>Electronics</v>
      </c>
      <c r="N440" t="str">
        <f>_xlfn.XLOOKUP(E440, Sales_Reps!A:A, Sales_Reps!C:C)</f>
        <v>East</v>
      </c>
      <c r="O440">
        <f>_xlfn.XLOOKUP(D440, Products!A:A, Products!D:D)</f>
        <v>1149</v>
      </c>
      <c r="P440">
        <f>_xlfn.XLOOKUP(D440, Products!A:A, Products!E:E)</f>
        <v>2640</v>
      </c>
    </row>
    <row r="441" spans="1:16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 t="shared" si="6"/>
        <v>Bengaluru</v>
      </c>
      <c r="M441" t="str">
        <f>_xlfn.XLOOKUP(D441, Products!A:A, Products!C:C)</f>
        <v>Grocery</v>
      </c>
      <c r="N441" t="str">
        <f>_xlfn.XLOOKUP(E441, Sales_Reps!A:A, Sales_Reps!C:C)</f>
        <v>West</v>
      </c>
      <c r="O441">
        <f>_xlfn.XLOOKUP(D441, Products!A:A, Products!D:D)</f>
        <v>2027</v>
      </c>
      <c r="P441">
        <f>_xlfn.XLOOKUP(D441, Products!A:A, Products!E:E)</f>
        <v>4070</v>
      </c>
    </row>
    <row r="442" spans="1:16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 t="shared" si="6"/>
        <v>Chennai</v>
      </c>
      <c r="M442" t="str">
        <f>_xlfn.XLOOKUP(D442, Products!A:A, Products!C:C)</f>
        <v>Sports</v>
      </c>
      <c r="N442" t="str">
        <f>_xlfn.XLOOKUP(E442, Sales_Reps!A:A, Sales_Reps!C:C)</f>
        <v>North</v>
      </c>
      <c r="O442">
        <f>_xlfn.XLOOKUP(D442, Products!A:A, Products!D:D)</f>
        <v>516</v>
      </c>
      <c r="P442">
        <f>_xlfn.XLOOKUP(D442, Products!A:A, Products!E:E)</f>
        <v>1010</v>
      </c>
    </row>
    <row r="443" spans="1:16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 t="shared" si="6"/>
        <v>Pune</v>
      </c>
      <c r="M443" t="str">
        <f>_xlfn.XLOOKUP(D443, Products!A:A, Products!C:C)</f>
        <v>Home</v>
      </c>
      <c r="N443" t="str">
        <f>_xlfn.XLOOKUP(E443, Sales_Reps!A:A, Sales_Reps!C:C)</f>
        <v>North</v>
      </c>
      <c r="O443">
        <f>_xlfn.XLOOKUP(D443, Products!A:A, Products!D:D)</f>
        <v>1556</v>
      </c>
      <c r="P443">
        <f>_xlfn.XLOOKUP(D443, Products!A:A, Products!E:E)</f>
        <v>3250</v>
      </c>
    </row>
    <row r="444" spans="1:16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 t="shared" si="6"/>
        <v>Pune</v>
      </c>
      <c r="M444" t="str">
        <f>_xlfn.XLOOKUP(D444, Products!A:A, Products!C:C)</f>
        <v>Electronics</v>
      </c>
      <c r="N444" t="str">
        <f>_xlfn.XLOOKUP(E444, Sales_Reps!A:A, Sales_Reps!C:C)</f>
        <v>South</v>
      </c>
      <c r="O444">
        <f>_xlfn.XLOOKUP(D444, Products!A:A, Products!D:D)</f>
        <v>861</v>
      </c>
      <c r="P444">
        <f>_xlfn.XLOOKUP(D444, Products!A:A, Products!E:E)</f>
        <v>1430</v>
      </c>
    </row>
    <row r="445" spans="1:16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 t="shared" si="6"/>
        <v>Bengaluru</v>
      </c>
      <c r="M445" t="str">
        <f>_xlfn.XLOOKUP(D445, Products!A:A, Products!C:C)</f>
        <v>Beauty</v>
      </c>
      <c r="N445" t="str">
        <f>_xlfn.XLOOKUP(E445, Sales_Reps!A:A, Sales_Reps!C:C)</f>
        <v>East</v>
      </c>
      <c r="O445">
        <f>_xlfn.XLOOKUP(D445, Products!A:A, Products!D:D)</f>
        <v>1626</v>
      </c>
      <c r="P445">
        <f>_xlfn.XLOOKUP(D445, Products!A:A, Products!E:E)</f>
        <v>3020</v>
      </c>
    </row>
    <row r="446" spans="1:16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 t="shared" si="6"/>
        <v>Chennai</v>
      </c>
      <c r="M446" t="str">
        <f>_xlfn.XLOOKUP(D446, Products!A:A, Products!C:C)</f>
        <v>Electronics</v>
      </c>
      <c r="N446" t="str">
        <f>_xlfn.XLOOKUP(E446, Sales_Reps!A:A, Sales_Reps!C:C)</f>
        <v>North</v>
      </c>
      <c r="O446">
        <f>_xlfn.XLOOKUP(D446, Products!A:A, Products!D:D)</f>
        <v>1259</v>
      </c>
      <c r="P446">
        <f>_xlfn.XLOOKUP(D446, Products!A:A, Products!E:E)</f>
        <v>2660</v>
      </c>
    </row>
    <row r="447" spans="1:16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 t="shared" si="6"/>
        <v>Delhi</v>
      </c>
      <c r="M447" t="str">
        <f>_xlfn.XLOOKUP(D447, Products!A:A, Products!C:C)</f>
        <v>Electronics</v>
      </c>
      <c r="N447" t="str">
        <f>_xlfn.XLOOKUP(E447, Sales_Reps!A:A, Sales_Reps!C:C)</f>
        <v>East</v>
      </c>
      <c r="O447">
        <f>_xlfn.XLOOKUP(D447, Products!A:A, Products!D:D)</f>
        <v>1665</v>
      </c>
      <c r="P447">
        <f>_xlfn.XLOOKUP(D447, Products!A:A, Products!E:E)</f>
        <v>3570</v>
      </c>
    </row>
    <row r="448" spans="1:16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 t="shared" si="6"/>
        <v>Pune</v>
      </c>
      <c r="M448" t="str">
        <f>_xlfn.XLOOKUP(D448, Products!A:A, Products!C:C)</f>
        <v>Beauty</v>
      </c>
      <c r="N448" t="str">
        <f>_xlfn.XLOOKUP(E448, Sales_Reps!A:A, Sales_Reps!C:C)</f>
        <v>South</v>
      </c>
      <c r="O448">
        <f>_xlfn.XLOOKUP(D448, Products!A:A, Products!D:D)</f>
        <v>1728</v>
      </c>
      <c r="P448">
        <f>_xlfn.XLOOKUP(D448, Products!A:A, Products!E:E)</f>
        <v>3350</v>
      </c>
    </row>
    <row r="449" spans="1:16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 t="shared" si="6"/>
        <v>Delhi</v>
      </c>
      <c r="M449" t="str">
        <f>_xlfn.XLOOKUP(D449, Products!A:A, Products!C:C)</f>
        <v>Apparel</v>
      </c>
      <c r="N449" t="str">
        <f>_xlfn.XLOOKUP(E449, Sales_Reps!A:A, Sales_Reps!C:C)</f>
        <v>East</v>
      </c>
      <c r="O449">
        <f>_xlfn.XLOOKUP(D449, Products!A:A, Products!D:D)</f>
        <v>1173</v>
      </c>
      <c r="P449">
        <f>_xlfn.XLOOKUP(D449, Products!A:A, Products!E:E)</f>
        <v>2480</v>
      </c>
    </row>
    <row r="450" spans="1:16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 t="shared" si="6"/>
        <v>Delhi</v>
      </c>
      <c r="M450" t="str">
        <f>_xlfn.XLOOKUP(D450, Products!A:A, Products!C:C)</f>
        <v>Sports</v>
      </c>
      <c r="N450" t="str">
        <f>_xlfn.XLOOKUP(E450, Sales_Reps!A:A, Sales_Reps!C:C)</f>
        <v>South</v>
      </c>
      <c r="O450">
        <f>_xlfn.XLOOKUP(D450, Products!A:A, Products!D:D)</f>
        <v>2265</v>
      </c>
      <c r="P450">
        <f>_xlfn.XLOOKUP(D450, Products!A:A, Products!E:E)</f>
        <v>5410</v>
      </c>
    </row>
    <row r="451" spans="1:16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 t="shared" ref="L451:L514" si="7">PROPER(TRIM(K451))</f>
        <v>Bengaluru</v>
      </c>
      <c r="M451" t="str">
        <f>_xlfn.XLOOKUP(D451, Products!A:A, Products!C:C)</f>
        <v>Home</v>
      </c>
      <c r="N451" t="str">
        <f>_xlfn.XLOOKUP(E451, Sales_Reps!A:A, Sales_Reps!C:C)</f>
        <v>East</v>
      </c>
      <c r="O451">
        <f>_xlfn.XLOOKUP(D451, Products!A:A, Products!D:D)</f>
        <v>329</v>
      </c>
      <c r="P451">
        <f>_xlfn.XLOOKUP(D451, Products!A:A, Products!E:E)</f>
        <v>660</v>
      </c>
    </row>
    <row r="452" spans="1:16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 t="shared" si="7"/>
        <v>Mumbai</v>
      </c>
      <c r="M452" t="str">
        <f>_xlfn.XLOOKUP(D452, Products!A:A, Products!C:C)</f>
        <v>Sports</v>
      </c>
      <c r="N452" t="str">
        <f>_xlfn.XLOOKUP(E452, Sales_Reps!A:A, Sales_Reps!C:C)</f>
        <v>North</v>
      </c>
      <c r="O452">
        <f>_xlfn.XLOOKUP(D452, Products!A:A, Products!D:D)</f>
        <v>516</v>
      </c>
      <c r="P452">
        <f>_xlfn.XLOOKUP(D452, Products!A:A, Products!E:E)</f>
        <v>1010</v>
      </c>
    </row>
    <row r="453" spans="1:16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 t="shared" si="7"/>
        <v>Mumbai</v>
      </c>
      <c r="M453" t="str">
        <f>_xlfn.XLOOKUP(D453, Products!A:A, Products!C:C)</f>
        <v>Beauty</v>
      </c>
      <c r="N453" t="str">
        <f>_xlfn.XLOOKUP(E453, Sales_Reps!A:A, Sales_Reps!C:C)</f>
        <v>North</v>
      </c>
      <c r="O453">
        <f>_xlfn.XLOOKUP(D453, Products!A:A, Products!D:D)</f>
        <v>1219</v>
      </c>
      <c r="P453">
        <f>_xlfn.XLOOKUP(D453, Products!A:A, Products!E:E)</f>
        <v>2290</v>
      </c>
    </row>
    <row r="454" spans="1:16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 t="shared" si="7"/>
        <v>Delhi</v>
      </c>
      <c r="M454" t="str">
        <f>_xlfn.XLOOKUP(D454, Products!A:A, Products!C:C)</f>
        <v>Beauty</v>
      </c>
      <c r="N454" t="str">
        <f>_xlfn.XLOOKUP(E454, Sales_Reps!A:A, Sales_Reps!C:C)</f>
        <v>North</v>
      </c>
      <c r="O454">
        <f>_xlfn.XLOOKUP(D454, Products!A:A, Products!D:D)</f>
        <v>2420</v>
      </c>
      <c r="P454">
        <f>_xlfn.XLOOKUP(D454, Products!A:A, Products!E:E)</f>
        <v>3450</v>
      </c>
    </row>
    <row r="455" spans="1:16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 t="shared" si="7"/>
        <v>Chennai</v>
      </c>
      <c r="M455" t="str">
        <f>_xlfn.XLOOKUP(D455, Products!A:A, Products!C:C)</f>
        <v>Apparel</v>
      </c>
      <c r="N455" t="str">
        <f>_xlfn.XLOOKUP(E455, Sales_Reps!A:A, Sales_Reps!C:C)</f>
        <v>North</v>
      </c>
      <c r="O455">
        <f>_xlfn.XLOOKUP(D455, Products!A:A, Products!D:D)</f>
        <v>2611</v>
      </c>
      <c r="P455">
        <f>_xlfn.XLOOKUP(D455, Products!A:A, Products!E:E)</f>
        <v>3640</v>
      </c>
    </row>
    <row r="456" spans="1:16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 t="shared" si="7"/>
        <v>Mumbai</v>
      </c>
      <c r="M456" t="str">
        <f>_xlfn.XLOOKUP(D456, Products!A:A, Products!C:C)</f>
        <v>Grocery</v>
      </c>
      <c r="N456" t="str">
        <f>_xlfn.XLOOKUP(E456, Sales_Reps!A:A, Sales_Reps!C:C)</f>
        <v>South</v>
      </c>
      <c r="O456">
        <f>_xlfn.XLOOKUP(D456, Products!A:A, Products!D:D)</f>
        <v>1182</v>
      </c>
      <c r="P456">
        <f>_xlfn.XLOOKUP(D456, Products!A:A, Products!E:E)</f>
        <v>2380</v>
      </c>
    </row>
    <row r="457" spans="1:16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 t="shared" si="7"/>
        <v>Hyderabad</v>
      </c>
      <c r="M457" t="str">
        <f>_xlfn.XLOOKUP(D457, Products!A:A, Products!C:C)</f>
        <v>Sports</v>
      </c>
      <c r="N457" t="str">
        <f>_xlfn.XLOOKUP(E457, Sales_Reps!A:A, Sales_Reps!C:C)</f>
        <v>East</v>
      </c>
      <c r="O457">
        <f>_xlfn.XLOOKUP(D457, Products!A:A, Products!D:D)</f>
        <v>2265</v>
      </c>
      <c r="P457">
        <f>_xlfn.XLOOKUP(D457, Products!A:A, Products!E:E)</f>
        <v>5410</v>
      </c>
    </row>
    <row r="458" spans="1:16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 t="shared" si="7"/>
        <v>Mumbai</v>
      </c>
      <c r="M458" t="str">
        <f>_xlfn.XLOOKUP(D458, Products!A:A, Products!C:C)</f>
        <v>Beauty</v>
      </c>
      <c r="N458" t="str">
        <f>_xlfn.XLOOKUP(E458, Sales_Reps!A:A, Sales_Reps!C:C)</f>
        <v>East</v>
      </c>
      <c r="O458">
        <f>_xlfn.XLOOKUP(D458, Products!A:A, Products!D:D)</f>
        <v>1222</v>
      </c>
      <c r="P458">
        <f>_xlfn.XLOOKUP(D458, Products!A:A, Products!E:E)</f>
        <v>1650</v>
      </c>
    </row>
    <row r="459" spans="1:16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 t="shared" si="7"/>
        <v>Mumbai</v>
      </c>
      <c r="M459" t="str">
        <f>_xlfn.XLOOKUP(D459, Products!A:A, Products!C:C)</f>
        <v>Electronics</v>
      </c>
      <c r="N459" t="str">
        <f>_xlfn.XLOOKUP(E459, Sales_Reps!A:A, Sales_Reps!C:C)</f>
        <v>East</v>
      </c>
      <c r="O459">
        <f>_xlfn.XLOOKUP(D459, Products!A:A, Products!D:D)</f>
        <v>1052</v>
      </c>
      <c r="P459">
        <f>_xlfn.XLOOKUP(D459, Products!A:A, Products!E:E)</f>
        <v>2600</v>
      </c>
    </row>
    <row r="460" spans="1:16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 t="shared" si="7"/>
        <v>Hyderabad</v>
      </c>
      <c r="M460" t="str">
        <f>_xlfn.XLOOKUP(D460, Products!A:A, Products!C:C)</f>
        <v>Home</v>
      </c>
      <c r="N460" t="str">
        <f>_xlfn.XLOOKUP(E460, Sales_Reps!A:A, Sales_Reps!C:C)</f>
        <v>North</v>
      </c>
      <c r="O460">
        <f>_xlfn.XLOOKUP(D460, Products!A:A, Products!D:D)</f>
        <v>1850</v>
      </c>
      <c r="P460">
        <f>_xlfn.XLOOKUP(D460, Products!A:A, Products!E:E)</f>
        <v>4610</v>
      </c>
    </row>
    <row r="461" spans="1:16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 t="shared" si="7"/>
        <v>Hyderabad</v>
      </c>
      <c r="M461" t="str">
        <f>_xlfn.XLOOKUP(D461, Products!A:A, Products!C:C)</f>
        <v>Home</v>
      </c>
      <c r="N461" t="str">
        <f>_xlfn.XLOOKUP(E461, Sales_Reps!A:A, Sales_Reps!C:C)</f>
        <v>East</v>
      </c>
      <c r="O461">
        <f>_xlfn.XLOOKUP(D461, Products!A:A, Products!D:D)</f>
        <v>1850</v>
      </c>
      <c r="P461">
        <f>_xlfn.XLOOKUP(D461, Products!A:A, Products!E:E)</f>
        <v>4610</v>
      </c>
    </row>
    <row r="462" spans="1:16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 t="shared" si="7"/>
        <v>Chennai</v>
      </c>
      <c r="M462" t="str">
        <f>_xlfn.XLOOKUP(D462, Products!A:A, Products!C:C)</f>
        <v>Electronics</v>
      </c>
      <c r="N462" t="str">
        <f>_xlfn.XLOOKUP(E462, Sales_Reps!A:A, Sales_Reps!C:C)</f>
        <v>South</v>
      </c>
      <c r="O462">
        <f>_xlfn.XLOOKUP(D462, Products!A:A, Products!D:D)</f>
        <v>128</v>
      </c>
      <c r="P462">
        <f>_xlfn.XLOOKUP(D462, Products!A:A, Products!E:E)</f>
        <v>300</v>
      </c>
    </row>
    <row r="463" spans="1:16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 t="shared" si="7"/>
        <v>Chennai</v>
      </c>
      <c r="M463" t="str">
        <f>_xlfn.XLOOKUP(D463, Products!A:A, Products!C:C)</f>
        <v>Apparel</v>
      </c>
      <c r="N463" t="str">
        <f>_xlfn.XLOOKUP(E463, Sales_Reps!A:A, Sales_Reps!C:C)</f>
        <v>East</v>
      </c>
      <c r="O463">
        <f>_xlfn.XLOOKUP(D463, Products!A:A, Products!D:D)</f>
        <v>1748</v>
      </c>
      <c r="P463">
        <f>_xlfn.XLOOKUP(D463, Products!A:A, Products!E:E)</f>
        <v>3450</v>
      </c>
    </row>
    <row r="464" spans="1:16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 t="shared" si="7"/>
        <v>Chennai</v>
      </c>
      <c r="M464" t="str">
        <f>_xlfn.XLOOKUP(D464, Products!A:A, Products!C:C)</f>
        <v>Apparel</v>
      </c>
      <c r="N464" t="str">
        <f>_xlfn.XLOOKUP(E464, Sales_Reps!A:A, Sales_Reps!C:C)</f>
        <v>West</v>
      </c>
      <c r="O464">
        <f>_xlfn.XLOOKUP(D464, Products!A:A, Products!D:D)</f>
        <v>1962</v>
      </c>
      <c r="P464">
        <f>_xlfn.XLOOKUP(D464, Products!A:A, Products!E:E)</f>
        <v>2720</v>
      </c>
    </row>
    <row r="465" spans="1:16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 t="shared" si="7"/>
        <v>Hyderabad</v>
      </c>
      <c r="M465" t="str">
        <f>_xlfn.XLOOKUP(D465, Products!A:A, Products!C:C)</f>
        <v>Electronics</v>
      </c>
      <c r="N465" t="str">
        <f>_xlfn.XLOOKUP(E465, Sales_Reps!A:A, Sales_Reps!C:C)</f>
        <v>East</v>
      </c>
      <c r="O465">
        <f>_xlfn.XLOOKUP(D465, Products!A:A, Products!D:D)</f>
        <v>1259</v>
      </c>
      <c r="P465">
        <f>_xlfn.XLOOKUP(D465, Products!A:A, Products!E:E)</f>
        <v>2660</v>
      </c>
    </row>
    <row r="466" spans="1:16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 t="shared" si="7"/>
        <v>Mumbai</v>
      </c>
      <c r="M466" t="str">
        <f>_xlfn.XLOOKUP(D466, Products!A:A, Products!C:C)</f>
        <v>Sports</v>
      </c>
      <c r="N466" t="str">
        <f>_xlfn.XLOOKUP(E466, Sales_Reps!A:A, Sales_Reps!C:C)</f>
        <v>North</v>
      </c>
      <c r="O466">
        <f>_xlfn.XLOOKUP(D466, Products!A:A, Products!D:D)</f>
        <v>2467</v>
      </c>
      <c r="P466">
        <f>_xlfn.XLOOKUP(D466, Products!A:A, Products!E:E)</f>
        <v>3450</v>
      </c>
    </row>
    <row r="467" spans="1:16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 t="shared" si="7"/>
        <v>Hyderabad</v>
      </c>
      <c r="M467" t="str">
        <f>_xlfn.XLOOKUP(D467, Products!A:A, Products!C:C)</f>
        <v>Sports</v>
      </c>
      <c r="N467" t="str">
        <f>_xlfn.XLOOKUP(E467, Sales_Reps!A:A, Sales_Reps!C:C)</f>
        <v>South</v>
      </c>
      <c r="O467">
        <f>_xlfn.XLOOKUP(D467, Products!A:A, Products!D:D)</f>
        <v>2265</v>
      </c>
      <c r="P467">
        <f>_xlfn.XLOOKUP(D467, Products!A:A, Products!E:E)</f>
        <v>5410</v>
      </c>
    </row>
    <row r="468" spans="1:16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 t="shared" si="7"/>
        <v>Chennai</v>
      </c>
      <c r="M468" t="str">
        <f>_xlfn.XLOOKUP(D468, Products!A:A, Products!C:C)</f>
        <v>Electronics</v>
      </c>
      <c r="N468" t="str">
        <f>_xlfn.XLOOKUP(E468, Sales_Reps!A:A, Sales_Reps!C:C)</f>
        <v>South</v>
      </c>
      <c r="O468">
        <f>_xlfn.XLOOKUP(D468, Products!A:A, Products!D:D)</f>
        <v>1559</v>
      </c>
      <c r="P468">
        <f>_xlfn.XLOOKUP(D468, Products!A:A, Products!E:E)</f>
        <v>3870</v>
      </c>
    </row>
    <row r="469" spans="1:16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 t="shared" si="7"/>
        <v>Pune</v>
      </c>
      <c r="M469" t="str">
        <f>_xlfn.XLOOKUP(D469, Products!A:A, Products!C:C)</f>
        <v>Grocery</v>
      </c>
      <c r="N469" t="str">
        <f>_xlfn.XLOOKUP(E469, Sales_Reps!A:A, Sales_Reps!C:C)</f>
        <v>North</v>
      </c>
      <c r="O469">
        <f>_xlfn.XLOOKUP(D469, Products!A:A, Products!D:D)</f>
        <v>1203</v>
      </c>
      <c r="P469">
        <f>_xlfn.XLOOKUP(D469, Products!A:A, Products!E:E)</f>
        <v>2270</v>
      </c>
    </row>
    <row r="470" spans="1:16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 t="shared" si="7"/>
        <v>Bengaluru</v>
      </c>
      <c r="M470" t="str">
        <f>_xlfn.XLOOKUP(D470, Products!A:A, Products!C:C)</f>
        <v>Electronics</v>
      </c>
      <c r="N470" t="str">
        <f>_xlfn.XLOOKUP(E470, Sales_Reps!A:A, Sales_Reps!C:C)</f>
        <v>West</v>
      </c>
      <c r="O470">
        <f>_xlfn.XLOOKUP(D470, Products!A:A, Products!D:D)</f>
        <v>2405</v>
      </c>
      <c r="P470">
        <f>_xlfn.XLOOKUP(D470, Products!A:A, Products!E:E)</f>
        <v>5330</v>
      </c>
    </row>
    <row r="471" spans="1:16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 t="shared" si="7"/>
        <v>Bengaluru</v>
      </c>
      <c r="M471" t="str">
        <f>_xlfn.XLOOKUP(D471, Products!A:A, Products!C:C)</f>
        <v>Beauty</v>
      </c>
      <c r="N471" t="str">
        <f>_xlfn.XLOOKUP(E471, Sales_Reps!A:A, Sales_Reps!C:C)</f>
        <v>South</v>
      </c>
      <c r="O471">
        <f>_xlfn.XLOOKUP(D471, Products!A:A, Products!D:D)</f>
        <v>1728</v>
      </c>
      <c r="P471">
        <f>_xlfn.XLOOKUP(D471, Products!A:A, Products!E:E)</f>
        <v>3350</v>
      </c>
    </row>
    <row r="472" spans="1:16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 t="shared" si="7"/>
        <v>Chennai</v>
      </c>
      <c r="M472" t="str">
        <f>_xlfn.XLOOKUP(D472, Products!A:A, Products!C:C)</f>
        <v>Beauty</v>
      </c>
      <c r="N472" t="str">
        <f>_xlfn.XLOOKUP(E472, Sales_Reps!A:A, Sales_Reps!C:C)</f>
        <v>North</v>
      </c>
      <c r="O472">
        <f>_xlfn.XLOOKUP(D472, Products!A:A, Products!D:D)</f>
        <v>1626</v>
      </c>
      <c r="P472">
        <f>_xlfn.XLOOKUP(D472, Products!A:A, Products!E:E)</f>
        <v>3020</v>
      </c>
    </row>
    <row r="473" spans="1:16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 t="shared" si="7"/>
        <v>Mumbai</v>
      </c>
      <c r="M473" t="str">
        <f>_xlfn.XLOOKUP(D473, Products!A:A, Products!C:C)</f>
        <v>Apparel</v>
      </c>
      <c r="N473" t="str">
        <f>_xlfn.XLOOKUP(E473, Sales_Reps!A:A, Sales_Reps!C:C)</f>
        <v>East</v>
      </c>
      <c r="O473">
        <f>_xlfn.XLOOKUP(D473, Products!A:A, Products!D:D)</f>
        <v>1886</v>
      </c>
      <c r="P473">
        <f>_xlfn.XLOOKUP(D473, Products!A:A, Products!E:E)</f>
        <v>3160</v>
      </c>
    </row>
    <row r="474" spans="1:16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 t="shared" si="7"/>
        <v>Bengaluru</v>
      </c>
      <c r="M474" t="str">
        <f>_xlfn.XLOOKUP(D474, Products!A:A, Products!C:C)</f>
        <v>Sports</v>
      </c>
      <c r="N474" t="str">
        <f>_xlfn.XLOOKUP(E474, Sales_Reps!A:A, Sales_Reps!C:C)</f>
        <v>East</v>
      </c>
      <c r="O474">
        <f>_xlfn.XLOOKUP(D474, Products!A:A, Products!D:D)</f>
        <v>302</v>
      </c>
      <c r="P474">
        <f>_xlfn.XLOOKUP(D474, Products!A:A, Products!E:E)</f>
        <v>470</v>
      </c>
    </row>
    <row r="475" spans="1:16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 t="shared" si="7"/>
        <v>Mumbai</v>
      </c>
      <c r="M475" t="str">
        <f>_xlfn.XLOOKUP(D475, Products!A:A, Products!C:C)</f>
        <v>Home</v>
      </c>
      <c r="N475" t="str">
        <f>_xlfn.XLOOKUP(E475, Sales_Reps!A:A, Sales_Reps!C:C)</f>
        <v>East</v>
      </c>
      <c r="O475">
        <f>_xlfn.XLOOKUP(D475, Products!A:A, Products!D:D)</f>
        <v>1556</v>
      </c>
      <c r="P475">
        <f>_xlfn.XLOOKUP(D475, Products!A:A, Products!E:E)</f>
        <v>3250</v>
      </c>
    </row>
    <row r="476" spans="1:16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 t="shared" si="7"/>
        <v>Pune</v>
      </c>
      <c r="M476" t="str">
        <f>_xlfn.XLOOKUP(D476, Products!A:A, Products!C:C)</f>
        <v>Sports</v>
      </c>
      <c r="N476" t="str">
        <f>_xlfn.XLOOKUP(E476, Sales_Reps!A:A, Sales_Reps!C:C)</f>
        <v>East</v>
      </c>
      <c r="O476">
        <f>_xlfn.XLOOKUP(D476, Products!A:A, Products!D:D)</f>
        <v>516</v>
      </c>
      <c r="P476">
        <f>_xlfn.XLOOKUP(D476, Products!A:A, Products!E:E)</f>
        <v>1010</v>
      </c>
    </row>
    <row r="477" spans="1:16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 t="shared" si="7"/>
        <v>Mumbai</v>
      </c>
      <c r="M477" t="str">
        <f>_xlfn.XLOOKUP(D477, Products!A:A, Products!C:C)</f>
        <v>Electronics</v>
      </c>
      <c r="N477" t="str">
        <f>_xlfn.XLOOKUP(E477, Sales_Reps!A:A, Sales_Reps!C:C)</f>
        <v>North</v>
      </c>
      <c r="O477">
        <f>_xlfn.XLOOKUP(D477, Products!A:A, Products!D:D)</f>
        <v>128</v>
      </c>
      <c r="P477">
        <f>_xlfn.XLOOKUP(D477, Products!A:A, Products!E:E)</f>
        <v>300</v>
      </c>
    </row>
    <row r="478" spans="1:16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 t="shared" si="7"/>
        <v>Pune</v>
      </c>
      <c r="M478" t="str">
        <f>_xlfn.XLOOKUP(D478, Products!A:A, Products!C:C)</f>
        <v>Beauty</v>
      </c>
      <c r="N478" t="str">
        <f>_xlfn.XLOOKUP(E478, Sales_Reps!A:A, Sales_Reps!C:C)</f>
        <v>North</v>
      </c>
      <c r="O478">
        <f>_xlfn.XLOOKUP(D478, Products!A:A, Products!D:D)</f>
        <v>2237</v>
      </c>
      <c r="P478">
        <f>_xlfn.XLOOKUP(D478, Products!A:A, Products!E:E)</f>
        <v>5100</v>
      </c>
    </row>
    <row r="479" spans="1:16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 t="shared" si="7"/>
        <v>Hyderabad</v>
      </c>
      <c r="M479" t="str">
        <f>_xlfn.XLOOKUP(D479, Products!A:A, Products!C:C)</f>
        <v>Beauty</v>
      </c>
      <c r="N479" t="str">
        <f>_xlfn.XLOOKUP(E479, Sales_Reps!A:A, Sales_Reps!C:C)</f>
        <v>West</v>
      </c>
      <c r="O479">
        <f>_xlfn.XLOOKUP(D479, Products!A:A, Products!D:D)</f>
        <v>1728</v>
      </c>
      <c r="P479">
        <f>_xlfn.XLOOKUP(D479, Products!A:A, Products!E:E)</f>
        <v>3350</v>
      </c>
    </row>
    <row r="480" spans="1:16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 t="shared" si="7"/>
        <v>Delhi</v>
      </c>
      <c r="M480" t="str">
        <f>_xlfn.XLOOKUP(D480, Products!A:A, Products!C:C)</f>
        <v>Home</v>
      </c>
      <c r="N480" t="str">
        <f>_xlfn.XLOOKUP(E480, Sales_Reps!A:A, Sales_Reps!C:C)</f>
        <v>East</v>
      </c>
      <c r="O480">
        <f>_xlfn.XLOOKUP(D480, Products!A:A, Products!D:D)</f>
        <v>1556</v>
      </c>
      <c r="P480">
        <f>_xlfn.XLOOKUP(D480, Products!A:A, Products!E:E)</f>
        <v>3250</v>
      </c>
    </row>
    <row r="481" spans="1:16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 t="shared" si="7"/>
        <v>Pune</v>
      </c>
      <c r="M481" t="str">
        <f>_xlfn.XLOOKUP(D481, Products!A:A, Products!C:C)</f>
        <v>Grocery</v>
      </c>
      <c r="N481" t="str">
        <f>_xlfn.XLOOKUP(E481, Sales_Reps!A:A, Sales_Reps!C:C)</f>
        <v>North</v>
      </c>
      <c r="O481">
        <f>_xlfn.XLOOKUP(D481, Products!A:A, Products!D:D)</f>
        <v>2214</v>
      </c>
      <c r="P481">
        <f>_xlfn.XLOOKUP(D481, Products!A:A, Products!E:E)</f>
        <v>3660</v>
      </c>
    </row>
    <row r="482" spans="1:16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 t="shared" si="7"/>
        <v>Chennai</v>
      </c>
      <c r="M482" t="str">
        <f>_xlfn.XLOOKUP(D482, Products!A:A, Products!C:C)</f>
        <v>Sports</v>
      </c>
      <c r="N482" t="str">
        <f>_xlfn.XLOOKUP(E482, Sales_Reps!A:A, Sales_Reps!C:C)</f>
        <v>South</v>
      </c>
      <c r="O482">
        <f>_xlfn.XLOOKUP(D482, Products!A:A, Products!D:D)</f>
        <v>974</v>
      </c>
      <c r="P482">
        <f>_xlfn.XLOOKUP(D482, Products!A:A, Products!E:E)</f>
        <v>2400</v>
      </c>
    </row>
    <row r="483" spans="1:16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 t="shared" si="7"/>
        <v>Delhi</v>
      </c>
      <c r="M483" t="str">
        <f>_xlfn.XLOOKUP(D483, Products!A:A, Products!C:C)</f>
        <v>Home</v>
      </c>
      <c r="N483" t="str">
        <f>_xlfn.XLOOKUP(E483, Sales_Reps!A:A, Sales_Reps!C:C)</f>
        <v>South</v>
      </c>
      <c r="O483">
        <f>_xlfn.XLOOKUP(D483, Products!A:A, Products!D:D)</f>
        <v>464</v>
      </c>
      <c r="P483">
        <f>_xlfn.XLOOKUP(D483, Products!A:A, Products!E:E)</f>
        <v>1090</v>
      </c>
    </row>
    <row r="484" spans="1:16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 t="shared" si="7"/>
        <v>Chennai</v>
      </c>
      <c r="M484" t="str">
        <f>_xlfn.XLOOKUP(D484, Products!A:A, Products!C:C)</f>
        <v>Sports</v>
      </c>
      <c r="N484" t="str">
        <f>_xlfn.XLOOKUP(E484, Sales_Reps!A:A, Sales_Reps!C:C)</f>
        <v>South</v>
      </c>
      <c r="O484">
        <f>_xlfn.XLOOKUP(D484, Products!A:A, Products!D:D)</f>
        <v>1860</v>
      </c>
      <c r="P484">
        <f>_xlfn.XLOOKUP(D484, Products!A:A, Products!E:E)</f>
        <v>3780</v>
      </c>
    </row>
    <row r="485" spans="1:16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 t="shared" si="7"/>
        <v>Pune</v>
      </c>
      <c r="M485" t="str">
        <f>_xlfn.XLOOKUP(D485, Products!A:A, Products!C:C)</f>
        <v>Beauty</v>
      </c>
      <c r="N485" t="str">
        <f>_xlfn.XLOOKUP(E485, Sales_Reps!A:A, Sales_Reps!C:C)</f>
        <v>East</v>
      </c>
      <c r="O485">
        <f>_xlfn.XLOOKUP(D485, Products!A:A, Products!D:D)</f>
        <v>1728</v>
      </c>
      <c r="P485">
        <f>_xlfn.XLOOKUP(D485, Products!A:A, Products!E:E)</f>
        <v>3350</v>
      </c>
    </row>
    <row r="486" spans="1:16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 t="shared" si="7"/>
        <v>Bengaluru</v>
      </c>
      <c r="M486" t="str">
        <f>_xlfn.XLOOKUP(D486, Products!A:A, Products!C:C)</f>
        <v>Home</v>
      </c>
      <c r="N486" t="str">
        <f>_xlfn.XLOOKUP(E486, Sales_Reps!A:A, Sales_Reps!C:C)</f>
        <v>West</v>
      </c>
      <c r="O486">
        <f>_xlfn.XLOOKUP(D486, Products!A:A, Products!D:D)</f>
        <v>519</v>
      </c>
      <c r="P486">
        <f>_xlfn.XLOOKUP(D486, Products!A:A, Products!E:E)</f>
        <v>1080</v>
      </c>
    </row>
    <row r="487" spans="1:16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 t="shared" si="7"/>
        <v>Chennai</v>
      </c>
      <c r="M487" t="str">
        <f>_xlfn.XLOOKUP(D487, Products!A:A, Products!C:C)</f>
        <v>Grocery</v>
      </c>
      <c r="N487" t="str">
        <f>_xlfn.XLOOKUP(E487, Sales_Reps!A:A, Sales_Reps!C:C)</f>
        <v>East</v>
      </c>
      <c r="O487">
        <f>_xlfn.XLOOKUP(D487, Products!A:A, Products!D:D)</f>
        <v>2027</v>
      </c>
      <c r="P487">
        <f>_xlfn.XLOOKUP(D487, Products!A:A, Products!E:E)</f>
        <v>4070</v>
      </c>
    </row>
    <row r="488" spans="1:16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 t="shared" si="7"/>
        <v>Chennai</v>
      </c>
      <c r="M488" t="str">
        <f>_xlfn.XLOOKUP(D488, Products!A:A, Products!C:C)</f>
        <v>Beauty</v>
      </c>
      <c r="N488" t="str">
        <f>_xlfn.XLOOKUP(E488, Sales_Reps!A:A, Sales_Reps!C:C)</f>
        <v>West</v>
      </c>
      <c r="O488">
        <f>_xlfn.XLOOKUP(D488, Products!A:A, Products!D:D)</f>
        <v>647</v>
      </c>
      <c r="P488">
        <f>_xlfn.XLOOKUP(D488, Products!A:A, Products!E:E)</f>
        <v>1540</v>
      </c>
    </row>
    <row r="489" spans="1:16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 t="shared" si="7"/>
        <v>Bengaluru</v>
      </c>
      <c r="M489" t="str">
        <f>_xlfn.XLOOKUP(D489, Products!A:A, Products!C:C)</f>
        <v>Grocery</v>
      </c>
      <c r="N489" t="str">
        <f>_xlfn.XLOOKUP(E489, Sales_Reps!A:A, Sales_Reps!C:C)</f>
        <v>West</v>
      </c>
      <c r="O489">
        <f>_xlfn.XLOOKUP(D489, Products!A:A, Products!D:D)</f>
        <v>1435</v>
      </c>
      <c r="P489">
        <f>_xlfn.XLOOKUP(D489, Products!A:A, Products!E:E)</f>
        <v>2760</v>
      </c>
    </row>
    <row r="490" spans="1:16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 t="shared" si="7"/>
        <v>Bengaluru</v>
      </c>
      <c r="M490" t="str">
        <f>_xlfn.XLOOKUP(D490, Products!A:A, Products!C:C)</f>
        <v>Electronics</v>
      </c>
      <c r="N490" t="str">
        <f>_xlfn.XLOOKUP(E490, Sales_Reps!A:A, Sales_Reps!C:C)</f>
        <v>East</v>
      </c>
      <c r="O490">
        <f>_xlfn.XLOOKUP(D490, Products!A:A, Products!D:D)</f>
        <v>2865</v>
      </c>
      <c r="P490">
        <f>_xlfn.XLOOKUP(D490, Products!A:A, Products!E:E)</f>
        <v>3970</v>
      </c>
    </row>
    <row r="491" spans="1:16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 t="shared" si="7"/>
        <v>Mumbai</v>
      </c>
      <c r="M491" t="str">
        <f>_xlfn.XLOOKUP(D491, Products!A:A, Products!C:C)</f>
        <v>Apparel</v>
      </c>
      <c r="N491" t="str">
        <f>_xlfn.XLOOKUP(E491, Sales_Reps!A:A, Sales_Reps!C:C)</f>
        <v>East</v>
      </c>
      <c r="O491">
        <f>_xlfn.XLOOKUP(D491, Products!A:A, Products!D:D)</f>
        <v>1748</v>
      </c>
      <c r="P491">
        <f>_xlfn.XLOOKUP(D491, Products!A:A, Products!E:E)</f>
        <v>3450</v>
      </c>
    </row>
    <row r="492" spans="1:16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 t="shared" si="7"/>
        <v>Bengaluru</v>
      </c>
      <c r="M492" t="str">
        <f>_xlfn.XLOOKUP(D492, Products!A:A, Products!C:C)</f>
        <v>Apparel</v>
      </c>
      <c r="N492" t="str">
        <f>_xlfn.XLOOKUP(E492, Sales_Reps!A:A, Sales_Reps!C:C)</f>
        <v>North</v>
      </c>
      <c r="O492">
        <f>_xlfn.XLOOKUP(D492, Products!A:A, Products!D:D)</f>
        <v>2629</v>
      </c>
      <c r="P492">
        <f>_xlfn.XLOOKUP(D492, Products!A:A, Products!E:E)</f>
        <v>3560</v>
      </c>
    </row>
    <row r="493" spans="1:16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 t="shared" si="7"/>
        <v>Pune</v>
      </c>
      <c r="M493" t="str">
        <f>_xlfn.XLOOKUP(D493, Products!A:A, Products!C:C)</f>
        <v>Electronics</v>
      </c>
      <c r="N493" t="str">
        <f>_xlfn.XLOOKUP(E493, Sales_Reps!A:A, Sales_Reps!C:C)</f>
        <v>West</v>
      </c>
      <c r="O493">
        <f>_xlfn.XLOOKUP(D493, Products!A:A, Products!D:D)</f>
        <v>1665</v>
      </c>
      <c r="P493">
        <f>_xlfn.XLOOKUP(D493, Products!A:A, Products!E:E)</f>
        <v>3570</v>
      </c>
    </row>
    <row r="494" spans="1:16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 t="shared" si="7"/>
        <v>Pune</v>
      </c>
      <c r="M494" t="str">
        <f>_xlfn.XLOOKUP(D494, Products!A:A, Products!C:C)</f>
        <v>Sports</v>
      </c>
      <c r="N494" t="str">
        <f>_xlfn.XLOOKUP(E494, Sales_Reps!A:A, Sales_Reps!C:C)</f>
        <v>West</v>
      </c>
      <c r="O494">
        <f>_xlfn.XLOOKUP(D494, Products!A:A, Products!D:D)</f>
        <v>705</v>
      </c>
      <c r="P494">
        <f>_xlfn.XLOOKUP(D494, Products!A:A, Products!E:E)</f>
        <v>960</v>
      </c>
    </row>
    <row r="495" spans="1:16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 t="shared" si="7"/>
        <v>Pune</v>
      </c>
      <c r="M495" t="str">
        <f>_xlfn.XLOOKUP(D495, Products!A:A, Products!C:C)</f>
        <v>Beauty</v>
      </c>
      <c r="N495" t="str">
        <f>_xlfn.XLOOKUP(E495, Sales_Reps!A:A, Sales_Reps!C:C)</f>
        <v>South</v>
      </c>
      <c r="O495">
        <f>_xlfn.XLOOKUP(D495, Products!A:A, Products!D:D)</f>
        <v>2420</v>
      </c>
      <c r="P495">
        <f>_xlfn.XLOOKUP(D495, Products!A:A, Products!E:E)</f>
        <v>3450</v>
      </c>
    </row>
    <row r="496" spans="1:16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 t="shared" si="7"/>
        <v>Bengaluru</v>
      </c>
      <c r="M496" t="str">
        <f>_xlfn.XLOOKUP(D496, Products!A:A, Products!C:C)</f>
        <v>Beauty</v>
      </c>
      <c r="N496" t="str">
        <f>_xlfn.XLOOKUP(E496, Sales_Reps!A:A, Sales_Reps!C:C)</f>
        <v>South</v>
      </c>
      <c r="O496">
        <f>_xlfn.XLOOKUP(D496, Products!A:A, Products!D:D)</f>
        <v>1728</v>
      </c>
      <c r="P496">
        <f>_xlfn.XLOOKUP(D496, Products!A:A, Products!E:E)</f>
        <v>3350</v>
      </c>
    </row>
    <row r="497" spans="1:16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 t="shared" si="7"/>
        <v>Delhi</v>
      </c>
      <c r="M497" t="str">
        <f>_xlfn.XLOOKUP(D497, Products!A:A, Products!C:C)</f>
        <v>Beauty</v>
      </c>
      <c r="N497" t="str">
        <f>_xlfn.XLOOKUP(E497, Sales_Reps!A:A, Sales_Reps!C:C)</f>
        <v>North</v>
      </c>
      <c r="O497">
        <f>_xlfn.XLOOKUP(D497, Products!A:A, Products!D:D)</f>
        <v>675</v>
      </c>
      <c r="P497">
        <f>_xlfn.XLOOKUP(D497, Products!A:A, Products!E:E)</f>
        <v>960</v>
      </c>
    </row>
    <row r="498" spans="1:16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 t="shared" si="7"/>
        <v>Delhi</v>
      </c>
      <c r="M498" t="str">
        <f>_xlfn.XLOOKUP(D498, Products!A:A, Products!C:C)</f>
        <v>Electronics</v>
      </c>
      <c r="N498" t="str">
        <f>_xlfn.XLOOKUP(E498, Sales_Reps!A:A, Sales_Reps!C:C)</f>
        <v>South</v>
      </c>
      <c r="O498">
        <f>_xlfn.XLOOKUP(D498, Products!A:A, Products!D:D)</f>
        <v>128</v>
      </c>
      <c r="P498">
        <f>_xlfn.XLOOKUP(D498, Products!A:A, Products!E:E)</f>
        <v>300</v>
      </c>
    </row>
    <row r="499" spans="1:16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 t="shared" si="7"/>
        <v>Hyderabad</v>
      </c>
      <c r="M499" t="str">
        <f>_xlfn.XLOOKUP(D499, Products!A:A, Products!C:C)</f>
        <v>Grocery</v>
      </c>
      <c r="N499" t="str">
        <f>_xlfn.XLOOKUP(E499, Sales_Reps!A:A, Sales_Reps!C:C)</f>
        <v>East</v>
      </c>
      <c r="O499">
        <f>_xlfn.XLOOKUP(D499, Products!A:A, Products!D:D)</f>
        <v>1182</v>
      </c>
      <c r="P499">
        <f>_xlfn.XLOOKUP(D499, Products!A:A, Products!E:E)</f>
        <v>2380</v>
      </c>
    </row>
    <row r="500" spans="1:16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 t="shared" si="7"/>
        <v>Bengaluru</v>
      </c>
      <c r="M500" t="str">
        <f>_xlfn.XLOOKUP(D500, Products!A:A, Products!C:C)</f>
        <v>Sports</v>
      </c>
      <c r="N500" t="str">
        <f>_xlfn.XLOOKUP(E500, Sales_Reps!A:A, Sales_Reps!C:C)</f>
        <v>West</v>
      </c>
      <c r="O500">
        <f>_xlfn.XLOOKUP(D500, Products!A:A, Products!D:D)</f>
        <v>705</v>
      </c>
      <c r="P500">
        <f>_xlfn.XLOOKUP(D500, Products!A:A, Products!E:E)</f>
        <v>960</v>
      </c>
    </row>
    <row r="501" spans="1:16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 t="shared" si="7"/>
        <v>Chennai</v>
      </c>
      <c r="M501" t="str">
        <f>_xlfn.XLOOKUP(D501, Products!A:A, Products!C:C)</f>
        <v>Sports</v>
      </c>
      <c r="N501" t="str">
        <f>_xlfn.XLOOKUP(E501, Sales_Reps!A:A, Sales_Reps!C:C)</f>
        <v>South</v>
      </c>
      <c r="O501">
        <f>_xlfn.XLOOKUP(D501, Products!A:A, Products!D:D)</f>
        <v>1860</v>
      </c>
      <c r="P501">
        <f>_xlfn.XLOOKUP(D501, Products!A:A, Products!E:E)</f>
        <v>3780</v>
      </c>
    </row>
    <row r="502" spans="1:16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 t="shared" si="7"/>
        <v>Chennai</v>
      </c>
      <c r="M502" t="str">
        <f>_xlfn.XLOOKUP(D502, Products!A:A, Products!C:C)</f>
        <v>Beauty</v>
      </c>
      <c r="N502" t="str">
        <f>_xlfn.XLOOKUP(E502, Sales_Reps!A:A, Sales_Reps!C:C)</f>
        <v>East</v>
      </c>
      <c r="O502">
        <f>_xlfn.XLOOKUP(D502, Products!A:A, Products!D:D)</f>
        <v>647</v>
      </c>
      <c r="P502">
        <f>_xlfn.XLOOKUP(D502, Products!A:A, Products!E:E)</f>
        <v>1540</v>
      </c>
    </row>
    <row r="503" spans="1:16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 t="shared" si="7"/>
        <v>Bengaluru</v>
      </c>
      <c r="M503" t="str">
        <f>_xlfn.XLOOKUP(D503, Products!A:A, Products!C:C)</f>
        <v>Apparel</v>
      </c>
      <c r="N503" t="str">
        <f>_xlfn.XLOOKUP(E503, Sales_Reps!A:A, Sales_Reps!C:C)</f>
        <v>North</v>
      </c>
      <c r="O503">
        <f>_xlfn.XLOOKUP(D503, Products!A:A, Products!D:D)</f>
        <v>1075</v>
      </c>
      <c r="P503">
        <f>_xlfn.XLOOKUP(D503, Products!A:A, Products!E:E)</f>
        <v>2510</v>
      </c>
    </row>
    <row r="504" spans="1:16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 t="shared" si="7"/>
        <v>Hyderabad</v>
      </c>
      <c r="M504" t="str">
        <f>_xlfn.XLOOKUP(D504, Products!A:A, Products!C:C)</f>
        <v>Grocery</v>
      </c>
      <c r="N504" t="str">
        <f>_xlfn.XLOOKUP(E504, Sales_Reps!A:A, Sales_Reps!C:C)</f>
        <v>South</v>
      </c>
      <c r="O504">
        <f>_xlfn.XLOOKUP(D504, Products!A:A, Products!D:D)</f>
        <v>2911</v>
      </c>
      <c r="P504">
        <f>_xlfn.XLOOKUP(D504, Products!A:A, Products!E:E)</f>
        <v>4060</v>
      </c>
    </row>
    <row r="505" spans="1:16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 t="shared" si="7"/>
        <v>Delhi</v>
      </c>
      <c r="M505" t="str">
        <f>_xlfn.XLOOKUP(D505, Products!A:A, Products!C:C)</f>
        <v>Sports</v>
      </c>
      <c r="N505" t="str">
        <f>_xlfn.XLOOKUP(E505, Sales_Reps!A:A, Sales_Reps!C:C)</f>
        <v>West</v>
      </c>
      <c r="O505">
        <f>_xlfn.XLOOKUP(D505, Products!A:A, Products!D:D)</f>
        <v>974</v>
      </c>
      <c r="P505">
        <f>_xlfn.XLOOKUP(D505, Products!A:A, Products!E:E)</f>
        <v>2400</v>
      </c>
    </row>
    <row r="506" spans="1:16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 t="shared" si="7"/>
        <v>Delhi</v>
      </c>
      <c r="M506" t="str">
        <f>_xlfn.XLOOKUP(D506, Products!A:A, Products!C:C)</f>
        <v>Beauty</v>
      </c>
      <c r="N506" t="str">
        <f>_xlfn.XLOOKUP(E506, Sales_Reps!A:A, Sales_Reps!C:C)</f>
        <v>East</v>
      </c>
      <c r="O506">
        <f>_xlfn.XLOOKUP(D506, Products!A:A, Products!D:D)</f>
        <v>2768</v>
      </c>
      <c r="P506">
        <f>_xlfn.XLOOKUP(D506, Products!A:A, Products!E:E)</f>
        <v>4880</v>
      </c>
    </row>
    <row r="507" spans="1:16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 t="shared" si="7"/>
        <v>Mumbai</v>
      </c>
      <c r="M507" t="str">
        <f>_xlfn.XLOOKUP(D507, Products!A:A, Products!C:C)</f>
        <v>Beauty</v>
      </c>
      <c r="N507" t="str">
        <f>_xlfn.XLOOKUP(E507, Sales_Reps!A:A, Sales_Reps!C:C)</f>
        <v>East</v>
      </c>
      <c r="O507">
        <f>_xlfn.XLOOKUP(D507, Products!A:A, Products!D:D)</f>
        <v>2237</v>
      </c>
      <c r="P507">
        <f>_xlfn.XLOOKUP(D507, Products!A:A, Products!E:E)</f>
        <v>5100</v>
      </c>
    </row>
    <row r="508" spans="1:16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 t="shared" si="7"/>
        <v>Delhi</v>
      </c>
      <c r="M508" t="str">
        <f>_xlfn.XLOOKUP(D508, Products!A:A, Products!C:C)</f>
        <v>Electronics</v>
      </c>
      <c r="N508" t="str">
        <f>_xlfn.XLOOKUP(E508, Sales_Reps!A:A, Sales_Reps!C:C)</f>
        <v>West</v>
      </c>
      <c r="O508">
        <f>_xlfn.XLOOKUP(D508, Products!A:A, Products!D:D)</f>
        <v>128</v>
      </c>
      <c r="P508">
        <f>_xlfn.XLOOKUP(D508, Products!A:A, Products!E:E)</f>
        <v>300</v>
      </c>
    </row>
    <row r="509" spans="1:16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 t="shared" si="7"/>
        <v>Chennai</v>
      </c>
      <c r="M509" t="str">
        <f>_xlfn.XLOOKUP(D509, Products!A:A, Products!C:C)</f>
        <v>Apparel</v>
      </c>
      <c r="N509" t="str">
        <f>_xlfn.XLOOKUP(E509, Sales_Reps!A:A, Sales_Reps!C:C)</f>
        <v>South</v>
      </c>
      <c r="O509">
        <f>_xlfn.XLOOKUP(D509, Products!A:A, Products!D:D)</f>
        <v>1173</v>
      </c>
      <c r="P509">
        <f>_xlfn.XLOOKUP(D509, Products!A:A, Products!E:E)</f>
        <v>2480</v>
      </c>
    </row>
    <row r="510" spans="1:16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 t="shared" si="7"/>
        <v>Chennai</v>
      </c>
      <c r="M510" t="str">
        <f>_xlfn.XLOOKUP(D510, Products!A:A, Products!C:C)</f>
        <v>Beauty</v>
      </c>
      <c r="N510" t="str">
        <f>_xlfn.XLOOKUP(E510, Sales_Reps!A:A, Sales_Reps!C:C)</f>
        <v>East</v>
      </c>
      <c r="O510">
        <f>_xlfn.XLOOKUP(D510, Products!A:A, Products!D:D)</f>
        <v>1222</v>
      </c>
      <c r="P510">
        <f>_xlfn.XLOOKUP(D510, Products!A:A, Products!E:E)</f>
        <v>1650</v>
      </c>
    </row>
    <row r="511" spans="1:16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 t="shared" si="7"/>
        <v>Hyderabad</v>
      </c>
      <c r="M511" t="str">
        <f>_xlfn.XLOOKUP(D511, Products!A:A, Products!C:C)</f>
        <v>Grocery</v>
      </c>
      <c r="N511" t="str">
        <f>_xlfn.XLOOKUP(E511, Sales_Reps!A:A, Sales_Reps!C:C)</f>
        <v>South</v>
      </c>
      <c r="O511">
        <f>_xlfn.XLOOKUP(D511, Products!A:A, Products!D:D)</f>
        <v>1010</v>
      </c>
      <c r="P511">
        <f>_xlfn.XLOOKUP(D511, Products!A:A, Products!E:E)</f>
        <v>2210</v>
      </c>
    </row>
    <row r="512" spans="1:16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 t="shared" si="7"/>
        <v>Pune</v>
      </c>
      <c r="M512" t="str">
        <f>_xlfn.XLOOKUP(D512, Products!A:A, Products!C:C)</f>
        <v>Apparel</v>
      </c>
      <c r="N512" t="str">
        <f>_xlfn.XLOOKUP(E512, Sales_Reps!A:A, Sales_Reps!C:C)</f>
        <v>North</v>
      </c>
      <c r="O512">
        <f>_xlfn.XLOOKUP(D512, Products!A:A, Products!D:D)</f>
        <v>1173</v>
      </c>
      <c r="P512">
        <f>_xlfn.XLOOKUP(D512, Products!A:A, Products!E:E)</f>
        <v>2480</v>
      </c>
    </row>
    <row r="513" spans="1:16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 t="shared" si="7"/>
        <v>Delhi</v>
      </c>
      <c r="M513" t="str">
        <f>_xlfn.XLOOKUP(D513, Products!A:A, Products!C:C)</f>
        <v>Electronics</v>
      </c>
      <c r="N513" t="str">
        <f>_xlfn.XLOOKUP(E513, Sales_Reps!A:A, Sales_Reps!C:C)</f>
        <v>East</v>
      </c>
      <c r="O513">
        <f>_xlfn.XLOOKUP(D513, Products!A:A, Products!D:D)</f>
        <v>2405</v>
      </c>
      <c r="P513">
        <f>_xlfn.XLOOKUP(D513, Products!A:A, Products!E:E)</f>
        <v>5330</v>
      </c>
    </row>
    <row r="514" spans="1:16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 t="shared" si="7"/>
        <v>Pune</v>
      </c>
      <c r="M514" t="str">
        <f>_xlfn.XLOOKUP(D514, Products!A:A, Products!C:C)</f>
        <v>Grocery</v>
      </c>
      <c r="N514" t="str">
        <f>_xlfn.XLOOKUP(E514, Sales_Reps!A:A, Sales_Reps!C:C)</f>
        <v>South</v>
      </c>
      <c r="O514">
        <f>_xlfn.XLOOKUP(D514, Products!A:A, Products!D:D)</f>
        <v>2027</v>
      </c>
      <c r="P514">
        <f>_xlfn.XLOOKUP(D514, Products!A:A, Products!E:E)</f>
        <v>4070</v>
      </c>
    </row>
    <row r="515" spans="1:16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 t="shared" ref="L515:L578" si="8">PROPER(TRIM(K515))</f>
        <v>Chennai</v>
      </c>
      <c r="M515" t="str">
        <f>_xlfn.XLOOKUP(D515, Products!A:A, Products!C:C)</f>
        <v>Apparel</v>
      </c>
      <c r="N515" t="str">
        <f>_xlfn.XLOOKUP(E515, Sales_Reps!A:A, Sales_Reps!C:C)</f>
        <v>North</v>
      </c>
      <c r="O515">
        <f>_xlfn.XLOOKUP(D515, Products!A:A, Products!D:D)</f>
        <v>1962</v>
      </c>
      <c r="P515">
        <f>_xlfn.XLOOKUP(D515, Products!A:A, Products!E:E)</f>
        <v>2720</v>
      </c>
    </row>
    <row r="516" spans="1:16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 t="shared" si="8"/>
        <v>Bengaluru</v>
      </c>
      <c r="M516" t="str">
        <f>_xlfn.XLOOKUP(D516, Products!A:A, Products!C:C)</f>
        <v>Sports</v>
      </c>
      <c r="N516" t="str">
        <f>_xlfn.XLOOKUP(E516, Sales_Reps!A:A, Sales_Reps!C:C)</f>
        <v>West</v>
      </c>
      <c r="O516">
        <f>_xlfn.XLOOKUP(D516, Products!A:A, Products!D:D)</f>
        <v>2028</v>
      </c>
      <c r="P516">
        <f>_xlfn.XLOOKUP(D516, Products!A:A, Products!E:E)</f>
        <v>2860</v>
      </c>
    </row>
    <row r="517" spans="1:16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 t="shared" si="8"/>
        <v>Hyderabad</v>
      </c>
      <c r="M517" t="str">
        <f>_xlfn.XLOOKUP(D517, Products!A:A, Products!C:C)</f>
        <v>Apparel</v>
      </c>
      <c r="N517" t="str">
        <f>_xlfn.XLOOKUP(E517, Sales_Reps!A:A, Sales_Reps!C:C)</f>
        <v>South</v>
      </c>
      <c r="O517">
        <f>_xlfn.XLOOKUP(D517, Products!A:A, Products!D:D)</f>
        <v>2509</v>
      </c>
      <c r="P517">
        <f>_xlfn.XLOOKUP(D517, Products!A:A, Products!E:E)</f>
        <v>3620</v>
      </c>
    </row>
    <row r="518" spans="1:16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 t="shared" si="8"/>
        <v>Bengaluru</v>
      </c>
      <c r="M518" t="str">
        <f>_xlfn.XLOOKUP(D518, Products!A:A, Products!C:C)</f>
        <v>Beauty</v>
      </c>
      <c r="N518" t="str">
        <f>_xlfn.XLOOKUP(E518, Sales_Reps!A:A, Sales_Reps!C:C)</f>
        <v>East</v>
      </c>
      <c r="O518">
        <f>_xlfn.XLOOKUP(D518, Products!A:A, Products!D:D)</f>
        <v>1222</v>
      </c>
      <c r="P518">
        <f>_xlfn.XLOOKUP(D518, Products!A:A, Products!E:E)</f>
        <v>1650</v>
      </c>
    </row>
    <row r="519" spans="1:16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 t="shared" si="8"/>
        <v>Hyderabad</v>
      </c>
      <c r="M519" t="str">
        <f>_xlfn.XLOOKUP(D519, Products!A:A, Products!C:C)</f>
        <v>Sports</v>
      </c>
      <c r="N519" t="str">
        <f>_xlfn.XLOOKUP(E519, Sales_Reps!A:A, Sales_Reps!C:C)</f>
        <v>West</v>
      </c>
      <c r="O519">
        <f>_xlfn.XLOOKUP(D519, Products!A:A, Products!D:D)</f>
        <v>147</v>
      </c>
      <c r="P519">
        <f>_xlfn.XLOOKUP(D519, Products!A:A, Products!E:E)</f>
        <v>190</v>
      </c>
    </row>
    <row r="520" spans="1:16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 t="shared" si="8"/>
        <v>Mumbai</v>
      </c>
      <c r="M520" t="str">
        <f>_xlfn.XLOOKUP(D520, Products!A:A, Products!C:C)</f>
        <v>Beauty</v>
      </c>
      <c r="N520" t="str">
        <f>_xlfn.XLOOKUP(E520, Sales_Reps!A:A, Sales_Reps!C:C)</f>
        <v>West</v>
      </c>
      <c r="O520">
        <f>_xlfn.XLOOKUP(D520, Products!A:A, Products!D:D)</f>
        <v>1219</v>
      </c>
      <c r="P520">
        <f>_xlfn.XLOOKUP(D520, Products!A:A, Products!E:E)</f>
        <v>2290</v>
      </c>
    </row>
    <row r="521" spans="1:16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 t="shared" si="8"/>
        <v>Chennai</v>
      </c>
      <c r="M521" t="str">
        <f>_xlfn.XLOOKUP(D521, Products!A:A, Products!C:C)</f>
        <v>Electronics</v>
      </c>
      <c r="N521" t="str">
        <f>_xlfn.XLOOKUP(E521, Sales_Reps!A:A, Sales_Reps!C:C)</f>
        <v>East</v>
      </c>
      <c r="O521">
        <f>_xlfn.XLOOKUP(D521, Products!A:A, Products!D:D)</f>
        <v>2405</v>
      </c>
      <c r="P521">
        <f>_xlfn.XLOOKUP(D521, Products!A:A, Products!E:E)</f>
        <v>5330</v>
      </c>
    </row>
    <row r="522" spans="1:16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 t="shared" si="8"/>
        <v>Mumbai</v>
      </c>
      <c r="M522" t="str">
        <f>_xlfn.XLOOKUP(D522, Products!A:A, Products!C:C)</f>
        <v>Electronics</v>
      </c>
      <c r="N522" t="str">
        <f>_xlfn.XLOOKUP(E522, Sales_Reps!A:A, Sales_Reps!C:C)</f>
        <v>South</v>
      </c>
      <c r="O522">
        <f>_xlfn.XLOOKUP(D522, Products!A:A, Products!D:D)</f>
        <v>2405</v>
      </c>
      <c r="P522">
        <f>_xlfn.XLOOKUP(D522, Products!A:A, Products!E:E)</f>
        <v>5330</v>
      </c>
    </row>
    <row r="523" spans="1:16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 t="shared" si="8"/>
        <v>Chennai</v>
      </c>
      <c r="M523" t="str">
        <f>_xlfn.XLOOKUP(D523, Products!A:A, Products!C:C)</f>
        <v>Home</v>
      </c>
      <c r="N523" t="str">
        <f>_xlfn.XLOOKUP(E523, Sales_Reps!A:A, Sales_Reps!C:C)</f>
        <v>North</v>
      </c>
      <c r="O523">
        <f>_xlfn.XLOOKUP(D523, Products!A:A, Products!D:D)</f>
        <v>2459</v>
      </c>
      <c r="P523">
        <f>_xlfn.XLOOKUP(D523, Products!A:A, Products!E:E)</f>
        <v>5080</v>
      </c>
    </row>
    <row r="524" spans="1:16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 t="shared" si="8"/>
        <v>Pune</v>
      </c>
      <c r="M524" t="str">
        <f>_xlfn.XLOOKUP(D524, Products!A:A, Products!C:C)</f>
        <v>Home</v>
      </c>
      <c r="N524" t="str">
        <f>_xlfn.XLOOKUP(E524, Sales_Reps!A:A, Sales_Reps!C:C)</f>
        <v>North</v>
      </c>
      <c r="O524">
        <f>_xlfn.XLOOKUP(D524, Products!A:A, Products!D:D)</f>
        <v>288</v>
      </c>
      <c r="P524">
        <f>_xlfn.XLOOKUP(D524, Products!A:A, Products!E:E)</f>
        <v>370</v>
      </c>
    </row>
    <row r="525" spans="1:16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 t="shared" si="8"/>
        <v>Chennai</v>
      </c>
      <c r="M525" t="str">
        <f>_xlfn.XLOOKUP(D525, Products!A:A, Products!C:C)</f>
        <v>Sports</v>
      </c>
      <c r="N525" t="str">
        <f>_xlfn.XLOOKUP(E525, Sales_Reps!A:A, Sales_Reps!C:C)</f>
        <v>South</v>
      </c>
      <c r="O525">
        <f>_xlfn.XLOOKUP(D525, Products!A:A, Products!D:D)</f>
        <v>302</v>
      </c>
      <c r="P525">
        <f>_xlfn.XLOOKUP(D525, Products!A:A, Products!E:E)</f>
        <v>470</v>
      </c>
    </row>
    <row r="526" spans="1:16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 t="shared" si="8"/>
        <v>Mumbai</v>
      </c>
      <c r="M526" t="str">
        <f>_xlfn.XLOOKUP(D526, Products!A:A, Products!C:C)</f>
        <v>Sports</v>
      </c>
      <c r="N526" t="str">
        <f>_xlfn.XLOOKUP(E526, Sales_Reps!A:A, Sales_Reps!C:C)</f>
        <v>West</v>
      </c>
      <c r="O526">
        <f>_xlfn.XLOOKUP(D526, Products!A:A, Products!D:D)</f>
        <v>2265</v>
      </c>
      <c r="P526">
        <f>_xlfn.XLOOKUP(D526, Products!A:A, Products!E:E)</f>
        <v>5410</v>
      </c>
    </row>
    <row r="527" spans="1:16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 t="shared" si="8"/>
        <v>Hyderabad</v>
      </c>
      <c r="M527" t="str">
        <f>_xlfn.XLOOKUP(D527, Products!A:A, Products!C:C)</f>
        <v>Apparel</v>
      </c>
      <c r="N527" t="str">
        <f>_xlfn.XLOOKUP(E527, Sales_Reps!A:A, Sales_Reps!C:C)</f>
        <v>North</v>
      </c>
      <c r="O527">
        <f>_xlfn.XLOOKUP(D527, Products!A:A, Products!D:D)</f>
        <v>2509</v>
      </c>
      <c r="P527">
        <f>_xlfn.XLOOKUP(D527, Products!A:A, Products!E:E)</f>
        <v>3620</v>
      </c>
    </row>
    <row r="528" spans="1:16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 t="shared" si="8"/>
        <v>Delhi</v>
      </c>
      <c r="M528" t="str">
        <f>_xlfn.XLOOKUP(D528, Products!A:A, Products!C:C)</f>
        <v>Grocery</v>
      </c>
      <c r="N528" t="str">
        <f>_xlfn.XLOOKUP(E528, Sales_Reps!A:A, Sales_Reps!C:C)</f>
        <v>West</v>
      </c>
      <c r="O528">
        <f>_xlfn.XLOOKUP(D528, Products!A:A, Products!D:D)</f>
        <v>1435</v>
      </c>
      <c r="P528">
        <f>_xlfn.XLOOKUP(D528, Products!A:A, Products!E:E)</f>
        <v>2760</v>
      </c>
    </row>
    <row r="529" spans="1:16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 t="shared" si="8"/>
        <v>Mumbai</v>
      </c>
      <c r="M529" t="str">
        <f>_xlfn.XLOOKUP(D529, Products!A:A, Products!C:C)</f>
        <v>Beauty</v>
      </c>
      <c r="N529" t="str">
        <f>_xlfn.XLOOKUP(E529, Sales_Reps!A:A, Sales_Reps!C:C)</f>
        <v>North</v>
      </c>
      <c r="O529">
        <f>_xlfn.XLOOKUP(D529, Products!A:A, Products!D:D)</f>
        <v>2420</v>
      </c>
      <c r="P529">
        <f>_xlfn.XLOOKUP(D529, Products!A:A, Products!E:E)</f>
        <v>3450</v>
      </c>
    </row>
    <row r="530" spans="1:16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 t="shared" si="8"/>
        <v>Delhi</v>
      </c>
      <c r="M530" t="str">
        <f>_xlfn.XLOOKUP(D530, Products!A:A, Products!C:C)</f>
        <v>Grocery</v>
      </c>
      <c r="N530" t="str">
        <f>_xlfn.XLOOKUP(E530, Sales_Reps!A:A, Sales_Reps!C:C)</f>
        <v>West</v>
      </c>
      <c r="O530">
        <f>_xlfn.XLOOKUP(D530, Products!A:A, Products!D:D)</f>
        <v>2214</v>
      </c>
      <c r="P530">
        <f>_xlfn.XLOOKUP(D530, Products!A:A, Products!E:E)</f>
        <v>3660</v>
      </c>
    </row>
    <row r="531" spans="1:16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 t="shared" si="8"/>
        <v>Mumbai</v>
      </c>
      <c r="M531" t="str">
        <f>_xlfn.XLOOKUP(D531, Products!A:A, Products!C:C)</f>
        <v>Electronics</v>
      </c>
      <c r="N531" t="str">
        <f>_xlfn.XLOOKUP(E531, Sales_Reps!A:A, Sales_Reps!C:C)</f>
        <v>West</v>
      </c>
      <c r="O531">
        <f>_xlfn.XLOOKUP(D531, Products!A:A, Products!D:D)</f>
        <v>1665</v>
      </c>
      <c r="P531">
        <f>_xlfn.XLOOKUP(D531, Products!A:A, Products!E:E)</f>
        <v>3570</v>
      </c>
    </row>
    <row r="532" spans="1:16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 t="shared" si="8"/>
        <v>Delhi</v>
      </c>
      <c r="M532" t="str">
        <f>_xlfn.XLOOKUP(D532, Products!A:A, Products!C:C)</f>
        <v>Home</v>
      </c>
      <c r="N532" t="str">
        <f>_xlfn.XLOOKUP(E532, Sales_Reps!A:A, Sales_Reps!C:C)</f>
        <v>South</v>
      </c>
      <c r="O532">
        <f>_xlfn.XLOOKUP(D532, Products!A:A, Products!D:D)</f>
        <v>464</v>
      </c>
      <c r="P532">
        <f>_xlfn.XLOOKUP(D532, Products!A:A, Products!E:E)</f>
        <v>1090</v>
      </c>
    </row>
    <row r="533" spans="1:16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 t="shared" si="8"/>
        <v>Pune</v>
      </c>
      <c r="M533" t="str">
        <f>_xlfn.XLOOKUP(D533, Products!A:A, Products!C:C)</f>
        <v>Apparel</v>
      </c>
      <c r="N533" t="str">
        <f>_xlfn.XLOOKUP(E533, Sales_Reps!A:A, Sales_Reps!C:C)</f>
        <v>East</v>
      </c>
      <c r="O533">
        <f>_xlfn.XLOOKUP(D533, Products!A:A, Products!D:D)</f>
        <v>2509</v>
      </c>
      <c r="P533">
        <f>_xlfn.XLOOKUP(D533, Products!A:A, Products!E:E)</f>
        <v>3620</v>
      </c>
    </row>
    <row r="534" spans="1:16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 t="shared" si="8"/>
        <v>Delhi</v>
      </c>
      <c r="M534" t="str">
        <f>_xlfn.XLOOKUP(D534, Products!A:A, Products!C:C)</f>
        <v>Beauty</v>
      </c>
      <c r="N534" t="str">
        <f>_xlfn.XLOOKUP(E534, Sales_Reps!A:A, Sales_Reps!C:C)</f>
        <v>South</v>
      </c>
      <c r="O534">
        <f>_xlfn.XLOOKUP(D534, Products!A:A, Products!D:D)</f>
        <v>2768</v>
      </c>
      <c r="P534">
        <f>_xlfn.XLOOKUP(D534, Products!A:A, Products!E:E)</f>
        <v>4880</v>
      </c>
    </row>
    <row r="535" spans="1:16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 t="shared" si="8"/>
        <v>Pune</v>
      </c>
      <c r="M535" t="str">
        <f>_xlfn.XLOOKUP(D535, Products!A:A, Products!C:C)</f>
        <v>Sports</v>
      </c>
      <c r="N535" t="str">
        <f>_xlfn.XLOOKUP(E535, Sales_Reps!A:A, Sales_Reps!C:C)</f>
        <v>West</v>
      </c>
      <c r="O535">
        <f>_xlfn.XLOOKUP(D535, Products!A:A, Products!D:D)</f>
        <v>302</v>
      </c>
      <c r="P535">
        <f>_xlfn.XLOOKUP(D535, Products!A:A, Products!E:E)</f>
        <v>470</v>
      </c>
    </row>
    <row r="536" spans="1:16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 t="shared" si="8"/>
        <v>Bengaluru</v>
      </c>
      <c r="M536" t="str">
        <f>_xlfn.XLOOKUP(D536, Products!A:A, Products!C:C)</f>
        <v>Beauty</v>
      </c>
      <c r="N536" t="str">
        <f>_xlfn.XLOOKUP(E536, Sales_Reps!A:A, Sales_Reps!C:C)</f>
        <v>East</v>
      </c>
      <c r="O536">
        <f>_xlfn.XLOOKUP(D536, Products!A:A, Products!D:D)</f>
        <v>1219</v>
      </c>
      <c r="P536">
        <f>_xlfn.XLOOKUP(D536, Products!A:A, Products!E:E)</f>
        <v>2290</v>
      </c>
    </row>
    <row r="537" spans="1:16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 t="shared" si="8"/>
        <v>Pune</v>
      </c>
      <c r="M537" t="str">
        <f>_xlfn.XLOOKUP(D537, Products!A:A, Products!C:C)</f>
        <v>Grocery</v>
      </c>
      <c r="N537" t="str">
        <f>_xlfn.XLOOKUP(E537, Sales_Reps!A:A, Sales_Reps!C:C)</f>
        <v>South</v>
      </c>
      <c r="O537">
        <f>_xlfn.XLOOKUP(D537, Products!A:A, Products!D:D)</f>
        <v>1182</v>
      </c>
      <c r="P537">
        <f>_xlfn.XLOOKUP(D537, Products!A:A, Products!E:E)</f>
        <v>2380</v>
      </c>
    </row>
    <row r="538" spans="1:16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 t="shared" si="8"/>
        <v>Mumbai</v>
      </c>
      <c r="M538" t="str">
        <f>_xlfn.XLOOKUP(D538, Products!A:A, Products!C:C)</f>
        <v>Grocery</v>
      </c>
      <c r="N538" t="str">
        <f>_xlfn.XLOOKUP(E538, Sales_Reps!A:A, Sales_Reps!C:C)</f>
        <v>North</v>
      </c>
      <c r="O538">
        <f>_xlfn.XLOOKUP(D538, Products!A:A, Products!D:D)</f>
        <v>1182</v>
      </c>
      <c r="P538">
        <f>_xlfn.XLOOKUP(D538, Products!A:A, Products!E:E)</f>
        <v>2380</v>
      </c>
    </row>
    <row r="539" spans="1:16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 t="shared" si="8"/>
        <v>Bengaluru</v>
      </c>
      <c r="M539" t="str">
        <f>_xlfn.XLOOKUP(D539, Products!A:A, Products!C:C)</f>
        <v>Sports</v>
      </c>
      <c r="N539" t="str">
        <f>_xlfn.XLOOKUP(E539, Sales_Reps!A:A, Sales_Reps!C:C)</f>
        <v>South</v>
      </c>
      <c r="O539">
        <f>_xlfn.XLOOKUP(D539, Products!A:A, Products!D:D)</f>
        <v>2265</v>
      </c>
      <c r="P539">
        <f>_xlfn.XLOOKUP(D539, Products!A:A, Products!E:E)</f>
        <v>5410</v>
      </c>
    </row>
    <row r="540" spans="1:16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 t="shared" si="8"/>
        <v>Bengaluru</v>
      </c>
      <c r="M540" t="str">
        <f>_xlfn.XLOOKUP(D540, Products!A:A, Products!C:C)</f>
        <v>Electronics</v>
      </c>
      <c r="N540" t="str">
        <f>_xlfn.XLOOKUP(E540, Sales_Reps!A:A, Sales_Reps!C:C)</f>
        <v>North</v>
      </c>
      <c r="O540">
        <f>_xlfn.XLOOKUP(D540, Products!A:A, Products!D:D)</f>
        <v>861</v>
      </c>
      <c r="P540">
        <f>_xlfn.XLOOKUP(D540, Products!A:A, Products!E:E)</f>
        <v>1430</v>
      </c>
    </row>
    <row r="541" spans="1:16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 t="shared" si="8"/>
        <v>Bengaluru</v>
      </c>
      <c r="M541" t="str">
        <f>_xlfn.XLOOKUP(D541, Products!A:A, Products!C:C)</f>
        <v>Sports</v>
      </c>
      <c r="N541" t="str">
        <f>_xlfn.XLOOKUP(E541, Sales_Reps!A:A, Sales_Reps!C:C)</f>
        <v>West</v>
      </c>
      <c r="O541">
        <f>_xlfn.XLOOKUP(D541, Products!A:A, Products!D:D)</f>
        <v>974</v>
      </c>
      <c r="P541">
        <f>_xlfn.XLOOKUP(D541, Products!A:A, Products!E:E)</f>
        <v>2400</v>
      </c>
    </row>
    <row r="542" spans="1:16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 t="shared" si="8"/>
        <v>Chennai</v>
      </c>
      <c r="M542" t="str">
        <f>_xlfn.XLOOKUP(D542, Products!A:A, Products!C:C)</f>
        <v>Grocery</v>
      </c>
      <c r="N542" t="str">
        <f>_xlfn.XLOOKUP(E542, Sales_Reps!A:A, Sales_Reps!C:C)</f>
        <v>North</v>
      </c>
      <c r="O542">
        <f>_xlfn.XLOOKUP(D542, Products!A:A, Products!D:D)</f>
        <v>2436</v>
      </c>
      <c r="P542">
        <f>_xlfn.XLOOKUP(D542, Products!A:A, Products!E:E)</f>
        <v>3780</v>
      </c>
    </row>
    <row r="543" spans="1:16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 t="shared" si="8"/>
        <v>Mumbai</v>
      </c>
      <c r="M543" t="str">
        <f>_xlfn.XLOOKUP(D543, Products!A:A, Products!C:C)</f>
        <v>Apparel</v>
      </c>
      <c r="N543" t="str">
        <f>_xlfn.XLOOKUP(E543, Sales_Reps!A:A, Sales_Reps!C:C)</f>
        <v>East</v>
      </c>
      <c r="O543">
        <f>_xlfn.XLOOKUP(D543, Products!A:A, Products!D:D)</f>
        <v>396</v>
      </c>
      <c r="P543">
        <f>_xlfn.XLOOKUP(D543, Products!A:A, Products!E:E)</f>
        <v>620</v>
      </c>
    </row>
    <row r="544" spans="1:16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 t="shared" si="8"/>
        <v>Delhi</v>
      </c>
      <c r="M544" t="str">
        <f>_xlfn.XLOOKUP(D544, Products!A:A, Products!C:C)</f>
        <v>Sports</v>
      </c>
      <c r="N544" t="str">
        <f>_xlfn.XLOOKUP(E544, Sales_Reps!A:A, Sales_Reps!C:C)</f>
        <v>North</v>
      </c>
      <c r="O544">
        <f>_xlfn.XLOOKUP(D544, Products!A:A, Products!D:D)</f>
        <v>147</v>
      </c>
      <c r="P544">
        <f>_xlfn.XLOOKUP(D544, Products!A:A, Products!E:E)</f>
        <v>190</v>
      </c>
    </row>
    <row r="545" spans="1:16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 t="shared" si="8"/>
        <v>Bengaluru</v>
      </c>
      <c r="M545" t="str">
        <f>_xlfn.XLOOKUP(D545, Products!A:A, Products!C:C)</f>
        <v>Apparel</v>
      </c>
      <c r="N545" t="str">
        <f>_xlfn.XLOOKUP(E545, Sales_Reps!A:A, Sales_Reps!C:C)</f>
        <v>East</v>
      </c>
      <c r="O545">
        <f>_xlfn.XLOOKUP(D545, Products!A:A, Products!D:D)</f>
        <v>2509</v>
      </c>
      <c r="P545">
        <f>_xlfn.XLOOKUP(D545, Products!A:A, Products!E:E)</f>
        <v>3620</v>
      </c>
    </row>
    <row r="546" spans="1:16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 t="shared" si="8"/>
        <v>Hyderabad</v>
      </c>
      <c r="M546" t="str">
        <f>_xlfn.XLOOKUP(D546, Products!A:A, Products!C:C)</f>
        <v>Sports</v>
      </c>
      <c r="N546" t="str">
        <f>_xlfn.XLOOKUP(E546, Sales_Reps!A:A, Sales_Reps!C:C)</f>
        <v>East</v>
      </c>
      <c r="O546">
        <f>_xlfn.XLOOKUP(D546, Products!A:A, Products!D:D)</f>
        <v>2028</v>
      </c>
      <c r="P546">
        <f>_xlfn.XLOOKUP(D546, Products!A:A, Products!E:E)</f>
        <v>2860</v>
      </c>
    </row>
    <row r="547" spans="1:16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 t="shared" si="8"/>
        <v>Delhi</v>
      </c>
      <c r="M547" t="str">
        <f>_xlfn.XLOOKUP(D547, Products!A:A, Products!C:C)</f>
        <v>Sports</v>
      </c>
      <c r="N547" t="str">
        <f>_xlfn.XLOOKUP(E547, Sales_Reps!A:A, Sales_Reps!C:C)</f>
        <v>East</v>
      </c>
      <c r="O547">
        <f>_xlfn.XLOOKUP(D547, Products!A:A, Products!D:D)</f>
        <v>974</v>
      </c>
      <c r="P547">
        <f>_xlfn.XLOOKUP(D547, Products!A:A, Products!E:E)</f>
        <v>2400</v>
      </c>
    </row>
    <row r="548" spans="1:16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 t="shared" si="8"/>
        <v>Bengaluru</v>
      </c>
      <c r="M548" t="str">
        <f>_xlfn.XLOOKUP(D548, Products!A:A, Products!C:C)</f>
        <v>Home</v>
      </c>
      <c r="N548" t="str">
        <f>_xlfn.XLOOKUP(E548, Sales_Reps!A:A, Sales_Reps!C:C)</f>
        <v>South</v>
      </c>
      <c r="O548">
        <f>_xlfn.XLOOKUP(D548, Products!A:A, Products!D:D)</f>
        <v>2459</v>
      </c>
      <c r="P548">
        <f>_xlfn.XLOOKUP(D548, Products!A:A, Products!E:E)</f>
        <v>5080</v>
      </c>
    </row>
    <row r="549" spans="1:16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 t="shared" si="8"/>
        <v>Hyderabad</v>
      </c>
      <c r="M549" t="str">
        <f>_xlfn.XLOOKUP(D549, Products!A:A, Products!C:C)</f>
        <v>Home</v>
      </c>
      <c r="N549" t="str">
        <f>_xlfn.XLOOKUP(E549, Sales_Reps!A:A, Sales_Reps!C:C)</f>
        <v>South</v>
      </c>
      <c r="O549">
        <f>_xlfn.XLOOKUP(D549, Products!A:A, Products!D:D)</f>
        <v>2459</v>
      </c>
      <c r="P549">
        <f>_xlfn.XLOOKUP(D549, Products!A:A, Products!E:E)</f>
        <v>5080</v>
      </c>
    </row>
    <row r="550" spans="1:16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 t="shared" si="8"/>
        <v>Mumbai</v>
      </c>
      <c r="M550" t="str">
        <f>_xlfn.XLOOKUP(D550, Products!A:A, Products!C:C)</f>
        <v>Sports</v>
      </c>
      <c r="N550" t="str">
        <f>_xlfn.XLOOKUP(E550, Sales_Reps!A:A, Sales_Reps!C:C)</f>
        <v>North</v>
      </c>
      <c r="O550">
        <f>_xlfn.XLOOKUP(D550, Products!A:A, Products!D:D)</f>
        <v>705</v>
      </c>
      <c r="P550">
        <f>_xlfn.XLOOKUP(D550, Products!A:A, Products!E:E)</f>
        <v>960</v>
      </c>
    </row>
    <row r="551" spans="1:16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 t="shared" si="8"/>
        <v>Delhi</v>
      </c>
      <c r="M551" t="str">
        <f>_xlfn.XLOOKUP(D551, Products!A:A, Products!C:C)</f>
        <v>Grocery</v>
      </c>
      <c r="N551" t="str">
        <f>_xlfn.XLOOKUP(E551, Sales_Reps!A:A, Sales_Reps!C:C)</f>
        <v>West</v>
      </c>
      <c r="O551">
        <f>_xlfn.XLOOKUP(D551, Products!A:A, Products!D:D)</f>
        <v>2214</v>
      </c>
      <c r="P551">
        <f>_xlfn.XLOOKUP(D551, Products!A:A, Products!E:E)</f>
        <v>3660</v>
      </c>
    </row>
    <row r="552" spans="1:16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 t="shared" si="8"/>
        <v>Pune</v>
      </c>
      <c r="M552" t="str">
        <f>_xlfn.XLOOKUP(D552, Products!A:A, Products!C:C)</f>
        <v>Electronics</v>
      </c>
      <c r="N552" t="str">
        <f>_xlfn.XLOOKUP(E552, Sales_Reps!A:A, Sales_Reps!C:C)</f>
        <v>South</v>
      </c>
      <c r="O552">
        <f>_xlfn.XLOOKUP(D552, Products!A:A, Products!D:D)</f>
        <v>1149</v>
      </c>
      <c r="P552">
        <f>_xlfn.XLOOKUP(D552, Products!A:A, Products!E:E)</f>
        <v>2640</v>
      </c>
    </row>
    <row r="553" spans="1:16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 t="shared" si="8"/>
        <v>Chennai</v>
      </c>
      <c r="M553" t="str">
        <f>_xlfn.XLOOKUP(D553, Products!A:A, Products!C:C)</f>
        <v>Electronics</v>
      </c>
      <c r="N553" t="str">
        <f>_xlfn.XLOOKUP(E553, Sales_Reps!A:A, Sales_Reps!C:C)</f>
        <v>South</v>
      </c>
      <c r="O553">
        <f>_xlfn.XLOOKUP(D553, Products!A:A, Products!D:D)</f>
        <v>517</v>
      </c>
      <c r="P553">
        <f>_xlfn.XLOOKUP(D553, Products!A:A, Products!E:E)</f>
        <v>1220</v>
      </c>
    </row>
    <row r="554" spans="1:16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 t="shared" si="8"/>
        <v>Bengaluru</v>
      </c>
      <c r="M554" t="str">
        <f>_xlfn.XLOOKUP(D554, Products!A:A, Products!C:C)</f>
        <v>Electronics</v>
      </c>
      <c r="N554" t="str">
        <f>_xlfn.XLOOKUP(E554, Sales_Reps!A:A, Sales_Reps!C:C)</f>
        <v>South</v>
      </c>
      <c r="O554">
        <f>_xlfn.XLOOKUP(D554, Products!A:A, Products!D:D)</f>
        <v>128</v>
      </c>
      <c r="P554">
        <f>_xlfn.XLOOKUP(D554, Products!A:A, Products!E:E)</f>
        <v>300</v>
      </c>
    </row>
    <row r="555" spans="1:16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 t="shared" si="8"/>
        <v>Hyderabad</v>
      </c>
      <c r="M555" t="str">
        <f>_xlfn.XLOOKUP(D555, Products!A:A, Products!C:C)</f>
        <v>Sports</v>
      </c>
      <c r="N555" t="str">
        <f>_xlfn.XLOOKUP(E555, Sales_Reps!A:A, Sales_Reps!C:C)</f>
        <v>East</v>
      </c>
      <c r="O555">
        <f>_xlfn.XLOOKUP(D555, Products!A:A, Products!D:D)</f>
        <v>516</v>
      </c>
      <c r="P555">
        <f>_xlfn.XLOOKUP(D555, Products!A:A, Products!E:E)</f>
        <v>1010</v>
      </c>
    </row>
    <row r="556" spans="1:16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 t="shared" si="8"/>
        <v>Delhi</v>
      </c>
      <c r="M556" t="str">
        <f>_xlfn.XLOOKUP(D556, Products!A:A, Products!C:C)</f>
        <v>Electronics</v>
      </c>
      <c r="N556" t="str">
        <f>_xlfn.XLOOKUP(E556, Sales_Reps!A:A, Sales_Reps!C:C)</f>
        <v>South</v>
      </c>
      <c r="O556">
        <f>_xlfn.XLOOKUP(D556, Products!A:A, Products!D:D)</f>
        <v>1052</v>
      </c>
      <c r="P556">
        <f>_xlfn.XLOOKUP(D556, Products!A:A, Products!E:E)</f>
        <v>2600</v>
      </c>
    </row>
    <row r="557" spans="1:16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 t="shared" si="8"/>
        <v>Mumbai</v>
      </c>
      <c r="M557" t="str">
        <f>_xlfn.XLOOKUP(D557, Products!A:A, Products!C:C)</f>
        <v>Sports</v>
      </c>
      <c r="N557" t="str">
        <f>_xlfn.XLOOKUP(E557, Sales_Reps!A:A, Sales_Reps!C:C)</f>
        <v>West</v>
      </c>
      <c r="O557">
        <f>_xlfn.XLOOKUP(D557, Products!A:A, Products!D:D)</f>
        <v>2827</v>
      </c>
      <c r="P557">
        <f>_xlfn.XLOOKUP(D557, Products!A:A, Products!E:E)</f>
        <v>6940</v>
      </c>
    </row>
    <row r="558" spans="1:16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 t="shared" si="8"/>
        <v>Bengaluru</v>
      </c>
      <c r="M558" t="str">
        <f>_xlfn.XLOOKUP(D558, Products!A:A, Products!C:C)</f>
        <v>Home</v>
      </c>
      <c r="N558" t="str">
        <f>_xlfn.XLOOKUP(E558, Sales_Reps!A:A, Sales_Reps!C:C)</f>
        <v>South</v>
      </c>
      <c r="O558">
        <f>_xlfn.XLOOKUP(D558, Products!A:A, Products!D:D)</f>
        <v>288</v>
      </c>
      <c r="P558">
        <f>_xlfn.XLOOKUP(D558, Products!A:A, Products!E:E)</f>
        <v>370</v>
      </c>
    </row>
    <row r="559" spans="1:16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 t="shared" si="8"/>
        <v>Mumbai</v>
      </c>
      <c r="M559" t="str">
        <f>_xlfn.XLOOKUP(D559, Products!A:A, Products!C:C)</f>
        <v>Grocery</v>
      </c>
      <c r="N559" t="str">
        <f>_xlfn.XLOOKUP(E559, Sales_Reps!A:A, Sales_Reps!C:C)</f>
        <v>West</v>
      </c>
      <c r="O559">
        <f>_xlfn.XLOOKUP(D559, Products!A:A, Products!D:D)</f>
        <v>2436</v>
      </c>
      <c r="P559">
        <f>_xlfn.XLOOKUP(D559, Products!A:A, Products!E:E)</f>
        <v>3780</v>
      </c>
    </row>
    <row r="560" spans="1:16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 t="shared" si="8"/>
        <v>Pune</v>
      </c>
      <c r="M560" t="str">
        <f>_xlfn.XLOOKUP(D560, Products!A:A, Products!C:C)</f>
        <v>Grocery</v>
      </c>
      <c r="N560" t="str">
        <f>_xlfn.XLOOKUP(E560, Sales_Reps!A:A, Sales_Reps!C:C)</f>
        <v>East</v>
      </c>
      <c r="O560">
        <f>_xlfn.XLOOKUP(D560, Products!A:A, Products!D:D)</f>
        <v>434</v>
      </c>
      <c r="P560">
        <f>_xlfn.XLOOKUP(D560, Products!A:A, Products!E:E)</f>
        <v>970</v>
      </c>
    </row>
    <row r="561" spans="1:16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 t="shared" si="8"/>
        <v>Pune</v>
      </c>
      <c r="M561" t="str">
        <f>_xlfn.XLOOKUP(D561, Products!A:A, Products!C:C)</f>
        <v>Grocery</v>
      </c>
      <c r="N561" t="str">
        <f>_xlfn.XLOOKUP(E561, Sales_Reps!A:A, Sales_Reps!C:C)</f>
        <v>North</v>
      </c>
      <c r="O561">
        <f>_xlfn.XLOOKUP(D561, Products!A:A, Products!D:D)</f>
        <v>1412</v>
      </c>
      <c r="P561">
        <f>_xlfn.XLOOKUP(D561, Products!A:A, Products!E:E)</f>
        <v>2270</v>
      </c>
    </row>
    <row r="562" spans="1:16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 t="shared" si="8"/>
        <v>Chennai</v>
      </c>
      <c r="M562" t="str">
        <f>_xlfn.XLOOKUP(D562, Products!A:A, Products!C:C)</f>
        <v>Beauty</v>
      </c>
      <c r="N562" t="str">
        <f>_xlfn.XLOOKUP(E562, Sales_Reps!A:A, Sales_Reps!C:C)</f>
        <v>West</v>
      </c>
      <c r="O562">
        <f>_xlfn.XLOOKUP(D562, Products!A:A, Products!D:D)</f>
        <v>647</v>
      </c>
      <c r="P562">
        <f>_xlfn.XLOOKUP(D562, Products!A:A, Products!E:E)</f>
        <v>1540</v>
      </c>
    </row>
    <row r="563" spans="1:16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 t="shared" si="8"/>
        <v>Chennai</v>
      </c>
      <c r="M563" t="str">
        <f>_xlfn.XLOOKUP(D563, Products!A:A, Products!C:C)</f>
        <v>Grocery</v>
      </c>
      <c r="N563" t="str">
        <f>_xlfn.XLOOKUP(E563, Sales_Reps!A:A, Sales_Reps!C:C)</f>
        <v>East</v>
      </c>
      <c r="O563">
        <f>_xlfn.XLOOKUP(D563, Products!A:A, Products!D:D)</f>
        <v>1435</v>
      </c>
      <c r="P563">
        <f>_xlfn.XLOOKUP(D563, Products!A:A, Products!E:E)</f>
        <v>2760</v>
      </c>
    </row>
    <row r="564" spans="1:16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 t="shared" si="8"/>
        <v>Bengaluru</v>
      </c>
      <c r="M564" t="str">
        <f>_xlfn.XLOOKUP(D564, Products!A:A, Products!C:C)</f>
        <v>Grocery</v>
      </c>
      <c r="N564" t="str">
        <f>_xlfn.XLOOKUP(E564, Sales_Reps!A:A, Sales_Reps!C:C)</f>
        <v>West</v>
      </c>
      <c r="O564">
        <f>_xlfn.XLOOKUP(D564, Products!A:A, Products!D:D)</f>
        <v>1203</v>
      </c>
      <c r="P564">
        <f>_xlfn.XLOOKUP(D564, Products!A:A, Products!E:E)</f>
        <v>2270</v>
      </c>
    </row>
    <row r="565" spans="1:16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 t="shared" si="8"/>
        <v>Bengaluru</v>
      </c>
      <c r="M565" t="str">
        <f>_xlfn.XLOOKUP(D565, Products!A:A, Products!C:C)</f>
        <v>Beauty</v>
      </c>
      <c r="N565" t="str">
        <f>_xlfn.XLOOKUP(E565, Sales_Reps!A:A, Sales_Reps!C:C)</f>
        <v>South</v>
      </c>
      <c r="O565">
        <f>_xlfn.XLOOKUP(D565, Products!A:A, Products!D:D)</f>
        <v>1626</v>
      </c>
      <c r="P565">
        <f>_xlfn.XLOOKUP(D565, Products!A:A, Products!E:E)</f>
        <v>3020</v>
      </c>
    </row>
    <row r="566" spans="1:16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 t="shared" si="8"/>
        <v>Pune</v>
      </c>
      <c r="M566" t="str">
        <f>_xlfn.XLOOKUP(D566, Products!A:A, Products!C:C)</f>
        <v>Grocery</v>
      </c>
      <c r="N566" t="str">
        <f>_xlfn.XLOOKUP(E566, Sales_Reps!A:A, Sales_Reps!C:C)</f>
        <v>East</v>
      </c>
      <c r="O566">
        <f>_xlfn.XLOOKUP(D566, Products!A:A, Products!D:D)</f>
        <v>1182</v>
      </c>
      <c r="P566">
        <f>_xlfn.XLOOKUP(D566, Products!A:A, Products!E:E)</f>
        <v>2380</v>
      </c>
    </row>
    <row r="567" spans="1:16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 t="shared" si="8"/>
        <v>Bengaluru</v>
      </c>
      <c r="M567" t="str">
        <f>_xlfn.XLOOKUP(D567, Products!A:A, Products!C:C)</f>
        <v>Sports</v>
      </c>
      <c r="N567" t="str">
        <f>_xlfn.XLOOKUP(E567, Sales_Reps!A:A, Sales_Reps!C:C)</f>
        <v>West</v>
      </c>
      <c r="O567">
        <f>_xlfn.XLOOKUP(D567, Products!A:A, Products!D:D)</f>
        <v>2827</v>
      </c>
      <c r="P567">
        <f>_xlfn.XLOOKUP(D567, Products!A:A, Products!E:E)</f>
        <v>6940</v>
      </c>
    </row>
    <row r="568" spans="1:16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 t="shared" si="8"/>
        <v>Delhi</v>
      </c>
      <c r="M568" t="str">
        <f>_xlfn.XLOOKUP(D568, Products!A:A, Products!C:C)</f>
        <v>Electronics</v>
      </c>
      <c r="N568" t="str">
        <f>_xlfn.XLOOKUP(E568, Sales_Reps!A:A, Sales_Reps!C:C)</f>
        <v>South</v>
      </c>
      <c r="O568">
        <f>_xlfn.XLOOKUP(D568, Products!A:A, Products!D:D)</f>
        <v>1259</v>
      </c>
      <c r="P568">
        <f>_xlfn.XLOOKUP(D568, Products!A:A, Products!E:E)</f>
        <v>2660</v>
      </c>
    </row>
    <row r="569" spans="1:16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 t="shared" si="8"/>
        <v>Pune</v>
      </c>
      <c r="M569" t="str">
        <f>_xlfn.XLOOKUP(D569, Products!A:A, Products!C:C)</f>
        <v>Grocery</v>
      </c>
      <c r="N569" t="str">
        <f>_xlfn.XLOOKUP(E569, Sales_Reps!A:A, Sales_Reps!C:C)</f>
        <v>South</v>
      </c>
      <c r="O569">
        <f>_xlfn.XLOOKUP(D569, Products!A:A, Products!D:D)</f>
        <v>434</v>
      </c>
      <c r="P569">
        <f>_xlfn.XLOOKUP(D569, Products!A:A, Products!E:E)</f>
        <v>970</v>
      </c>
    </row>
    <row r="570" spans="1:16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 t="shared" si="8"/>
        <v>Chennai</v>
      </c>
      <c r="M570" t="str">
        <f>_xlfn.XLOOKUP(D570, Products!A:A, Products!C:C)</f>
        <v>Grocery</v>
      </c>
      <c r="N570" t="str">
        <f>_xlfn.XLOOKUP(E570, Sales_Reps!A:A, Sales_Reps!C:C)</f>
        <v>North</v>
      </c>
      <c r="O570">
        <f>_xlfn.XLOOKUP(D570, Products!A:A, Products!D:D)</f>
        <v>1412</v>
      </c>
      <c r="P570">
        <f>_xlfn.XLOOKUP(D570, Products!A:A, Products!E:E)</f>
        <v>2270</v>
      </c>
    </row>
    <row r="571" spans="1:16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 t="shared" si="8"/>
        <v>Hyderabad</v>
      </c>
      <c r="M571" t="str">
        <f>_xlfn.XLOOKUP(D571, Products!A:A, Products!C:C)</f>
        <v>Sports</v>
      </c>
      <c r="N571" t="str">
        <f>_xlfn.XLOOKUP(E571, Sales_Reps!A:A, Sales_Reps!C:C)</f>
        <v>South</v>
      </c>
      <c r="O571">
        <f>_xlfn.XLOOKUP(D571, Products!A:A, Products!D:D)</f>
        <v>516</v>
      </c>
      <c r="P571">
        <f>_xlfn.XLOOKUP(D571, Products!A:A, Products!E:E)</f>
        <v>1010</v>
      </c>
    </row>
    <row r="572" spans="1:16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 t="shared" si="8"/>
        <v>Pune</v>
      </c>
      <c r="M572" t="str">
        <f>_xlfn.XLOOKUP(D572, Products!A:A, Products!C:C)</f>
        <v>Grocery</v>
      </c>
      <c r="N572" t="str">
        <f>_xlfn.XLOOKUP(E572, Sales_Reps!A:A, Sales_Reps!C:C)</f>
        <v>North</v>
      </c>
      <c r="O572">
        <f>_xlfn.XLOOKUP(D572, Products!A:A, Products!D:D)</f>
        <v>1182</v>
      </c>
      <c r="P572">
        <f>_xlfn.XLOOKUP(D572, Products!A:A, Products!E:E)</f>
        <v>2380</v>
      </c>
    </row>
    <row r="573" spans="1:16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 t="shared" si="8"/>
        <v>Bengaluru</v>
      </c>
      <c r="M573" t="str">
        <f>_xlfn.XLOOKUP(D573, Products!A:A, Products!C:C)</f>
        <v>Sports</v>
      </c>
      <c r="N573" t="str">
        <f>_xlfn.XLOOKUP(E573, Sales_Reps!A:A, Sales_Reps!C:C)</f>
        <v>East</v>
      </c>
      <c r="O573">
        <f>_xlfn.XLOOKUP(D573, Products!A:A, Products!D:D)</f>
        <v>302</v>
      </c>
      <c r="P573">
        <f>_xlfn.XLOOKUP(D573, Products!A:A, Products!E:E)</f>
        <v>470</v>
      </c>
    </row>
    <row r="574" spans="1:16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 t="shared" si="8"/>
        <v>Delhi</v>
      </c>
      <c r="M574" t="str">
        <f>_xlfn.XLOOKUP(D574, Products!A:A, Products!C:C)</f>
        <v>Beauty</v>
      </c>
      <c r="N574" t="str">
        <f>_xlfn.XLOOKUP(E574, Sales_Reps!A:A, Sales_Reps!C:C)</f>
        <v>West</v>
      </c>
      <c r="O574">
        <f>_xlfn.XLOOKUP(D574, Products!A:A, Products!D:D)</f>
        <v>2237</v>
      </c>
      <c r="P574">
        <f>_xlfn.XLOOKUP(D574, Products!A:A, Products!E:E)</f>
        <v>5100</v>
      </c>
    </row>
    <row r="575" spans="1:16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 t="shared" si="8"/>
        <v>Hyderabad</v>
      </c>
      <c r="M575" t="str">
        <f>_xlfn.XLOOKUP(D575, Products!A:A, Products!C:C)</f>
        <v>Beauty</v>
      </c>
      <c r="N575" t="str">
        <f>_xlfn.XLOOKUP(E575, Sales_Reps!A:A, Sales_Reps!C:C)</f>
        <v>West</v>
      </c>
      <c r="O575">
        <f>_xlfn.XLOOKUP(D575, Products!A:A, Products!D:D)</f>
        <v>675</v>
      </c>
      <c r="P575">
        <f>_xlfn.XLOOKUP(D575, Products!A:A, Products!E:E)</f>
        <v>960</v>
      </c>
    </row>
    <row r="576" spans="1:16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 t="shared" si="8"/>
        <v>Hyderabad</v>
      </c>
      <c r="M576" t="str">
        <f>_xlfn.XLOOKUP(D576, Products!A:A, Products!C:C)</f>
        <v>Grocery</v>
      </c>
      <c r="N576" t="str">
        <f>_xlfn.XLOOKUP(E576, Sales_Reps!A:A, Sales_Reps!C:C)</f>
        <v>North</v>
      </c>
      <c r="O576">
        <f>_xlfn.XLOOKUP(D576, Products!A:A, Products!D:D)</f>
        <v>2027</v>
      </c>
      <c r="P576">
        <f>_xlfn.XLOOKUP(D576, Products!A:A, Products!E:E)</f>
        <v>4070</v>
      </c>
    </row>
    <row r="577" spans="1:16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 t="shared" si="8"/>
        <v>Mumbai</v>
      </c>
      <c r="M577" t="str">
        <f>_xlfn.XLOOKUP(D577, Products!A:A, Products!C:C)</f>
        <v>Home</v>
      </c>
      <c r="N577" t="str">
        <f>_xlfn.XLOOKUP(E577, Sales_Reps!A:A, Sales_Reps!C:C)</f>
        <v>East</v>
      </c>
      <c r="O577">
        <f>_xlfn.XLOOKUP(D577, Products!A:A, Products!D:D)</f>
        <v>2135</v>
      </c>
      <c r="P577">
        <f>_xlfn.XLOOKUP(D577, Products!A:A, Products!E:E)</f>
        <v>3730</v>
      </c>
    </row>
    <row r="578" spans="1:16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 t="shared" si="8"/>
        <v>Delhi</v>
      </c>
      <c r="M578" t="str">
        <f>_xlfn.XLOOKUP(D578, Products!A:A, Products!C:C)</f>
        <v>Sports</v>
      </c>
      <c r="N578" t="str">
        <f>_xlfn.XLOOKUP(E578, Sales_Reps!A:A, Sales_Reps!C:C)</f>
        <v>East</v>
      </c>
      <c r="O578">
        <f>_xlfn.XLOOKUP(D578, Products!A:A, Products!D:D)</f>
        <v>2028</v>
      </c>
      <c r="P578">
        <f>_xlfn.XLOOKUP(D578, Products!A:A, Products!E:E)</f>
        <v>2860</v>
      </c>
    </row>
    <row r="579" spans="1:16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 t="shared" ref="L579:L642" si="9">PROPER(TRIM(K579))</f>
        <v>Chennai</v>
      </c>
      <c r="M579" t="str">
        <f>_xlfn.XLOOKUP(D579, Products!A:A, Products!C:C)</f>
        <v>Beauty</v>
      </c>
      <c r="N579" t="str">
        <f>_xlfn.XLOOKUP(E579, Sales_Reps!A:A, Sales_Reps!C:C)</f>
        <v>East</v>
      </c>
      <c r="O579">
        <f>_xlfn.XLOOKUP(D579, Products!A:A, Products!D:D)</f>
        <v>2768</v>
      </c>
      <c r="P579">
        <f>_xlfn.XLOOKUP(D579, Products!A:A, Products!E:E)</f>
        <v>4880</v>
      </c>
    </row>
    <row r="580" spans="1:16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 t="shared" si="9"/>
        <v>Chennai</v>
      </c>
      <c r="M580" t="str">
        <f>_xlfn.XLOOKUP(D580, Products!A:A, Products!C:C)</f>
        <v>Grocery</v>
      </c>
      <c r="N580" t="str">
        <f>_xlfn.XLOOKUP(E580, Sales_Reps!A:A, Sales_Reps!C:C)</f>
        <v>East</v>
      </c>
      <c r="O580">
        <f>_xlfn.XLOOKUP(D580, Products!A:A, Products!D:D)</f>
        <v>1412</v>
      </c>
      <c r="P580">
        <f>_xlfn.XLOOKUP(D580, Products!A:A, Products!E:E)</f>
        <v>2270</v>
      </c>
    </row>
    <row r="581" spans="1:16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 t="shared" si="9"/>
        <v>Mumbai</v>
      </c>
      <c r="M581" t="str">
        <f>_xlfn.XLOOKUP(D581, Products!A:A, Products!C:C)</f>
        <v>Grocery</v>
      </c>
      <c r="N581" t="str">
        <f>_xlfn.XLOOKUP(E581, Sales_Reps!A:A, Sales_Reps!C:C)</f>
        <v>North</v>
      </c>
      <c r="O581">
        <f>_xlfn.XLOOKUP(D581, Products!A:A, Products!D:D)</f>
        <v>2911</v>
      </c>
      <c r="P581">
        <f>_xlfn.XLOOKUP(D581, Products!A:A, Products!E:E)</f>
        <v>4060</v>
      </c>
    </row>
    <row r="582" spans="1:16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 t="shared" si="9"/>
        <v>Mumbai</v>
      </c>
      <c r="M582" t="str">
        <f>_xlfn.XLOOKUP(D582, Products!A:A, Products!C:C)</f>
        <v>Electronics</v>
      </c>
      <c r="N582" t="str">
        <f>_xlfn.XLOOKUP(E582, Sales_Reps!A:A, Sales_Reps!C:C)</f>
        <v>North</v>
      </c>
      <c r="O582">
        <f>_xlfn.XLOOKUP(D582, Products!A:A, Products!D:D)</f>
        <v>1149</v>
      </c>
      <c r="P582">
        <f>_xlfn.XLOOKUP(D582, Products!A:A, Products!E:E)</f>
        <v>2640</v>
      </c>
    </row>
    <row r="583" spans="1:16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 t="shared" si="9"/>
        <v>Delhi</v>
      </c>
      <c r="M583" t="str">
        <f>_xlfn.XLOOKUP(D583, Products!A:A, Products!C:C)</f>
        <v>Home</v>
      </c>
      <c r="N583" t="str">
        <f>_xlfn.XLOOKUP(E583, Sales_Reps!A:A, Sales_Reps!C:C)</f>
        <v>South</v>
      </c>
      <c r="O583">
        <f>_xlfn.XLOOKUP(D583, Products!A:A, Products!D:D)</f>
        <v>2135</v>
      </c>
      <c r="P583">
        <f>_xlfn.XLOOKUP(D583, Products!A:A, Products!E:E)</f>
        <v>3730</v>
      </c>
    </row>
    <row r="584" spans="1:16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 t="shared" si="9"/>
        <v>Delhi</v>
      </c>
      <c r="M584" t="str">
        <f>_xlfn.XLOOKUP(D584, Products!A:A, Products!C:C)</f>
        <v>Electronics</v>
      </c>
      <c r="N584" t="str">
        <f>_xlfn.XLOOKUP(E584, Sales_Reps!A:A, Sales_Reps!C:C)</f>
        <v>North</v>
      </c>
      <c r="O584">
        <f>_xlfn.XLOOKUP(D584, Products!A:A, Products!D:D)</f>
        <v>2405</v>
      </c>
      <c r="P584">
        <f>_xlfn.XLOOKUP(D584, Products!A:A, Products!E:E)</f>
        <v>5330</v>
      </c>
    </row>
    <row r="585" spans="1:16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 t="shared" si="9"/>
        <v>Mumbai</v>
      </c>
      <c r="M585" t="str">
        <f>_xlfn.XLOOKUP(D585, Products!A:A, Products!C:C)</f>
        <v>Apparel</v>
      </c>
      <c r="N585" t="str">
        <f>_xlfn.XLOOKUP(E585, Sales_Reps!A:A, Sales_Reps!C:C)</f>
        <v>West</v>
      </c>
      <c r="O585">
        <f>_xlfn.XLOOKUP(D585, Products!A:A, Products!D:D)</f>
        <v>1748</v>
      </c>
      <c r="P585">
        <f>_xlfn.XLOOKUP(D585, Products!A:A, Products!E:E)</f>
        <v>3450</v>
      </c>
    </row>
    <row r="586" spans="1:16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 t="shared" si="9"/>
        <v>Bengaluru</v>
      </c>
      <c r="M586" t="str">
        <f>_xlfn.XLOOKUP(D586, Products!A:A, Products!C:C)</f>
        <v>Beauty</v>
      </c>
      <c r="N586" t="str">
        <f>_xlfn.XLOOKUP(E586, Sales_Reps!A:A, Sales_Reps!C:C)</f>
        <v>East</v>
      </c>
      <c r="O586">
        <f>_xlfn.XLOOKUP(D586, Products!A:A, Products!D:D)</f>
        <v>2617</v>
      </c>
      <c r="P586">
        <f>_xlfn.XLOOKUP(D586, Products!A:A, Products!E:E)</f>
        <v>6080</v>
      </c>
    </row>
    <row r="587" spans="1:16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 t="shared" si="9"/>
        <v>Bengaluru</v>
      </c>
      <c r="M587" t="str">
        <f>_xlfn.XLOOKUP(D587, Products!A:A, Products!C:C)</f>
        <v>Home</v>
      </c>
      <c r="N587" t="str">
        <f>_xlfn.XLOOKUP(E587, Sales_Reps!A:A, Sales_Reps!C:C)</f>
        <v>North</v>
      </c>
      <c r="O587">
        <f>_xlfn.XLOOKUP(D587, Products!A:A, Products!D:D)</f>
        <v>2135</v>
      </c>
      <c r="P587">
        <f>_xlfn.XLOOKUP(D587, Products!A:A, Products!E:E)</f>
        <v>3730</v>
      </c>
    </row>
    <row r="588" spans="1:16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 t="shared" si="9"/>
        <v>Chennai</v>
      </c>
      <c r="M588" t="str">
        <f>_xlfn.XLOOKUP(D588, Products!A:A, Products!C:C)</f>
        <v>Electronics</v>
      </c>
      <c r="N588" t="str">
        <f>_xlfn.XLOOKUP(E588, Sales_Reps!A:A, Sales_Reps!C:C)</f>
        <v>East</v>
      </c>
      <c r="O588">
        <f>_xlfn.XLOOKUP(D588, Products!A:A, Products!D:D)</f>
        <v>1259</v>
      </c>
      <c r="P588">
        <f>_xlfn.XLOOKUP(D588, Products!A:A, Products!E:E)</f>
        <v>2660</v>
      </c>
    </row>
    <row r="589" spans="1:16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 t="shared" si="9"/>
        <v>Hyderabad</v>
      </c>
      <c r="M589" t="str">
        <f>_xlfn.XLOOKUP(D589, Products!A:A, Products!C:C)</f>
        <v>Grocery</v>
      </c>
      <c r="N589" t="str">
        <f>_xlfn.XLOOKUP(E589, Sales_Reps!A:A, Sales_Reps!C:C)</f>
        <v>East</v>
      </c>
      <c r="O589">
        <f>_xlfn.XLOOKUP(D589, Products!A:A, Products!D:D)</f>
        <v>1010</v>
      </c>
      <c r="P589">
        <f>_xlfn.XLOOKUP(D589, Products!A:A, Products!E:E)</f>
        <v>2210</v>
      </c>
    </row>
    <row r="590" spans="1:16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 t="shared" si="9"/>
        <v>Pune</v>
      </c>
      <c r="M590" t="str">
        <f>_xlfn.XLOOKUP(D590, Products!A:A, Products!C:C)</f>
        <v>Sports</v>
      </c>
      <c r="N590" t="str">
        <f>_xlfn.XLOOKUP(E590, Sales_Reps!A:A, Sales_Reps!C:C)</f>
        <v>South</v>
      </c>
      <c r="O590">
        <f>_xlfn.XLOOKUP(D590, Products!A:A, Products!D:D)</f>
        <v>1860</v>
      </c>
      <c r="P590">
        <f>_xlfn.XLOOKUP(D590, Products!A:A, Products!E:E)</f>
        <v>3780</v>
      </c>
    </row>
    <row r="591" spans="1:16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 t="shared" si="9"/>
        <v>Chennai</v>
      </c>
      <c r="M591" t="str">
        <f>_xlfn.XLOOKUP(D591, Products!A:A, Products!C:C)</f>
        <v>Home</v>
      </c>
      <c r="N591" t="str">
        <f>_xlfn.XLOOKUP(E591, Sales_Reps!A:A, Sales_Reps!C:C)</f>
        <v>West</v>
      </c>
      <c r="O591">
        <f>_xlfn.XLOOKUP(D591, Products!A:A, Products!D:D)</f>
        <v>2549</v>
      </c>
      <c r="P591">
        <f>_xlfn.XLOOKUP(D591, Products!A:A, Products!E:E)</f>
        <v>5490</v>
      </c>
    </row>
    <row r="592" spans="1:16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 t="shared" si="9"/>
        <v>Chennai</v>
      </c>
      <c r="M592" t="str">
        <f>_xlfn.XLOOKUP(D592, Products!A:A, Products!C:C)</f>
        <v>Electronics</v>
      </c>
      <c r="N592" t="str">
        <f>_xlfn.XLOOKUP(E592, Sales_Reps!A:A, Sales_Reps!C:C)</f>
        <v>South</v>
      </c>
      <c r="O592">
        <f>_xlfn.XLOOKUP(D592, Products!A:A, Products!D:D)</f>
        <v>1259</v>
      </c>
      <c r="P592">
        <f>_xlfn.XLOOKUP(D592, Products!A:A, Products!E:E)</f>
        <v>2660</v>
      </c>
    </row>
    <row r="593" spans="1:16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 t="shared" si="9"/>
        <v>Bengaluru</v>
      </c>
      <c r="M593" t="str">
        <f>_xlfn.XLOOKUP(D593, Products!A:A, Products!C:C)</f>
        <v>Sports</v>
      </c>
      <c r="N593" t="str">
        <f>_xlfn.XLOOKUP(E593, Sales_Reps!A:A, Sales_Reps!C:C)</f>
        <v>West</v>
      </c>
      <c r="O593">
        <f>_xlfn.XLOOKUP(D593, Products!A:A, Products!D:D)</f>
        <v>2827</v>
      </c>
      <c r="P593">
        <f>_xlfn.XLOOKUP(D593, Products!A:A, Products!E:E)</f>
        <v>6940</v>
      </c>
    </row>
    <row r="594" spans="1:16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 t="shared" si="9"/>
        <v>Pune</v>
      </c>
      <c r="M594" t="str">
        <f>_xlfn.XLOOKUP(D594, Products!A:A, Products!C:C)</f>
        <v>Electronics</v>
      </c>
      <c r="N594" t="str">
        <f>_xlfn.XLOOKUP(E594, Sales_Reps!A:A, Sales_Reps!C:C)</f>
        <v>North</v>
      </c>
      <c r="O594">
        <f>_xlfn.XLOOKUP(D594, Products!A:A, Products!D:D)</f>
        <v>1559</v>
      </c>
      <c r="P594">
        <f>_xlfn.XLOOKUP(D594, Products!A:A, Products!E:E)</f>
        <v>3870</v>
      </c>
    </row>
    <row r="595" spans="1:16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 t="shared" si="9"/>
        <v>Hyderabad</v>
      </c>
      <c r="M595" t="str">
        <f>_xlfn.XLOOKUP(D595, Products!A:A, Products!C:C)</f>
        <v>Home</v>
      </c>
      <c r="N595" t="str">
        <f>_xlfn.XLOOKUP(E595, Sales_Reps!A:A, Sales_Reps!C:C)</f>
        <v>North</v>
      </c>
      <c r="O595">
        <f>_xlfn.XLOOKUP(D595, Products!A:A, Products!D:D)</f>
        <v>464</v>
      </c>
      <c r="P595">
        <f>_xlfn.XLOOKUP(D595, Products!A:A, Products!E:E)</f>
        <v>1090</v>
      </c>
    </row>
    <row r="596" spans="1:16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 t="shared" si="9"/>
        <v>Mumbai</v>
      </c>
      <c r="M596" t="str">
        <f>_xlfn.XLOOKUP(D596, Products!A:A, Products!C:C)</f>
        <v>Electronics</v>
      </c>
      <c r="N596" t="str">
        <f>_xlfn.XLOOKUP(E596, Sales_Reps!A:A, Sales_Reps!C:C)</f>
        <v>North</v>
      </c>
      <c r="O596">
        <f>_xlfn.XLOOKUP(D596, Products!A:A, Products!D:D)</f>
        <v>1052</v>
      </c>
      <c r="P596">
        <f>_xlfn.XLOOKUP(D596, Products!A:A, Products!E:E)</f>
        <v>2600</v>
      </c>
    </row>
    <row r="597" spans="1:16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 t="shared" si="9"/>
        <v>Pune</v>
      </c>
      <c r="M597" t="str">
        <f>_xlfn.XLOOKUP(D597, Products!A:A, Products!C:C)</f>
        <v>Sports</v>
      </c>
      <c r="N597" t="str">
        <f>_xlfn.XLOOKUP(E597, Sales_Reps!A:A, Sales_Reps!C:C)</f>
        <v>East</v>
      </c>
      <c r="O597">
        <f>_xlfn.XLOOKUP(D597, Products!A:A, Products!D:D)</f>
        <v>705</v>
      </c>
      <c r="P597">
        <f>_xlfn.XLOOKUP(D597, Products!A:A, Products!E:E)</f>
        <v>960</v>
      </c>
    </row>
    <row r="598" spans="1:16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 t="shared" si="9"/>
        <v>Mumbai</v>
      </c>
      <c r="M598" t="str">
        <f>_xlfn.XLOOKUP(D598, Products!A:A, Products!C:C)</f>
        <v>Home</v>
      </c>
      <c r="N598" t="str">
        <f>_xlfn.XLOOKUP(E598, Sales_Reps!A:A, Sales_Reps!C:C)</f>
        <v>West</v>
      </c>
      <c r="O598">
        <f>_xlfn.XLOOKUP(D598, Products!A:A, Products!D:D)</f>
        <v>288</v>
      </c>
      <c r="P598">
        <f>_xlfn.XLOOKUP(D598, Products!A:A, Products!E:E)</f>
        <v>370</v>
      </c>
    </row>
    <row r="599" spans="1:16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 t="shared" si="9"/>
        <v>Bengaluru</v>
      </c>
      <c r="M599" t="str">
        <f>_xlfn.XLOOKUP(D599, Products!A:A, Products!C:C)</f>
        <v>Home</v>
      </c>
      <c r="N599" t="str">
        <f>_xlfn.XLOOKUP(E599, Sales_Reps!A:A, Sales_Reps!C:C)</f>
        <v>North</v>
      </c>
      <c r="O599">
        <f>_xlfn.XLOOKUP(D599, Products!A:A, Products!D:D)</f>
        <v>2459</v>
      </c>
      <c r="P599">
        <f>_xlfn.XLOOKUP(D599, Products!A:A, Products!E:E)</f>
        <v>5080</v>
      </c>
    </row>
    <row r="600" spans="1:16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 t="shared" si="9"/>
        <v>Pune</v>
      </c>
      <c r="M600" t="str">
        <f>_xlfn.XLOOKUP(D600, Products!A:A, Products!C:C)</f>
        <v>Beauty</v>
      </c>
      <c r="N600" t="str">
        <f>_xlfn.XLOOKUP(E600, Sales_Reps!A:A, Sales_Reps!C:C)</f>
        <v>North</v>
      </c>
      <c r="O600">
        <f>_xlfn.XLOOKUP(D600, Products!A:A, Products!D:D)</f>
        <v>647</v>
      </c>
      <c r="P600">
        <f>_xlfn.XLOOKUP(D600, Products!A:A, Products!E:E)</f>
        <v>1540</v>
      </c>
    </row>
    <row r="601" spans="1:16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 t="shared" si="9"/>
        <v>Mumbai</v>
      </c>
      <c r="M601" t="str">
        <f>_xlfn.XLOOKUP(D601, Products!A:A, Products!C:C)</f>
        <v>Grocery</v>
      </c>
      <c r="N601" t="str">
        <f>_xlfn.XLOOKUP(E601, Sales_Reps!A:A, Sales_Reps!C:C)</f>
        <v>South</v>
      </c>
      <c r="O601">
        <f>_xlfn.XLOOKUP(D601, Products!A:A, Products!D:D)</f>
        <v>1203</v>
      </c>
      <c r="P601">
        <f>_xlfn.XLOOKUP(D601, Products!A:A, Products!E:E)</f>
        <v>2270</v>
      </c>
    </row>
    <row r="602" spans="1:16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 t="shared" si="9"/>
        <v>Hyderabad</v>
      </c>
      <c r="M602" t="str">
        <f>_xlfn.XLOOKUP(D602, Products!A:A, Products!C:C)</f>
        <v>Sports</v>
      </c>
      <c r="N602" t="str">
        <f>_xlfn.XLOOKUP(E602, Sales_Reps!A:A, Sales_Reps!C:C)</f>
        <v>South</v>
      </c>
      <c r="O602">
        <f>_xlfn.XLOOKUP(D602, Products!A:A, Products!D:D)</f>
        <v>705</v>
      </c>
      <c r="P602">
        <f>_xlfn.XLOOKUP(D602, Products!A:A, Products!E:E)</f>
        <v>960</v>
      </c>
    </row>
    <row r="603" spans="1:16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 t="shared" si="9"/>
        <v>Pune</v>
      </c>
      <c r="M603" t="str">
        <f>_xlfn.XLOOKUP(D603, Products!A:A, Products!C:C)</f>
        <v>Electronics</v>
      </c>
      <c r="N603" t="str">
        <f>_xlfn.XLOOKUP(E603, Sales_Reps!A:A, Sales_Reps!C:C)</f>
        <v>West</v>
      </c>
      <c r="O603">
        <f>_xlfn.XLOOKUP(D603, Products!A:A, Products!D:D)</f>
        <v>861</v>
      </c>
      <c r="P603">
        <f>_xlfn.XLOOKUP(D603, Products!A:A, Products!E:E)</f>
        <v>1430</v>
      </c>
    </row>
    <row r="604" spans="1:16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 t="shared" si="9"/>
        <v>Hyderabad</v>
      </c>
      <c r="M604" t="str">
        <f>_xlfn.XLOOKUP(D604, Products!A:A, Products!C:C)</f>
        <v>Beauty</v>
      </c>
      <c r="N604" t="str">
        <f>_xlfn.XLOOKUP(E604, Sales_Reps!A:A, Sales_Reps!C:C)</f>
        <v>North</v>
      </c>
      <c r="O604">
        <f>_xlfn.XLOOKUP(D604, Products!A:A, Products!D:D)</f>
        <v>2420</v>
      </c>
      <c r="P604">
        <f>_xlfn.XLOOKUP(D604, Products!A:A, Products!E:E)</f>
        <v>3450</v>
      </c>
    </row>
    <row r="605" spans="1:16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 t="shared" si="9"/>
        <v>Pune</v>
      </c>
      <c r="M605" t="str">
        <f>_xlfn.XLOOKUP(D605, Products!A:A, Products!C:C)</f>
        <v>Electronics</v>
      </c>
      <c r="N605" t="str">
        <f>_xlfn.XLOOKUP(E605, Sales_Reps!A:A, Sales_Reps!C:C)</f>
        <v>West</v>
      </c>
      <c r="O605">
        <f>_xlfn.XLOOKUP(D605, Products!A:A, Products!D:D)</f>
        <v>517</v>
      </c>
      <c r="P605">
        <f>_xlfn.XLOOKUP(D605, Products!A:A, Products!E:E)</f>
        <v>1220</v>
      </c>
    </row>
    <row r="606" spans="1:16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 t="shared" si="9"/>
        <v>Delhi</v>
      </c>
      <c r="M606" t="str">
        <f>_xlfn.XLOOKUP(D606, Products!A:A, Products!C:C)</f>
        <v>Grocery</v>
      </c>
      <c r="N606" t="str">
        <f>_xlfn.XLOOKUP(E606, Sales_Reps!A:A, Sales_Reps!C:C)</f>
        <v>East</v>
      </c>
      <c r="O606">
        <f>_xlfn.XLOOKUP(D606, Products!A:A, Products!D:D)</f>
        <v>1435</v>
      </c>
      <c r="P606">
        <f>_xlfn.XLOOKUP(D606, Products!A:A, Products!E:E)</f>
        <v>2760</v>
      </c>
    </row>
    <row r="607" spans="1:16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 t="shared" si="9"/>
        <v>Mumbai</v>
      </c>
      <c r="M607" t="str">
        <f>_xlfn.XLOOKUP(D607, Products!A:A, Products!C:C)</f>
        <v>Beauty</v>
      </c>
      <c r="N607" t="str">
        <f>_xlfn.XLOOKUP(E607, Sales_Reps!A:A, Sales_Reps!C:C)</f>
        <v>East</v>
      </c>
      <c r="O607">
        <f>_xlfn.XLOOKUP(D607, Products!A:A, Products!D:D)</f>
        <v>1728</v>
      </c>
      <c r="P607">
        <f>_xlfn.XLOOKUP(D607, Products!A:A, Products!E:E)</f>
        <v>3350</v>
      </c>
    </row>
    <row r="608" spans="1:16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 t="shared" si="9"/>
        <v>Bengaluru</v>
      </c>
      <c r="M608" t="str">
        <f>_xlfn.XLOOKUP(D608, Products!A:A, Products!C:C)</f>
        <v>Beauty</v>
      </c>
      <c r="N608" t="str">
        <f>_xlfn.XLOOKUP(E608, Sales_Reps!A:A, Sales_Reps!C:C)</f>
        <v>South</v>
      </c>
      <c r="O608">
        <f>_xlfn.XLOOKUP(D608, Products!A:A, Products!D:D)</f>
        <v>2237</v>
      </c>
      <c r="P608">
        <f>_xlfn.XLOOKUP(D608, Products!A:A, Products!E:E)</f>
        <v>5100</v>
      </c>
    </row>
    <row r="609" spans="1:16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 t="shared" si="9"/>
        <v>Chennai</v>
      </c>
      <c r="M609" t="str">
        <f>_xlfn.XLOOKUP(D609, Products!A:A, Products!C:C)</f>
        <v>Electronics</v>
      </c>
      <c r="N609" t="str">
        <f>_xlfn.XLOOKUP(E609, Sales_Reps!A:A, Sales_Reps!C:C)</f>
        <v>West</v>
      </c>
      <c r="O609">
        <f>_xlfn.XLOOKUP(D609, Products!A:A, Products!D:D)</f>
        <v>1149</v>
      </c>
      <c r="P609">
        <f>_xlfn.XLOOKUP(D609, Products!A:A, Products!E:E)</f>
        <v>2640</v>
      </c>
    </row>
    <row r="610" spans="1:16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 t="shared" si="9"/>
        <v>Mumbai</v>
      </c>
      <c r="M610" t="str">
        <f>_xlfn.XLOOKUP(D610, Products!A:A, Products!C:C)</f>
        <v>Grocery</v>
      </c>
      <c r="N610" t="str">
        <f>_xlfn.XLOOKUP(E610, Sales_Reps!A:A, Sales_Reps!C:C)</f>
        <v>South</v>
      </c>
      <c r="O610">
        <f>_xlfn.XLOOKUP(D610, Products!A:A, Products!D:D)</f>
        <v>2214</v>
      </c>
      <c r="P610">
        <f>_xlfn.XLOOKUP(D610, Products!A:A, Products!E:E)</f>
        <v>3660</v>
      </c>
    </row>
    <row r="611" spans="1:16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 t="shared" si="9"/>
        <v>Mumbai</v>
      </c>
      <c r="M611" t="str">
        <f>_xlfn.XLOOKUP(D611, Products!A:A, Products!C:C)</f>
        <v>Home</v>
      </c>
      <c r="N611" t="str">
        <f>_xlfn.XLOOKUP(E611, Sales_Reps!A:A, Sales_Reps!C:C)</f>
        <v>West</v>
      </c>
      <c r="O611">
        <f>_xlfn.XLOOKUP(D611, Products!A:A, Products!D:D)</f>
        <v>288</v>
      </c>
      <c r="P611">
        <f>_xlfn.XLOOKUP(D611, Products!A:A, Products!E:E)</f>
        <v>370</v>
      </c>
    </row>
    <row r="612" spans="1:16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 t="shared" si="9"/>
        <v>Bengaluru</v>
      </c>
      <c r="M612" t="str">
        <f>_xlfn.XLOOKUP(D612, Products!A:A, Products!C:C)</f>
        <v>Apparel</v>
      </c>
      <c r="N612" t="str">
        <f>_xlfn.XLOOKUP(E612, Sales_Reps!A:A, Sales_Reps!C:C)</f>
        <v>West</v>
      </c>
      <c r="O612">
        <f>_xlfn.XLOOKUP(D612, Products!A:A, Products!D:D)</f>
        <v>396</v>
      </c>
      <c r="P612">
        <f>_xlfn.XLOOKUP(D612, Products!A:A, Products!E:E)</f>
        <v>620</v>
      </c>
    </row>
    <row r="613" spans="1:16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 t="shared" si="9"/>
        <v>Hyderabad</v>
      </c>
      <c r="M613" t="str">
        <f>_xlfn.XLOOKUP(D613, Products!A:A, Products!C:C)</f>
        <v>Sports</v>
      </c>
      <c r="N613" t="str">
        <f>_xlfn.XLOOKUP(E613, Sales_Reps!A:A, Sales_Reps!C:C)</f>
        <v>East</v>
      </c>
      <c r="O613">
        <f>_xlfn.XLOOKUP(D613, Products!A:A, Products!D:D)</f>
        <v>302</v>
      </c>
      <c r="P613">
        <f>_xlfn.XLOOKUP(D613, Products!A:A, Products!E:E)</f>
        <v>470</v>
      </c>
    </row>
    <row r="614" spans="1:16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 t="shared" si="9"/>
        <v>Delhi</v>
      </c>
      <c r="M614" t="str">
        <f>_xlfn.XLOOKUP(D614, Products!A:A, Products!C:C)</f>
        <v>Beauty</v>
      </c>
      <c r="N614" t="str">
        <f>_xlfn.XLOOKUP(E614, Sales_Reps!A:A, Sales_Reps!C:C)</f>
        <v>North</v>
      </c>
      <c r="O614">
        <f>_xlfn.XLOOKUP(D614, Products!A:A, Products!D:D)</f>
        <v>1219</v>
      </c>
      <c r="P614">
        <f>_xlfn.XLOOKUP(D614, Products!A:A, Products!E:E)</f>
        <v>2290</v>
      </c>
    </row>
    <row r="615" spans="1:16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 t="shared" si="9"/>
        <v>Mumbai</v>
      </c>
      <c r="M615" t="str">
        <f>_xlfn.XLOOKUP(D615, Products!A:A, Products!C:C)</f>
        <v>Sports</v>
      </c>
      <c r="N615" t="str">
        <f>_xlfn.XLOOKUP(E615, Sales_Reps!A:A, Sales_Reps!C:C)</f>
        <v>West</v>
      </c>
      <c r="O615">
        <f>_xlfn.XLOOKUP(D615, Products!A:A, Products!D:D)</f>
        <v>705</v>
      </c>
      <c r="P615">
        <f>_xlfn.XLOOKUP(D615, Products!A:A, Products!E:E)</f>
        <v>960</v>
      </c>
    </row>
    <row r="616" spans="1:16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 t="shared" si="9"/>
        <v>Pune</v>
      </c>
      <c r="M616" t="str">
        <f>_xlfn.XLOOKUP(D616, Products!A:A, Products!C:C)</f>
        <v>Grocery</v>
      </c>
      <c r="N616" t="str">
        <f>_xlfn.XLOOKUP(E616, Sales_Reps!A:A, Sales_Reps!C:C)</f>
        <v>South</v>
      </c>
      <c r="O616">
        <f>_xlfn.XLOOKUP(D616, Products!A:A, Products!D:D)</f>
        <v>2214</v>
      </c>
      <c r="P616">
        <f>_xlfn.XLOOKUP(D616, Products!A:A, Products!E:E)</f>
        <v>3660</v>
      </c>
    </row>
    <row r="617" spans="1:16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 t="shared" si="9"/>
        <v>Hyderabad</v>
      </c>
      <c r="M617" t="str">
        <f>_xlfn.XLOOKUP(D617, Products!A:A, Products!C:C)</f>
        <v>Electronics</v>
      </c>
      <c r="N617" t="str">
        <f>_xlfn.XLOOKUP(E617, Sales_Reps!A:A, Sales_Reps!C:C)</f>
        <v>East</v>
      </c>
      <c r="O617">
        <f>_xlfn.XLOOKUP(D617, Products!A:A, Products!D:D)</f>
        <v>1665</v>
      </c>
      <c r="P617">
        <f>_xlfn.XLOOKUP(D617, Products!A:A, Products!E:E)</f>
        <v>3570</v>
      </c>
    </row>
    <row r="618" spans="1:16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 t="shared" si="9"/>
        <v>Mumbai</v>
      </c>
      <c r="M618" t="str">
        <f>_xlfn.XLOOKUP(D618, Products!A:A, Products!C:C)</f>
        <v>Home</v>
      </c>
      <c r="N618" t="str">
        <f>_xlfn.XLOOKUP(E618, Sales_Reps!A:A, Sales_Reps!C:C)</f>
        <v>East</v>
      </c>
      <c r="O618">
        <f>_xlfn.XLOOKUP(D618, Products!A:A, Products!D:D)</f>
        <v>1143</v>
      </c>
      <c r="P618">
        <f>_xlfn.XLOOKUP(D618, Products!A:A, Products!E:E)</f>
        <v>2030</v>
      </c>
    </row>
    <row r="619" spans="1:16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 t="shared" si="9"/>
        <v>Pune</v>
      </c>
      <c r="M619" t="str">
        <f>_xlfn.XLOOKUP(D619, Products!A:A, Products!C:C)</f>
        <v>Apparel</v>
      </c>
      <c r="N619" t="str">
        <f>_xlfn.XLOOKUP(E619, Sales_Reps!A:A, Sales_Reps!C:C)</f>
        <v>West</v>
      </c>
      <c r="O619">
        <f>_xlfn.XLOOKUP(D619, Products!A:A, Products!D:D)</f>
        <v>1962</v>
      </c>
      <c r="P619">
        <f>_xlfn.XLOOKUP(D619, Products!A:A, Products!E:E)</f>
        <v>2720</v>
      </c>
    </row>
    <row r="620" spans="1:16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 t="shared" si="9"/>
        <v>Mumbai</v>
      </c>
      <c r="M620" t="str">
        <f>_xlfn.XLOOKUP(D620, Products!A:A, Products!C:C)</f>
        <v>Electronics</v>
      </c>
      <c r="N620" t="str">
        <f>_xlfn.XLOOKUP(E620, Sales_Reps!A:A, Sales_Reps!C:C)</f>
        <v>North</v>
      </c>
      <c r="O620">
        <f>_xlfn.XLOOKUP(D620, Products!A:A, Products!D:D)</f>
        <v>1665</v>
      </c>
      <c r="P620">
        <f>_xlfn.XLOOKUP(D620, Products!A:A, Products!E:E)</f>
        <v>3570</v>
      </c>
    </row>
    <row r="621" spans="1:16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 t="shared" si="9"/>
        <v>Pune</v>
      </c>
      <c r="M621" t="str">
        <f>_xlfn.XLOOKUP(D621, Products!A:A, Products!C:C)</f>
        <v>Sports</v>
      </c>
      <c r="N621" t="str">
        <f>_xlfn.XLOOKUP(E621, Sales_Reps!A:A, Sales_Reps!C:C)</f>
        <v>North</v>
      </c>
      <c r="O621">
        <f>_xlfn.XLOOKUP(D621, Products!A:A, Products!D:D)</f>
        <v>974</v>
      </c>
      <c r="P621">
        <f>_xlfn.XLOOKUP(D621, Products!A:A, Products!E:E)</f>
        <v>2400</v>
      </c>
    </row>
    <row r="622" spans="1:16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 t="shared" si="9"/>
        <v>Mumbai</v>
      </c>
      <c r="M622" t="str">
        <f>_xlfn.XLOOKUP(D622, Products!A:A, Products!C:C)</f>
        <v>Grocery</v>
      </c>
      <c r="N622" t="str">
        <f>_xlfn.XLOOKUP(E622, Sales_Reps!A:A, Sales_Reps!C:C)</f>
        <v>North</v>
      </c>
      <c r="O622">
        <f>_xlfn.XLOOKUP(D622, Products!A:A, Products!D:D)</f>
        <v>1203</v>
      </c>
      <c r="P622">
        <f>_xlfn.XLOOKUP(D622, Products!A:A, Products!E:E)</f>
        <v>2270</v>
      </c>
    </row>
    <row r="623" spans="1:16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 t="shared" si="9"/>
        <v>Delhi</v>
      </c>
      <c r="M623" t="str">
        <f>_xlfn.XLOOKUP(D623, Products!A:A, Products!C:C)</f>
        <v>Grocery</v>
      </c>
      <c r="N623" t="str">
        <f>_xlfn.XLOOKUP(E623, Sales_Reps!A:A, Sales_Reps!C:C)</f>
        <v>South</v>
      </c>
      <c r="O623">
        <f>_xlfn.XLOOKUP(D623, Products!A:A, Products!D:D)</f>
        <v>434</v>
      </c>
      <c r="P623">
        <f>_xlfn.XLOOKUP(D623, Products!A:A, Products!E:E)</f>
        <v>970</v>
      </c>
    </row>
    <row r="624" spans="1:16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 t="shared" si="9"/>
        <v>Bengaluru</v>
      </c>
      <c r="M624" t="str">
        <f>_xlfn.XLOOKUP(D624, Products!A:A, Products!C:C)</f>
        <v>Sports</v>
      </c>
      <c r="N624" t="str">
        <f>_xlfn.XLOOKUP(E624, Sales_Reps!A:A, Sales_Reps!C:C)</f>
        <v>East</v>
      </c>
      <c r="O624">
        <f>_xlfn.XLOOKUP(D624, Products!A:A, Products!D:D)</f>
        <v>2827</v>
      </c>
      <c r="P624">
        <f>_xlfn.XLOOKUP(D624, Products!A:A, Products!E:E)</f>
        <v>6940</v>
      </c>
    </row>
    <row r="625" spans="1:16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 t="shared" si="9"/>
        <v>Hyderabad</v>
      </c>
      <c r="M625" t="str">
        <f>_xlfn.XLOOKUP(D625, Products!A:A, Products!C:C)</f>
        <v>Sports</v>
      </c>
      <c r="N625" t="str">
        <f>_xlfn.XLOOKUP(E625, Sales_Reps!A:A, Sales_Reps!C:C)</f>
        <v>South</v>
      </c>
      <c r="O625">
        <f>_xlfn.XLOOKUP(D625, Products!A:A, Products!D:D)</f>
        <v>2827</v>
      </c>
      <c r="P625">
        <f>_xlfn.XLOOKUP(D625, Products!A:A, Products!E:E)</f>
        <v>6940</v>
      </c>
    </row>
    <row r="626" spans="1:16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 t="shared" si="9"/>
        <v>Pune</v>
      </c>
      <c r="M626" t="str">
        <f>_xlfn.XLOOKUP(D626, Products!A:A, Products!C:C)</f>
        <v>Sports</v>
      </c>
      <c r="N626" t="str">
        <f>_xlfn.XLOOKUP(E626, Sales_Reps!A:A, Sales_Reps!C:C)</f>
        <v>North</v>
      </c>
      <c r="O626">
        <f>_xlfn.XLOOKUP(D626, Products!A:A, Products!D:D)</f>
        <v>516</v>
      </c>
      <c r="P626">
        <f>_xlfn.XLOOKUP(D626, Products!A:A, Products!E:E)</f>
        <v>1010</v>
      </c>
    </row>
    <row r="627" spans="1:16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 t="shared" si="9"/>
        <v>Delhi</v>
      </c>
      <c r="M627" t="str">
        <f>_xlfn.XLOOKUP(D627, Products!A:A, Products!C:C)</f>
        <v>Electronics</v>
      </c>
      <c r="N627" t="str">
        <f>_xlfn.XLOOKUP(E627, Sales_Reps!A:A, Sales_Reps!C:C)</f>
        <v>North</v>
      </c>
      <c r="O627">
        <f>_xlfn.XLOOKUP(D627, Products!A:A, Products!D:D)</f>
        <v>1559</v>
      </c>
      <c r="P627">
        <f>_xlfn.XLOOKUP(D627, Products!A:A, Products!E:E)</f>
        <v>3870</v>
      </c>
    </row>
    <row r="628" spans="1:16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 t="shared" si="9"/>
        <v>Hyderabad</v>
      </c>
      <c r="M628" t="str">
        <f>_xlfn.XLOOKUP(D628, Products!A:A, Products!C:C)</f>
        <v>Beauty</v>
      </c>
      <c r="N628" t="str">
        <f>_xlfn.XLOOKUP(E628, Sales_Reps!A:A, Sales_Reps!C:C)</f>
        <v>South</v>
      </c>
      <c r="O628">
        <f>_xlfn.XLOOKUP(D628, Products!A:A, Products!D:D)</f>
        <v>2237</v>
      </c>
      <c r="P628">
        <f>_xlfn.XLOOKUP(D628, Products!A:A, Products!E:E)</f>
        <v>5100</v>
      </c>
    </row>
    <row r="629" spans="1:16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 t="shared" si="9"/>
        <v>Pune</v>
      </c>
      <c r="M629" t="str">
        <f>_xlfn.XLOOKUP(D629, Products!A:A, Products!C:C)</f>
        <v>Apparel</v>
      </c>
      <c r="N629" t="str">
        <f>_xlfn.XLOOKUP(E629, Sales_Reps!A:A, Sales_Reps!C:C)</f>
        <v>North</v>
      </c>
      <c r="O629">
        <f>_xlfn.XLOOKUP(D629, Products!A:A, Products!D:D)</f>
        <v>1886</v>
      </c>
      <c r="P629">
        <f>_xlfn.XLOOKUP(D629, Products!A:A, Products!E:E)</f>
        <v>3160</v>
      </c>
    </row>
    <row r="630" spans="1:16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 t="shared" si="9"/>
        <v>Mumbai</v>
      </c>
      <c r="M630" t="str">
        <f>_xlfn.XLOOKUP(D630, Products!A:A, Products!C:C)</f>
        <v>Grocery</v>
      </c>
      <c r="N630" t="str">
        <f>_xlfn.XLOOKUP(E630, Sales_Reps!A:A, Sales_Reps!C:C)</f>
        <v>South</v>
      </c>
      <c r="O630">
        <f>_xlfn.XLOOKUP(D630, Products!A:A, Products!D:D)</f>
        <v>1010</v>
      </c>
      <c r="P630">
        <f>_xlfn.XLOOKUP(D630, Products!A:A, Products!E:E)</f>
        <v>2210</v>
      </c>
    </row>
    <row r="631" spans="1:16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 t="shared" si="9"/>
        <v>Delhi</v>
      </c>
      <c r="M631" t="str">
        <f>_xlfn.XLOOKUP(D631, Products!A:A, Products!C:C)</f>
        <v>Apparel</v>
      </c>
      <c r="N631" t="str">
        <f>_xlfn.XLOOKUP(E631, Sales_Reps!A:A, Sales_Reps!C:C)</f>
        <v>West</v>
      </c>
      <c r="O631">
        <f>_xlfn.XLOOKUP(D631, Products!A:A, Products!D:D)</f>
        <v>2629</v>
      </c>
      <c r="P631">
        <f>_xlfn.XLOOKUP(D631, Products!A:A, Products!E:E)</f>
        <v>3560</v>
      </c>
    </row>
    <row r="632" spans="1:16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 t="shared" si="9"/>
        <v>Bengaluru</v>
      </c>
      <c r="M632" t="str">
        <f>_xlfn.XLOOKUP(D632, Products!A:A, Products!C:C)</f>
        <v>Apparel</v>
      </c>
      <c r="N632" t="str">
        <f>_xlfn.XLOOKUP(E632, Sales_Reps!A:A, Sales_Reps!C:C)</f>
        <v>South</v>
      </c>
      <c r="O632">
        <f>_xlfn.XLOOKUP(D632, Products!A:A, Products!D:D)</f>
        <v>396</v>
      </c>
      <c r="P632">
        <f>_xlfn.XLOOKUP(D632, Products!A:A, Products!E:E)</f>
        <v>620</v>
      </c>
    </row>
    <row r="633" spans="1:16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 t="shared" si="9"/>
        <v>Mumbai</v>
      </c>
      <c r="M633" t="str">
        <f>_xlfn.XLOOKUP(D633, Products!A:A, Products!C:C)</f>
        <v>Grocery</v>
      </c>
      <c r="N633" t="str">
        <f>_xlfn.XLOOKUP(E633, Sales_Reps!A:A, Sales_Reps!C:C)</f>
        <v>North</v>
      </c>
      <c r="O633">
        <f>_xlfn.XLOOKUP(D633, Products!A:A, Products!D:D)</f>
        <v>1435</v>
      </c>
      <c r="P633">
        <f>_xlfn.XLOOKUP(D633, Products!A:A, Products!E:E)</f>
        <v>2760</v>
      </c>
    </row>
    <row r="634" spans="1:16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 t="shared" si="9"/>
        <v>Delhi</v>
      </c>
      <c r="M634" t="str">
        <f>_xlfn.XLOOKUP(D634, Products!A:A, Products!C:C)</f>
        <v>Sports</v>
      </c>
      <c r="N634" t="str">
        <f>_xlfn.XLOOKUP(E634, Sales_Reps!A:A, Sales_Reps!C:C)</f>
        <v>North</v>
      </c>
      <c r="O634">
        <f>_xlfn.XLOOKUP(D634, Products!A:A, Products!D:D)</f>
        <v>516</v>
      </c>
      <c r="P634">
        <f>_xlfn.XLOOKUP(D634, Products!A:A, Products!E:E)</f>
        <v>1010</v>
      </c>
    </row>
    <row r="635" spans="1:16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 t="shared" si="9"/>
        <v>Hyderabad</v>
      </c>
      <c r="M635" t="str">
        <f>_xlfn.XLOOKUP(D635, Products!A:A, Products!C:C)</f>
        <v>Apparel</v>
      </c>
      <c r="N635" t="str">
        <f>_xlfn.XLOOKUP(E635, Sales_Reps!A:A, Sales_Reps!C:C)</f>
        <v>North</v>
      </c>
      <c r="O635">
        <f>_xlfn.XLOOKUP(D635, Products!A:A, Products!D:D)</f>
        <v>2611</v>
      </c>
      <c r="P635">
        <f>_xlfn.XLOOKUP(D635, Products!A:A, Products!E:E)</f>
        <v>3640</v>
      </c>
    </row>
    <row r="636" spans="1:16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 t="shared" si="9"/>
        <v>Chennai</v>
      </c>
      <c r="M636" t="str">
        <f>_xlfn.XLOOKUP(D636, Products!A:A, Products!C:C)</f>
        <v>Apparel</v>
      </c>
      <c r="N636" t="str">
        <f>_xlfn.XLOOKUP(E636, Sales_Reps!A:A, Sales_Reps!C:C)</f>
        <v>South</v>
      </c>
      <c r="O636">
        <f>_xlfn.XLOOKUP(D636, Products!A:A, Products!D:D)</f>
        <v>391</v>
      </c>
      <c r="P636">
        <f>_xlfn.XLOOKUP(D636, Products!A:A, Products!E:E)</f>
        <v>820</v>
      </c>
    </row>
    <row r="637" spans="1:16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 t="shared" si="9"/>
        <v>Chennai</v>
      </c>
      <c r="M637" t="str">
        <f>_xlfn.XLOOKUP(D637, Products!A:A, Products!C:C)</f>
        <v>Apparel</v>
      </c>
      <c r="N637" t="str">
        <f>_xlfn.XLOOKUP(E637, Sales_Reps!A:A, Sales_Reps!C:C)</f>
        <v>South</v>
      </c>
      <c r="O637">
        <f>_xlfn.XLOOKUP(D637, Products!A:A, Products!D:D)</f>
        <v>2611</v>
      </c>
      <c r="P637">
        <f>_xlfn.XLOOKUP(D637, Products!A:A, Products!E:E)</f>
        <v>3640</v>
      </c>
    </row>
    <row r="638" spans="1:16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 t="shared" si="9"/>
        <v>Pune</v>
      </c>
      <c r="M638" t="str">
        <f>_xlfn.XLOOKUP(D638, Products!A:A, Products!C:C)</f>
        <v>Grocery</v>
      </c>
      <c r="N638" t="str">
        <f>_xlfn.XLOOKUP(E638, Sales_Reps!A:A, Sales_Reps!C:C)</f>
        <v>North</v>
      </c>
      <c r="O638">
        <f>_xlfn.XLOOKUP(D638, Products!A:A, Products!D:D)</f>
        <v>1182</v>
      </c>
      <c r="P638">
        <f>_xlfn.XLOOKUP(D638, Products!A:A, Products!E:E)</f>
        <v>2380</v>
      </c>
    </row>
    <row r="639" spans="1:16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 t="shared" si="9"/>
        <v>Pune</v>
      </c>
      <c r="M639" t="str">
        <f>_xlfn.XLOOKUP(D639, Products!A:A, Products!C:C)</f>
        <v>Home</v>
      </c>
      <c r="N639" t="str">
        <f>_xlfn.XLOOKUP(E639, Sales_Reps!A:A, Sales_Reps!C:C)</f>
        <v>North</v>
      </c>
      <c r="O639">
        <f>_xlfn.XLOOKUP(D639, Products!A:A, Products!D:D)</f>
        <v>329</v>
      </c>
      <c r="P639">
        <f>_xlfn.XLOOKUP(D639, Products!A:A, Products!E:E)</f>
        <v>660</v>
      </c>
    </row>
    <row r="640" spans="1:16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 t="shared" si="9"/>
        <v>Pune</v>
      </c>
      <c r="M640" t="str">
        <f>_xlfn.XLOOKUP(D640, Products!A:A, Products!C:C)</f>
        <v>Electronics</v>
      </c>
      <c r="N640" t="str">
        <f>_xlfn.XLOOKUP(E640, Sales_Reps!A:A, Sales_Reps!C:C)</f>
        <v>East</v>
      </c>
      <c r="O640">
        <f>_xlfn.XLOOKUP(D640, Products!A:A, Products!D:D)</f>
        <v>1559</v>
      </c>
      <c r="P640">
        <f>_xlfn.XLOOKUP(D640, Products!A:A, Products!E:E)</f>
        <v>3870</v>
      </c>
    </row>
    <row r="641" spans="1:16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 t="shared" si="9"/>
        <v>Chennai</v>
      </c>
      <c r="M641" t="str">
        <f>_xlfn.XLOOKUP(D641, Products!A:A, Products!C:C)</f>
        <v>Home</v>
      </c>
      <c r="N641" t="str">
        <f>_xlfn.XLOOKUP(E641, Sales_Reps!A:A, Sales_Reps!C:C)</f>
        <v>South</v>
      </c>
      <c r="O641">
        <f>_xlfn.XLOOKUP(D641, Products!A:A, Products!D:D)</f>
        <v>288</v>
      </c>
      <c r="P641">
        <f>_xlfn.XLOOKUP(D641, Products!A:A, Products!E:E)</f>
        <v>370</v>
      </c>
    </row>
    <row r="642" spans="1:16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 t="shared" si="9"/>
        <v>Hyderabad</v>
      </c>
      <c r="M642" t="str">
        <f>_xlfn.XLOOKUP(D642, Products!A:A, Products!C:C)</f>
        <v>Apparel</v>
      </c>
      <c r="N642" t="str">
        <f>_xlfn.XLOOKUP(E642, Sales_Reps!A:A, Sales_Reps!C:C)</f>
        <v>East</v>
      </c>
      <c r="O642">
        <f>_xlfn.XLOOKUP(D642, Products!A:A, Products!D:D)</f>
        <v>2509</v>
      </c>
      <c r="P642">
        <f>_xlfn.XLOOKUP(D642, Products!A:A, Products!E:E)</f>
        <v>3620</v>
      </c>
    </row>
    <row r="643" spans="1:16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 t="shared" ref="L643:L706" si="10">PROPER(TRIM(K643))</f>
        <v>Bengaluru</v>
      </c>
      <c r="M643" t="str">
        <f>_xlfn.XLOOKUP(D643, Products!A:A, Products!C:C)</f>
        <v>Electronics</v>
      </c>
      <c r="N643" t="str">
        <f>_xlfn.XLOOKUP(E643, Sales_Reps!A:A, Sales_Reps!C:C)</f>
        <v>North</v>
      </c>
      <c r="O643">
        <f>_xlfn.XLOOKUP(D643, Products!A:A, Products!D:D)</f>
        <v>1259</v>
      </c>
      <c r="P643">
        <f>_xlfn.XLOOKUP(D643, Products!A:A, Products!E:E)</f>
        <v>2660</v>
      </c>
    </row>
    <row r="644" spans="1:16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 t="shared" si="10"/>
        <v>Delhi</v>
      </c>
      <c r="M644" t="str">
        <f>_xlfn.XLOOKUP(D644, Products!A:A, Products!C:C)</f>
        <v>Sports</v>
      </c>
      <c r="N644" t="str">
        <f>_xlfn.XLOOKUP(E644, Sales_Reps!A:A, Sales_Reps!C:C)</f>
        <v>South</v>
      </c>
      <c r="O644">
        <f>_xlfn.XLOOKUP(D644, Products!A:A, Products!D:D)</f>
        <v>2467</v>
      </c>
      <c r="P644">
        <f>_xlfn.XLOOKUP(D644, Products!A:A, Products!E:E)</f>
        <v>3450</v>
      </c>
    </row>
    <row r="645" spans="1:16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 t="shared" si="10"/>
        <v>Bengaluru</v>
      </c>
      <c r="M645" t="str">
        <f>_xlfn.XLOOKUP(D645, Products!A:A, Products!C:C)</f>
        <v>Grocery</v>
      </c>
      <c r="N645" t="str">
        <f>_xlfn.XLOOKUP(E645, Sales_Reps!A:A, Sales_Reps!C:C)</f>
        <v>South</v>
      </c>
      <c r="O645">
        <f>_xlfn.XLOOKUP(D645, Products!A:A, Products!D:D)</f>
        <v>2911</v>
      </c>
      <c r="P645">
        <f>_xlfn.XLOOKUP(D645, Products!A:A, Products!E:E)</f>
        <v>4060</v>
      </c>
    </row>
    <row r="646" spans="1:16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 t="shared" si="10"/>
        <v>Chennai</v>
      </c>
      <c r="M646" t="str">
        <f>_xlfn.XLOOKUP(D646, Products!A:A, Products!C:C)</f>
        <v>Sports</v>
      </c>
      <c r="N646" t="str">
        <f>_xlfn.XLOOKUP(E646, Sales_Reps!A:A, Sales_Reps!C:C)</f>
        <v>East</v>
      </c>
      <c r="O646">
        <f>_xlfn.XLOOKUP(D646, Products!A:A, Products!D:D)</f>
        <v>705</v>
      </c>
      <c r="P646">
        <f>_xlfn.XLOOKUP(D646, Products!A:A, Products!E:E)</f>
        <v>960</v>
      </c>
    </row>
    <row r="647" spans="1:16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 t="shared" si="10"/>
        <v>Hyderabad</v>
      </c>
      <c r="M647" t="str">
        <f>_xlfn.XLOOKUP(D647, Products!A:A, Products!C:C)</f>
        <v>Electronics</v>
      </c>
      <c r="N647" t="str">
        <f>_xlfn.XLOOKUP(E647, Sales_Reps!A:A, Sales_Reps!C:C)</f>
        <v>North</v>
      </c>
      <c r="O647">
        <f>_xlfn.XLOOKUP(D647, Products!A:A, Products!D:D)</f>
        <v>1259</v>
      </c>
      <c r="P647">
        <f>_xlfn.XLOOKUP(D647, Products!A:A, Products!E:E)</f>
        <v>2660</v>
      </c>
    </row>
    <row r="648" spans="1:16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 t="shared" si="10"/>
        <v>Hyderabad</v>
      </c>
      <c r="M648" t="str">
        <f>_xlfn.XLOOKUP(D648, Products!A:A, Products!C:C)</f>
        <v>Grocery</v>
      </c>
      <c r="N648" t="str">
        <f>_xlfn.XLOOKUP(E648, Sales_Reps!A:A, Sales_Reps!C:C)</f>
        <v>East</v>
      </c>
      <c r="O648">
        <f>_xlfn.XLOOKUP(D648, Products!A:A, Products!D:D)</f>
        <v>1203</v>
      </c>
      <c r="P648">
        <f>_xlfn.XLOOKUP(D648, Products!A:A, Products!E:E)</f>
        <v>2270</v>
      </c>
    </row>
    <row r="649" spans="1:16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 t="shared" si="10"/>
        <v>Bengaluru</v>
      </c>
      <c r="M649" t="str">
        <f>_xlfn.XLOOKUP(D649, Products!A:A, Products!C:C)</f>
        <v>Grocery</v>
      </c>
      <c r="N649" t="str">
        <f>_xlfn.XLOOKUP(E649, Sales_Reps!A:A, Sales_Reps!C:C)</f>
        <v>West</v>
      </c>
      <c r="O649">
        <f>_xlfn.XLOOKUP(D649, Products!A:A, Products!D:D)</f>
        <v>2436</v>
      </c>
      <c r="P649">
        <f>_xlfn.XLOOKUP(D649, Products!A:A, Products!E:E)</f>
        <v>3780</v>
      </c>
    </row>
    <row r="650" spans="1:16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 t="shared" si="10"/>
        <v>Delhi</v>
      </c>
      <c r="M650" t="str">
        <f>_xlfn.XLOOKUP(D650, Products!A:A, Products!C:C)</f>
        <v>Home</v>
      </c>
      <c r="N650" t="str">
        <f>_xlfn.XLOOKUP(E650, Sales_Reps!A:A, Sales_Reps!C:C)</f>
        <v>East</v>
      </c>
      <c r="O650">
        <f>_xlfn.XLOOKUP(D650, Products!A:A, Products!D:D)</f>
        <v>329</v>
      </c>
      <c r="P650">
        <f>_xlfn.XLOOKUP(D650, Products!A:A, Products!E:E)</f>
        <v>660</v>
      </c>
    </row>
    <row r="651" spans="1:16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 t="shared" si="10"/>
        <v>Pune</v>
      </c>
      <c r="M651" t="str">
        <f>_xlfn.XLOOKUP(D651, Products!A:A, Products!C:C)</f>
        <v>Home</v>
      </c>
      <c r="N651" t="str">
        <f>_xlfn.XLOOKUP(E651, Sales_Reps!A:A, Sales_Reps!C:C)</f>
        <v>West</v>
      </c>
      <c r="O651">
        <f>_xlfn.XLOOKUP(D651, Products!A:A, Products!D:D)</f>
        <v>2135</v>
      </c>
      <c r="P651">
        <f>_xlfn.XLOOKUP(D651, Products!A:A, Products!E:E)</f>
        <v>3730</v>
      </c>
    </row>
    <row r="652" spans="1:16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 t="shared" si="10"/>
        <v>Delhi</v>
      </c>
      <c r="M652" t="str">
        <f>_xlfn.XLOOKUP(D652, Products!A:A, Products!C:C)</f>
        <v>Grocery</v>
      </c>
      <c r="N652" t="str">
        <f>_xlfn.XLOOKUP(E652, Sales_Reps!A:A, Sales_Reps!C:C)</f>
        <v>East</v>
      </c>
      <c r="O652">
        <f>_xlfn.XLOOKUP(D652, Products!A:A, Products!D:D)</f>
        <v>2911</v>
      </c>
      <c r="P652">
        <f>_xlfn.XLOOKUP(D652, Products!A:A, Products!E:E)</f>
        <v>4060</v>
      </c>
    </row>
    <row r="653" spans="1:16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 t="shared" si="10"/>
        <v>Bengaluru</v>
      </c>
      <c r="M653" t="str">
        <f>_xlfn.XLOOKUP(D653, Products!A:A, Products!C:C)</f>
        <v>Grocery</v>
      </c>
      <c r="N653" t="str">
        <f>_xlfn.XLOOKUP(E653, Sales_Reps!A:A, Sales_Reps!C:C)</f>
        <v>North</v>
      </c>
      <c r="O653">
        <f>_xlfn.XLOOKUP(D653, Products!A:A, Products!D:D)</f>
        <v>1203</v>
      </c>
      <c r="P653">
        <f>_xlfn.XLOOKUP(D653, Products!A:A, Products!E:E)</f>
        <v>2270</v>
      </c>
    </row>
    <row r="654" spans="1:16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 t="shared" si="10"/>
        <v>Hyderabad</v>
      </c>
      <c r="M654" t="str">
        <f>_xlfn.XLOOKUP(D654, Products!A:A, Products!C:C)</f>
        <v>Electronics</v>
      </c>
      <c r="N654" t="str">
        <f>_xlfn.XLOOKUP(E654, Sales_Reps!A:A, Sales_Reps!C:C)</f>
        <v>West</v>
      </c>
      <c r="O654">
        <f>_xlfn.XLOOKUP(D654, Products!A:A, Products!D:D)</f>
        <v>1665</v>
      </c>
      <c r="P654">
        <f>_xlfn.XLOOKUP(D654, Products!A:A, Products!E:E)</f>
        <v>3570</v>
      </c>
    </row>
    <row r="655" spans="1:16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 t="shared" si="10"/>
        <v>Hyderabad</v>
      </c>
      <c r="M655" t="str">
        <f>_xlfn.XLOOKUP(D655, Products!A:A, Products!C:C)</f>
        <v>Grocery</v>
      </c>
      <c r="N655" t="str">
        <f>_xlfn.XLOOKUP(E655, Sales_Reps!A:A, Sales_Reps!C:C)</f>
        <v>North</v>
      </c>
      <c r="O655">
        <f>_xlfn.XLOOKUP(D655, Products!A:A, Products!D:D)</f>
        <v>1010</v>
      </c>
      <c r="P655">
        <f>_xlfn.XLOOKUP(D655, Products!A:A, Products!E:E)</f>
        <v>2210</v>
      </c>
    </row>
    <row r="656" spans="1:16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 t="shared" si="10"/>
        <v>Mumbai</v>
      </c>
      <c r="M656" t="str">
        <f>_xlfn.XLOOKUP(D656, Products!A:A, Products!C:C)</f>
        <v>Sports</v>
      </c>
      <c r="N656" t="str">
        <f>_xlfn.XLOOKUP(E656, Sales_Reps!A:A, Sales_Reps!C:C)</f>
        <v>West</v>
      </c>
      <c r="O656">
        <f>_xlfn.XLOOKUP(D656, Products!A:A, Products!D:D)</f>
        <v>705</v>
      </c>
      <c r="P656">
        <f>_xlfn.XLOOKUP(D656, Products!A:A, Products!E:E)</f>
        <v>960</v>
      </c>
    </row>
    <row r="657" spans="1:16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 t="shared" si="10"/>
        <v>Hyderabad</v>
      </c>
      <c r="M657" t="str">
        <f>_xlfn.XLOOKUP(D657, Products!A:A, Products!C:C)</f>
        <v>Sports</v>
      </c>
      <c r="N657" t="str">
        <f>_xlfn.XLOOKUP(E657, Sales_Reps!A:A, Sales_Reps!C:C)</f>
        <v>West</v>
      </c>
      <c r="O657">
        <f>_xlfn.XLOOKUP(D657, Products!A:A, Products!D:D)</f>
        <v>1860</v>
      </c>
      <c r="P657">
        <f>_xlfn.XLOOKUP(D657, Products!A:A, Products!E:E)</f>
        <v>3780</v>
      </c>
    </row>
    <row r="658" spans="1:16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 t="shared" si="10"/>
        <v>Chennai</v>
      </c>
      <c r="M658" t="str">
        <f>_xlfn.XLOOKUP(D658, Products!A:A, Products!C:C)</f>
        <v>Beauty</v>
      </c>
      <c r="N658" t="str">
        <f>_xlfn.XLOOKUP(E658, Sales_Reps!A:A, Sales_Reps!C:C)</f>
        <v>South</v>
      </c>
      <c r="O658">
        <f>_xlfn.XLOOKUP(D658, Products!A:A, Products!D:D)</f>
        <v>2237</v>
      </c>
      <c r="P658">
        <f>_xlfn.XLOOKUP(D658, Products!A:A, Products!E:E)</f>
        <v>5100</v>
      </c>
    </row>
    <row r="659" spans="1:16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 t="shared" si="10"/>
        <v>Bengaluru</v>
      </c>
      <c r="M659" t="str">
        <f>_xlfn.XLOOKUP(D659, Products!A:A, Products!C:C)</f>
        <v>Apparel</v>
      </c>
      <c r="N659" t="str">
        <f>_xlfn.XLOOKUP(E659, Sales_Reps!A:A, Sales_Reps!C:C)</f>
        <v>East</v>
      </c>
      <c r="O659">
        <f>_xlfn.XLOOKUP(D659, Products!A:A, Products!D:D)</f>
        <v>1173</v>
      </c>
      <c r="P659">
        <f>_xlfn.XLOOKUP(D659, Products!A:A, Products!E:E)</f>
        <v>2480</v>
      </c>
    </row>
    <row r="660" spans="1:16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 t="shared" si="10"/>
        <v>Mumbai</v>
      </c>
      <c r="M660" t="str">
        <f>_xlfn.XLOOKUP(D660, Products!A:A, Products!C:C)</f>
        <v>Home</v>
      </c>
      <c r="N660" t="str">
        <f>_xlfn.XLOOKUP(E660, Sales_Reps!A:A, Sales_Reps!C:C)</f>
        <v>East</v>
      </c>
      <c r="O660">
        <f>_xlfn.XLOOKUP(D660, Products!A:A, Products!D:D)</f>
        <v>519</v>
      </c>
      <c r="P660">
        <f>_xlfn.XLOOKUP(D660, Products!A:A, Products!E:E)</f>
        <v>1080</v>
      </c>
    </row>
    <row r="661" spans="1:16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 t="shared" si="10"/>
        <v>Delhi</v>
      </c>
      <c r="M661" t="str">
        <f>_xlfn.XLOOKUP(D661, Products!A:A, Products!C:C)</f>
        <v>Electronics</v>
      </c>
      <c r="N661" t="str">
        <f>_xlfn.XLOOKUP(E661, Sales_Reps!A:A, Sales_Reps!C:C)</f>
        <v>West</v>
      </c>
      <c r="O661">
        <f>_xlfn.XLOOKUP(D661, Products!A:A, Products!D:D)</f>
        <v>1052</v>
      </c>
      <c r="P661">
        <f>_xlfn.XLOOKUP(D661, Products!A:A, Products!E:E)</f>
        <v>2600</v>
      </c>
    </row>
    <row r="662" spans="1:16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 t="shared" si="10"/>
        <v>Chennai</v>
      </c>
      <c r="M662" t="str">
        <f>_xlfn.XLOOKUP(D662, Products!A:A, Products!C:C)</f>
        <v>Electronics</v>
      </c>
      <c r="N662" t="str">
        <f>_xlfn.XLOOKUP(E662, Sales_Reps!A:A, Sales_Reps!C:C)</f>
        <v>South</v>
      </c>
      <c r="O662">
        <f>_xlfn.XLOOKUP(D662, Products!A:A, Products!D:D)</f>
        <v>1052</v>
      </c>
      <c r="P662">
        <f>_xlfn.XLOOKUP(D662, Products!A:A, Products!E:E)</f>
        <v>2600</v>
      </c>
    </row>
    <row r="663" spans="1:16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 t="shared" si="10"/>
        <v>Delhi</v>
      </c>
      <c r="M663" t="str">
        <f>_xlfn.XLOOKUP(D663, Products!A:A, Products!C:C)</f>
        <v>Apparel</v>
      </c>
      <c r="N663" t="str">
        <f>_xlfn.XLOOKUP(E663, Sales_Reps!A:A, Sales_Reps!C:C)</f>
        <v>East</v>
      </c>
      <c r="O663">
        <f>_xlfn.XLOOKUP(D663, Products!A:A, Products!D:D)</f>
        <v>391</v>
      </c>
      <c r="P663">
        <f>_xlfn.XLOOKUP(D663, Products!A:A, Products!E:E)</f>
        <v>820</v>
      </c>
    </row>
    <row r="664" spans="1:16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 t="shared" si="10"/>
        <v>Pune</v>
      </c>
      <c r="M664" t="str">
        <f>_xlfn.XLOOKUP(D664, Products!A:A, Products!C:C)</f>
        <v>Sports</v>
      </c>
      <c r="N664" t="str">
        <f>_xlfn.XLOOKUP(E664, Sales_Reps!A:A, Sales_Reps!C:C)</f>
        <v>South</v>
      </c>
      <c r="O664">
        <f>_xlfn.XLOOKUP(D664, Products!A:A, Products!D:D)</f>
        <v>705</v>
      </c>
      <c r="P664">
        <f>_xlfn.XLOOKUP(D664, Products!A:A, Products!E:E)</f>
        <v>960</v>
      </c>
    </row>
    <row r="665" spans="1:16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 t="shared" si="10"/>
        <v>Delhi</v>
      </c>
      <c r="M665" t="str">
        <f>_xlfn.XLOOKUP(D665, Products!A:A, Products!C:C)</f>
        <v>Beauty</v>
      </c>
      <c r="N665" t="str">
        <f>_xlfn.XLOOKUP(E665, Sales_Reps!A:A, Sales_Reps!C:C)</f>
        <v>East</v>
      </c>
      <c r="O665">
        <f>_xlfn.XLOOKUP(D665, Products!A:A, Products!D:D)</f>
        <v>647</v>
      </c>
      <c r="P665">
        <f>_xlfn.XLOOKUP(D665, Products!A:A, Products!E:E)</f>
        <v>1540</v>
      </c>
    </row>
    <row r="666" spans="1:16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 t="shared" si="10"/>
        <v>Bengaluru</v>
      </c>
      <c r="M666" t="str">
        <f>_xlfn.XLOOKUP(D666, Products!A:A, Products!C:C)</f>
        <v>Sports</v>
      </c>
      <c r="N666" t="str">
        <f>_xlfn.XLOOKUP(E666, Sales_Reps!A:A, Sales_Reps!C:C)</f>
        <v>West</v>
      </c>
      <c r="O666">
        <f>_xlfn.XLOOKUP(D666, Products!A:A, Products!D:D)</f>
        <v>2827</v>
      </c>
      <c r="P666">
        <f>_xlfn.XLOOKUP(D666, Products!A:A, Products!E:E)</f>
        <v>6940</v>
      </c>
    </row>
    <row r="667" spans="1:16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 t="shared" si="10"/>
        <v>Chennai</v>
      </c>
      <c r="M667" t="str">
        <f>_xlfn.XLOOKUP(D667, Products!A:A, Products!C:C)</f>
        <v>Beauty</v>
      </c>
      <c r="N667" t="str">
        <f>_xlfn.XLOOKUP(E667, Sales_Reps!A:A, Sales_Reps!C:C)</f>
        <v>South</v>
      </c>
      <c r="O667">
        <f>_xlfn.XLOOKUP(D667, Products!A:A, Products!D:D)</f>
        <v>647</v>
      </c>
      <c r="P667">
        <f>_xlfn.XLOOKUP(D667, Products!A:A, Products!E:E)</f>
        <v>1540</v>
      </c>
    </row>
    <row r="668" spans="1:16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 t="shared" si="10"/>
        <v>Delhi</v>
      </c>
      <c r="M668" t="str">
        <f>_xlfn.XLOOKUP(D668, Products!A:A, Products!C:C)</f>
        <v>Home</v>
      </c>
      <c r="N668" t="str">
        <f>_xlfn.XLOOKUP(E668, Sales_Reps!A:A, Sales_Reps!C:C)</f>
        <v>South</v>
      </c>
      <c r="O668">
        <f>_xlfn.XLOOKUP(D668, Products!A:A, Products!D:D)</f>
        <v>2135</v>
      </c>
      <c r="P668">
        <f>_xlfn.XLOOKUP(D668, Products!A:A, Products!E:E)</f>
        <v>3730</v>
      </c>
    </row>
    <row r="669" spans="1:16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 t="shared" si="10"/>
        <v>Bengaluru</v>
      </c>
      <c r="M669" t="str">
        <f>_xlfn.XLOOKUP(D669, Products!A:A, Products!C:C)</f>
        <v>Grocery</v>
      </c>
      <c r="N669" t="str">
        <f>_xlfn.XLOOKUP(E669, Sales_Reps!A:A, Sales_Reps!C:C)</f>
        <v>East</v>
      </c>
      <c r="O669">
        <f>_xlfn.XLOOKUP(D669, Products!A:A, Products!D:D)</f>
        <v>1435</v>
      </c>
      <c r="P669">
        <f>_xlfn.XLOOKUP(D669, Products!A:A, Products!E:E)</f>
        <v>2760</v>
      </c>
    </row>
    <row r="670" spans="1:16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 t="shared" si="10"/>
        <v>Chennai</v>
      </c>
      <c r="M670" t="str">
        <f>_xlfn.XLOOKUP(D670, Products!A:A, Products!C:C)</f>
        <v>Electronics</v>
      </c>
      <c r="N670" t="str">
        <f>_xlfn.XLOOKUP(E670, Sales_Reps!A:A, Sales_Reps!C:C)</f>
        <v>East</v>
      </c>
      <c r="O670">
        <f>_xlfn.XLOOKUP(D670, Products!A:A, Products!D:D)</f>
        <v>2865</v>
      </c>
      <c r="P670">
        <f>_xlfn.XLOOKUP(D670, Products!A:A, Products!E:E)</f>
        <v>3970</v>
      </c>
    </row>
    <row r="671" spans="1:16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 t="shared" si="10"/>
        <v>Bengaluru</v>
      </c>
      <c r="M671" t="str">
        <f>_xlfn.XLOOKUP(D671, Products!A:A, Products!C:C)</f>
        <v>Grocery</v>
      </c>
      <c r="N671" t="str">
        <f>_xlfn.XLOOKUP(E671, Sales_Reps!A:A, Sales_Reps!C:C)</f>
        <v>East</v>
      </c>
      <c r="O671">
        <f>_xlfn.XLOOKUP(D671, Products!A:A, Products!D:D)</f>
        <v>2436</v>
      </c>
      <c r="P671">
        <f>_xlfn.XLOOKUP(D671, Products!A:A, Products!E:E)</f>
        <v>3780</v>
      </c>
    </row>
    <row r="672" spans="1:16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 t="shared" si="10"/>
        <v>Bengaluru</v>
      </c>
      <c r="M672" t="str">
        <f>_xlfn.XLOOKUP(D672, Products!A:A, Products!C:C)</f>
        <v>Apparel</v>
      </c>
      <c r="N672" t="str">
        <f>_xlfn.XLOOKUP(E672, Sales_Reps!A:A, Sales_Reps!C:C)</f>
        <v>North</v>
      </c>
      <c r="O672">
        <f>_xlfn.XLOOKUP(D672, Products!A:A, Products!D:D)</f>
        <v>1962</v>
      </c>
      <c r="P672">
        <f>_xlfn.XLOOKUP(D672, Products!A:A, Products!E:E)</f>
        <v>2720</v>
      </c>
    </row>
    <row r="673" spans="1:16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 t="shared" si="10"/>
        <v>Mumbai</v>
      </c>
      <c r="M673" t="str">
        <f>_xlfn.XLOOKUP(D673, Products!A:A, Products!C:C)</f>
        <v>Electronics</v>
      </c>
      <c r="N673" t="str">
        <f>_xlfn.XLOOKUP(E673, Sales_Reps!A:A, Sales_Reps!C:C)</f>
        <v>East</v>
      </c>
      <c r="O673">
        <f>_xlfn.XLOOKUP(D673, Products!A:A, Products!D:D)</f>
        <v>2865</v>
      </c>
      <c r="P673">
        <f>_xlfn.XLOOKUP(D673, Products!A:A, Products!E:E)</f>
        <v>3970</v>
      </c>
    </row>
    <row r="674" spans="1:16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 t="shared" si="10"/>
        <v>Pune</v>
      </c>
      <c r="M674" t="str">
        <f>_xlfn.XLOOKUP(D674, Products!A:A, Products!C:C)</f>
        <v>Apparel</v>
      </c>
      <c r="N674" t="str">
        <f>_xlfn.XLOOKUP(E674, Sales_Reps!A:A, Sales_Reps!C:C)</f>
        <v>South</v>
      </c>
      <c r="O674">
        <f>_xlfn.XLOOKUP(D674, Products!A:A, Products!D:D)</f>
        <v>391</v>
      </c>
      <c r="P674">
        <f>_xlfn.XLOOKUP(D674, Products!A:A, Products!E:E)</f>
        <v>820</v>
      </c>
    </row>
    <row r="675" spans="1:16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 t="shared" si="10"/>
        <v>Mumbai</v>
      </c>
      <c r="M675" t="str">
        <f>_xlfn.XLOOKUP(D675, Products!A:A, Products!C:C)</f>
        <v>Apparel</v>
      </c>
      <c r="N675" t="str">
        <f>_xlfn.XLOOKUP(E675, Sales_Reps!A:A, Sales_Reps!C:C)</f>
        <v>South</v>
      </c>
      <c r="O675">
        <f>_xlfn.XLOOKUP(D675, Products!A:A, Products!D:D)</f>
        <v>396</v>
      </c>
      <c r="P675">
        <f>_xlfn.XLOOKUP(D675, Products!A:A, Products!E:E)</f>
        <v>620</v>
      </c>
    </row>
    <row r="676" spans="1:16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 t="shared" si="10"/>
        <v>Hyderabad</v>
      </c>
      <c r="M676" t="str">
        <f>_xlfn.XLOOKUP(D676, Products!A:A, Products!C:C)</f>
        <v>Beauty</v>
      </c>
      <c r="N676" t="str">
        <f>_xlfn.XLOOKUP(E676, Sales_Reps!A:A, Sales_Reps!C:C)</f>
        <v>West</v>
      </c>
      <c r="O676">
        <f>_xlfn.XLOOKUP(D676, Products!A:A, Products!D:D)</f>
        <v>1219</v>
      </c>
      <c r="P676">
        <f>_xlfn.XLOOKUP(D676, Products!A:A, Products!E:E)</f>
        <v>2290</v>
      </c>
    </row>
    <row r="677" spans="1:16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 t="shared" si="10"/>
        <v>Bengaluru</v>
      </c>
      <c r="M677" t="str">
        <f>_xlfn.XLOOKUP(D677, Products!A:A, Products!C:C)</f>
        <v>Grocery</v>
      </c>
      <c r="N677" t="str">
        <f>_xlfn.XLOOKUP(E677, Sales_Reps!A:A, Sales_Reps!C:C)</f>
        <v>West</v>
      </c>
      <c r="O677">
        <f>_xlfn.XLOOKUP(D677, Products!A:A, Products!D:D)</f>
        <v>434</v>
      </c>
      <c r="P677">
        <f>_xlfn.XLOOKUP(D677, Products!A:A, Products!E:E)</f>
        <v>970</v>
      </c>
    </row>
    <row r="678" spans="1:16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 t="shared" si="10"/>
        <v>Delhi</v>
      </c>
      <c r="M678" t="str">
        <f>_xlfn.XLOOKUP(D678, Products!A:A, Products!C:C)</f>
        <v>Home</v>
      </c>
      <c r="N678" t="str">
        <f>_xlfn.XLOOKUP(E678, Sales_Reps!A:A, Sales_Reps!C:C)</f>
        <v>South</v>
      </c>
      <c r="O678">
        <f>_xlfn.XLOOKUP(D678, Products!A:A, Products!D:D)</f>
        <v>288</v>
      </c>
      <c r="P678">
        <f>_xlfn.XLOOKUP(D678, Products!A:A, Products!E:E)</f>
        <v>370</v>
      </c>
    </row>
    <row r="679" spans="1:16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 t="shared" si="10"/>
        <v>Delhi</v>
      </c>
      <c r="M679" t="str">
        <f>_xlfn.XLOOKUP(D679, Products!A:A, Products!C:C)</f>
        <v>Electronics</v>
      </c>
      <c r="N679" t="str">
        <f>_xlfn.XLOOKUP(E679, Sales_Reps!A:A, Sales_Reps!C:C)</f>
        <v>North</v>
      </c>
      <c r="O679">
        <f>_xlfn.XLOOKUP(D679, Products!A:A, Products!D:D)</f>
        <v>861</v>
      </c>
      <c r="P679">
        <f>_xlfn.XLOOKUP(D679, Products!A:A, Products!E:E)</f>
        <v>1430</v>
      </c>
    </row>
    <row r="680" spans="1:16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 t="shared" si="10"/>
        <v>Bengaluru</v>
      </c>
      <c r="M680" t="str">
        <f>_xlfn.XLOOKUP(D680, Products!A:A, Products!C:C)</f>
        <v>Sports</v>
      </c>
      <c r="N680" t="str">
        <f>_xlfn.XLOOKUP(E680, Sales_Reps!A:A, Sales_Reps!C:C)</f>
        <v>West</v>
      </c>
      <c r="O680">
        <f>_xlfn.XLOOKUP(D680, Products!A:A, Products!D:D)</f>
        <v>974</v>
      </c>
      <c r="P680">
        <f>_xlfn.XLOOKUP(D680, Products!A:A, Products!E:E)</f>
        <v>2400</v>
      </c>
    </row>
    <row r="681" spans="1:16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 t="shared" si="10"/>
        <v>Delhi</v>
      </c>
      <c r="M681" t="str">
        <f>_xlfn.XLOOKUP(D681, Products!A:A, Products!C:C)</f>
        <v>Electronics</v>
      </c>
      <c r="N681" t="str">
        <f>_xlfn.XLOOKUP(E681, Sales_Reps!A:A, Sales_Reps!C:C)</f>
        <v>South</v>
      </c>
      <c r="O681">
        <f>_xlfn.XLOOKUP(D681, Products!A:A, Products!D:D)</f>
        <v>861</v>
      </c>
      <c r="P681">
        <f>_xlfn.XLOOKUP(D681, Products!A:A, Products!E:E)</f>
        <v>1430</v>
      </c>
    </row>
    <row r="682" spans="1:16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 t="shared" si="10"/>
        <v>Delhi</v>
      </c>
      <c r="M682" t="str">
        <f>_xlfn.XLOOKUP(D682, Products!A:A, Products!C:C)</f>
        <v>Apparel</v>
      </c>
      <c r="N682" t="str">
        <f>_xlfn.XLOOKUP(E682, Sales_Reps!A:A, Sales_Reps!C:C)</f>
        <v>North</v>
      </c>
      <c r="O682">
        <f>_xlfn.XLOOKUP(D682, Products!A:A, Products!D:D)</f>
        <v>1962</v>
      </c>
      <c r="P682">
        <f>_xlfn.XLOOKUP(D682, Products!A:A, Products!E:E)</f>
        <v>2720</v>
      </c>
    </row>
    <row r="683" spans="1:16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 t="shared" si="10"/>
        <v>Chennai</v>
      </c>
      <c r="M683" t="str">
        <f>_xlfn.XLOOKUP(D683, Products!A:A, Products!C:C)</f>
        <v>Sports</v>
      </c>
      <c r="N683" t="str">
        <f>_xlfn.XLOOKUP(E683, Sales_Reps!A:A, Sales_Reps!C:C)</f>
        <v>West</v>
      </c>
      <c r="O683">
        <f>_xlfn.XLOOKUP(D683, Products!A:A, Products!D:D)</f>
        <v>2827</v>
      </c>
      <c r="P683">
        <f>_xlfn.XLOOKUP(D683, Products!A:A, Products!E:E)</f>
        <v>6940</v>
      </c>
    </row>
    <row r="684" spans="1:16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 t="shared" si="10"/>
        <v>Pune</v>
      </c>
      <c r="M684" t="str">
        <f>_xlfn.XLOOKUP(D684, Products!A:A, Products!C:C)</f>
        <v>Apparel</v>
      </c>
      <c r="N684" t="str">
        <f>_xlfn.XLOOKUP(E684, Sales_Reps!A:A, Sales_Reps!C:C)</f>
        <v>North</v>
      </c>
      <c r="O684">
        <f>_xlfn.XLOOKUP(D684, Products!A:A, Products!D:D)</f>
        <v>2509</v>
      </c>
      <c r="P684">
        <f>_xlfn.XLOOKUP(D684, Products!A:A, Products!E:E)</f>
        <v>3620</v>
      </c>
    </row>
    <row r="685" spans="1:16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 t="shared" si="10"/>
        <v>Chennai</v>
      </c>
      <c r="M685" t="str">
        <f>_xlfn.XLOOKUP(D685, Products!A:A, Products!C:C)</f>
        <v>Electronics</v>
      </c>
      <c r="N685" t="str">
        <f>_xlfn.XLOOKUP(E685, Sales_Reps!A:A, Sales_Reps!C:C)</f>
        <v>West</v>
      </c>
      <c r="O685">
        <f>_xlfn.XLOOKUP(D685, Products!A:A, Products!D:D)</f>
        <v>1149</v>
      </c>
      <c r="P685">
        <f>_xlfn.XLOOKUP(D685, Products!A:A, Products!E:E)</f>
        <v>2640</v>
      </c>
    </row>
    <row r="686" spans="1:16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 t="shared" si="10"/>
        <v>Mumbai</v>
      </c>
      <c r="M686" t="str">
        <f>_xlfn.XLOOKUP(D686, Products!A:A, Products!C:C)</f>
        <v>Home</v>
      </c>
      <c r="N686" t="str">
        <f>_xlfn.XLOOKUP(E686, Sales_Reps!A:A, Sales_Reps!C:C)</f>
        <v>North</v>
      </c>
      <c r="O686">
        <f>_xlfn.XLOOKUP(D686, Products!A:A, Products!D:D)</f>
        <v>2549</v>
      </c>
      <c r="P686">
        <f>_xlfn.XLOOKUP(D686, Products!A:A, Products!E:E)</f>
        <v>5490</v>
      </c>
    </row>
    <row r="687" spans="1:16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 t="shared" si="10"/>
        <v>Pune</v>
      </c>
      <c r="M687" t="str">
        <f>_xlfn.XLOOKUP(D687, Products!A:A, Products!C:C)</f>
        <v>Home</v>
      </c>
      <c r="N687" t="str">
        <f>_xlfn.XLOOKUP(E687, Sales_Reps!A:A, Sales_Reps!C:C)</f>
        <v>East</v>
      </c>
      <c r="O687">
        <f>_xlfn.XLOOKUP(D687, Products!A:A, Products!D:D)</f>
        <v>2459</v>
      </c>
      <c r="P687">
        <f>_xlfn.XLOOKUP(D687, Products!A:A, Products!E:E)</f>
        <v>5080</v>
      </c>
    </row>
    <row r="688" spans="1:16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 t="shared" si="10"/>
        <v>Bengaluru</v>
      </c>
      <c r="M688" t="str">
        <f>_xlfn.XLOOKUP(D688, Products!A:A, Products!C:C)</f>
        <v>Beauty</v>
      </c>
      <c r="N688" t="str">
        <f>_xlfn.XLOOKUP(E688, Sales_Reps!A:A, Sales_Reps!C:C)</f>
        <v>West</v>
      </c>
      <c r="O688">
        <f>_xlfn.XLOOKUP(D688, Products!A:A, Products!D:D)</f>
        <v>1219</v>
      </c>
      <c r="P688">
        <f>_xlfn.XLOOKUP(D688, Products!A:A, Products!E:E)</f>
        <v>2290</v>
      </c>
    </row>
    <row r="689" spans="1:16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 t="shared" si="10"/>
        <v>Pune</v>
      </c>
      <c r="M689" t="str">
        <f>_xlfn.XLOOKUP(D689, Products!A:A, Products!C:C)</f>
        <v>Home</v>
      </c>
      <c r="N689" t="str">
        <f>_xlfn.XLOOKUP(E689, Sales_Reps!A:A, Sales_Reps!C:C)</f>
        <v>South</v>
      </c>
      <c r="O689">
        <f>_xlfn.XLOOKUP(D689, Products!A:A, Products!D:D)</f>
        <v>1143</v>
      </c>
      <c r="P689">
        <f>_xlfn.XLOOKUP(D689, Products!A:A, Products!E:E)</f>
        <v>2030</v>
      </c>
    </row>
    <row r="690" spans="1:16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 t="shared" si="10"/>
        <v>Mumbai</v>
      </c>
      <c r="M690" t="str">
        <f>_xlfn.XLOOKUP(D690, Products!A:A, Products!C:C)</f>
        <v>Electronics</v>
      </c>
      <c r="N690" t="str">
        <f>_xlfn.XLOOKUP(E690, Sales_Reps!A:A, Sales_Reps!C:C)</f>
        <v>South</v>
      </c>
      <c r="O690">
        <f>_xlfn.XLOOKUP(D690, Products!A:A, Products!D:D)</f>
        <v>861</v>
      </c>
      <c r="P690">
        <f>_xlfn.XLOOKUP(D690, Products!A:A, Products!E:E)</f>
        <v>1430</v>
      </c>
    </row>
    <row r="691" spans="1:16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 t="shared" si="10"/>
        <v>Mumbai</v>
      </c>
      <c r="M691" t="str">
        <f>_xlfn.XLOOKUP(D691, Products!A:A, Products!C:C)</f>
        <v>Grocery</v>
      </c>
      <c r="N691" t="str">
        <f>_xlfn.XLOOKUP(E691, Sales_Reps!A:A, Sales_Reps!C:C)</f>
        <v>South</v>
      </c>
      <c r="O691">
        <f>_xlfn.XLOOKUP(D691, Products!A:A, Products!D:D)</f>
        <v>2436</v>
      </c>
      <c r="P691">
        <f>_xlfn.XLOOKUP(D691, Products!A:A, Products!E:E)</f>
        <v>3780</v>
      </c>
    </row>
    <row r="692" spans="1:16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 t="shared" si="10"/>
        <v>Mumbai</v>
      </c>
      <c r="M692" t="str">
        <f>_xlfn.XLOOKUP(D692, Products!A:A, Products!C:C)</f>
        <v>Apparel</v>
      </c>
      <c r="N692" t="str">
        <f>_xlfn.XLOOKUP(E692, Sales_Reps!A:A, Sales_Reps!C:C)</f>
        <v>East</v>
      </c>
      <c r="O692">
        <f>_xlfn.XLOOKUP(D692, Products!A:A, Products!D:D)</f>
        <v>1886</v>
      </c>
      <c r="P692">
        <f>_xlfn.XLOOKUP(D692, Products!A:A, Products!E:E)</f>
        <v>3160</v>
      </c>
    </row>
    <row r="693" spans="1:16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 t="shared" si="10"/>
        <v>Pune</v>
      </c>
      <c r="M693" t="str">
        <f>_xlfn.XLOOKUP(D693, Products!A:A, Products!C:C)</f>
        <v>Electronics</v>
      </c>
      <c r="N693" t="str">
        <f>_xlfn.XLOOKUP(E693, Sales_Reps!A:A, Sales_Reps!C:C)</f>
        <v>North</v>
      </c>
      <c r="O693">
        <f>_xlfn.XLOOKUP(D693, Products!A:A, Products!D:D)</f>
        <v>861</v>
      </c>
      <c r="P693">
        <f>_xlfn.XLOOKUP(D693, Products!A:A, Products!E:E)</f>
        <v>1430</v>
      </c>
    </row>
    <row r="694" spans="1:16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 t="shared" si="10"/>
        <v>Bengaluru</v>
      </c>
      <c r="M694" t="str">
        <f>_xlfn.XLOOKUP(D694, Products!A:A, Products!C:C)</f>
        <v>Apparel</v>
      </c>
      <c r="N694" t="str">
        <f>_xlfn.XLOOKUP(E694, Sales_Reps!A:A, Sales_Reps!C:C)</f>
        <v>North</v>
      </c>
      <c r="O694">
        <f>_xlfn.XLOOKUP(D694, Products!A:A, Products!D:D)</f>
        <v>1886</v>
      </c>
      <c r="P694">
        <f>_xlfn.XLOOKUP(D694, Products!A:A, Products!E:E)</f>
        <v>3160</v>
      </c>
    </row>
    <row r="695" spans="1:16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 t="shared" si="10"/>
        <v>Pune</v>
      </c>
      <c r="M695" t="str">
        <f>_xlfn.XLOOKUP(D695, Products!A:A, Products!C:C)</f>
        <v>Beauty</v>
      </c>
      <c r="N695" t="str">
        <f>_xlfn.XLOOKUP(E695, Sales_Reps!A:A, Sales_Reps!C:C)</f>
        <v>North</v>
      </c>
      <c r="O695">
        <f>_xlfn.XLOOKUP(D695, Products!A:A, Products!D:D)</f>
        <v>1219</v>
      </c>
      <c r="P695">
        <f>_xlfn.XLOOKUP(D695, Products!A:A, Products!E:E)</f>
        <v>2290</v>
      </c>
    </row>
    <row r="696" spans="1:16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 t="shared" si="10"/>
        <v>Pune</v>
      </c>
      <c r="M696" t="str">
        <f>_xlfn.XLOOKUP(D696, Products!A:A, Products!C:C)</f>
        <v>Apparel</v>
      </c>
      <c r="N696" t="str">
        <f>_xlfn.XLOOKUP(E696, Sales_Reps!A:A, Sales_Reps!C:C)</f>
        <v>South</v>
      </c>
      <c r="O696">
        <f>_xlfn.XLOOKUP(D696, Products!A:A, Products!D:D)</f>
        <v>1748</v>
      </c>
      <c r="P696">
        <f>_xlfn.XLOOKUP(D696, Products!A:A, Products!E:E)</f>
        <v>3450</v>
      </c>
    </row>
    <row r="697" spans="1:16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 t="shared" si="10"/>
        <v>Chennai</v>
      </c>
      <c r="M697" t="str">
        <f>_xlfn.XLOOKUP(D697, Products!A:A, Products!C:C)</f>
        <v>Apparel</v>
      </c>
      <c r="N697" t="str">
        <f>_xlfn.XLOOKUP(E697, Sales_Reps!A:A, Sales_Reps!C:C)</f>
        <v>North</v>
      </c>
      <c r="O697">
        <f>_xlfn.XLOOKUP(D697, Products!A:A, Products!D:D)</f>
        <v>2629</v>
      </c>
      <c r="P697">
        <f>_xlfn.XLOOKUP(D697, Products!A:A, Products!E:E)</f>
        <v>3560</v>
      </c>
    </row>
    <row r="698" spans="1:16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 t="shared" si="10"/>
        <v>Hyderabad</v>
      </c>
      <c r="M698" t="str">
        <f>_xlfn.XLOOKUP(D698, Products!A:A, Products!C:C)</f>
        <v>Sports</v>
      </c>
      <c r="N698" t="str">
        <f>_xlfn.XLOOKUP(E698, Sales_Reps!A:A, Sales_Reps!C:C)</f>
        <v>South</v>
      </c>
      <c r="O698">
        <f>_xlfn.XLOOKUP(D698, Products!A:A, Products!D:D)</f>
        <v>974</v>
      </c>
      <c r="P698">
        <f>_xlfn.XLOOKUP(D698, Products!A:A, Products!E:E)</f>
        <v>2400</v>
      </c>
    </row>
    <row r="699" spans="1:16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 t="shared" si="10"/>
        <v>Chennai</v>
      </c>
      <c r="M699" t="str">
        <f>_xlfn.XLOOKUP(D699, Products!A:A, Products!C:C)</f>
        <v>Electronics</v>
      </c>
      <c r="N699" t="str">
        <f>_xlfn.XLOOKUP(E699, Sales_Reps!A:A, Sales_Reps!C:C)</f>
        <v>East</v>
      </c>
      <c r="O699">
        <f>_xlfn.XLOOKUP(D699, Products!A:A, Products!D:D)</f>
        <v>1559</v>
      </c>
      <c r="P699">
        <f>_xlfn.XLOOKUP(D699, Products!A:A, Products!E:E)</f>
        <v>3870</v>
      </c>
    </row>
    <row r="700" spans="1:16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 t="shared" si="10"/>
        <v>Delhi</v>
      </c>
      <c r="M700" t="str">
        <f>_xlfn.XLOOKUP(D700, Products!A:A, Products!C:C)</f>
        <v>Grocery</v>
      </c>
      <c r="N700" t="str">
        <f>_xlfn.XLOOKUP(E700, Sales_Reps!A:A, Sales_Reps!C:C)</f>
        <v>East</v>
      </c>
      <c r="O700">
        <f>_xlfn.XLOOKUP(D700, Products!A:A, Products!D:D)</f>
        <v>2214</v>
      </c>
      <c r="P700">
        <f>_xlfn.XLOOKUP(D700, Products!A:A, Products!E:E)</f>
        <v>3660</v>
      </c>
    </row>
    <row r="701" spans="1:16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 t="shared" si="10"/>
        <v>Chennai</v>
      </c>
      <c r="M701" t="str">
        <f>_xlfn.XLOOKUP(D701, Products!A:A, Products!C:C)</f>
        <v>Home</v>
      </c>
      <c r="N701" t="str">
        <f>_xlfn.XLOOKUP(E701, Sales_Reps!A:A, Sales_Reps!C:C)</f>
        <v>West</v>
      </c>
      <c r="O701">
        <f>_xlfn.XLOOKUP(D701, Products!A:A, Products!D:D)</f>
        <v>519</v>
      </c>
      <c r="P701">
        <f>_xlfn.XLOOKUP(D701, Products!A:A, Products!E:E)</f>
        <v>1080</v>
      </c>
    </row>
    <row r="702" spans="1:16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 t="shared" si="10"/>
        <v>Bengaluru</v>
      </c>
      <c r="M702" t="str">
        <f>_xlfn.XLOOKUP(D702, Products!A:A, Products!C:C)</f>
        <v>Sports</v>
      </c>
      <c r="N702" t="str">
        <f>_xlfn.XLOOKUP(E702, Sales_Reps!A:A, Sales_Reps!C:C)</f>
        <v>North</v>
      </c>
      <c r="O702">
        <f>_xlfn.XLOOKUP(D702, Products!A:A, Products!D:D)</f>
        <v>1860</v>
      </c>
      <c r="P702">
        <f>_xlfn.XLOOKUP(D702, Products!A:A, Products!E:E)</f>
        <v>3780</v>
      </c>
    </row>
    <row r="703" spans="1:16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 t="shared" si="10"/>
        <v>Mumbai</v>
      </c>
      <c r="M703" t="str">
        <f>_xlfn.XLOOKUP(D703, Products!A:A, Products!C:C)</f>
        <v>Apparel</v>
      </c>
      <c r="N703" t="str">
        <f>_xlfn.XLOOKUP(E703, Sales_Reps!A:A, Sales_Reps!C:C)</f>
        <v>East</v>
      </c>
      <c r="O703">
        <f>_xlfn.XLOOKUP(D703, Products!A:A, Products!D:D)</f>
        <v>1173</v>
      </c>
      <c r="P703">
        <f>_xlfn.XLOOKUP(D703, Products!A:A, Products!E:E)</f>
        <v>2480</v>
      </c>
    </row>
    <row r="704" spans="1:16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 t="shared" si="10"/>
        <v>Pune</v>
      </c>
      <c r="M704" t="str">
        <f>_xlfn.XLOOKUP(D704, Products!A:A, Products!C:C)</f>
        <v>Sports</v>
      </c>
      <c r="N704" t="str">
        <f>_xlfn.XLOOKUP(E704, Sales_Reps!A:A, Sales_Reps!C:C)</f>
        <v>South</v>
      </c>
      <c r="O704">
        <f>_xlfn.XLOOKUP(D704, Products!A:A, Products!D:D)</f>
        <v>516</v>
      </c>
      <c r="P704">
        <f>_xlfn.XLOOKUP(D704, Products!A:A, Products!E:E)</f>
        <v>1010</v>
      </c>
    </row>
    <row r="705" spans="1:16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 t="shared" si="10"/>
        <v>Pune</v>
      </c>
      <c r="M705" t="str">
        <f>_xlfn.XLOOKUP(D705, Products!A:A, Products!C:C)</f>
        <v>Sports</v>
      </c>
      <c r="N705" t="str">
        <f>_xlfn.XLOOKUP(E705, Sales_Reps!A:A, Sales_Reps!C:C)</f>
        <v>South</v>
      </c>
      <c r="O705">
        <f>_xlfn.XLOOKUP(D705, Products!A:A, Products!D:D)</f>
        <v>302</v>
      </c>
      <c r="P705">
        <f>_xlfn.XLOOKUP(D705, Products!A:A, Products!E:E)</f>
        <v>470</v>
      </c>
    </row>
    <row r="706" spans="1:16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 t="shared" si="10"/>
        <v>Delhi</v>
      </c>
      <c r="M706" t="str">
        <f>_xlfn.XLOOKUP(D706, Products!A:A, Products!C:C)</f>
        <v>Grocery</v>
      </c>
      <c r="N706" t="str">
        <f>_xlfn.XLOOKUP(E706, Sales_Reps!A:A, Sales_Reps!C:C)</f>
        <v>East</v>
      </c>
      <c r="O706">
        <f>_xlfn.XLOOKUP(D706, Products!A:A, Products!D:D)</f>
        <v>1203</v>
      </c>
      <c r="P706">
        <f>_xlfn.XLOOKUP(D706, Products!A:A, Products!E:E)</f>
        <v>2270</v>
      </c>
    </row>
    <row r="707" spans="1:16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 t="shared" ref="L707:L770" si="11">PROPER(TRIM(K707))</f>
        <v>Delhi</v>
      </c>
      <c r="M707" t="str">
        <f>_xlfn.XLOOKUP(D707, Products!A:A, Products!C:C)</f>
        <v>Grocery</v>
      </c>
      <c r="N707" t="str">
        <f>_xlfn.XLOOKUP(E707, Sales_Reps!A:A, Sales_Reps!C:C)</f>
        <v>South</v>
      </c>
      <c r="O707">
        <f>_xlfn.XLOOKUP(D707, Products!A:A, Products!D:D)</f>
        <v>1435</v>
      </c>
      <c r="P707">
        <f>_xlfn.XLOOKUP(D707, Products!A:A, Products!E:E)</f>
        <v>2760</v>
      </c>
    </row>
    <row r="708" spans="1:16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 t="shared" si="11"/>
        <v>Hyderabad</v>
      </c>
      <c r="M708" t="str">
        <f>_xlfn.XLOOKUP(D708, Products!A:A, Products!C:C)</f>
        <v>Sports</v>
      </c>
      <c r="N708" t="str">
        <f>_xlfn.XLOOKUP(E708, Sales_Reps!A:A, Sales_Reps!C:C)</f>
        <v>North</v>
      </c>
      <c r="O708">
        <f>_xlfn.XLOOKUP(D708, Products!A:A, Products!D:D)</f>
        <v>2467</v>
      </c>
      <c r="P708">
        <f>_xlfn.XLOOKUP(D708, Products!A:A, Products!E:E)</f>
        <v>3450</v>
      </c>
    </row>
    <row r="709" spans="1:16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 t="shared" si="11"/>
        <v>Hyderabad</v>
      </c>
      <c r="M709" t="str">
        <f>_xlfn.XLOOKUP(D709, Products!A:A, Products!C:C)</f>
        <v>Grocery</v>
      </c>
      <c r="N709" t="str">
        <f>_xlfn.XLOOKUP(E709, Sales_Reps!A:A, Sales_Reps!C:C)</f>
        <v>North</v>
      </c>
      <c r="O709">
        <f>_xlfn.XLOOKUP(D709, Products!A:A, Products!D:D)</f>
        <v>2214</v>
      </c>
      <c r="P709">
        <f>_xlfn.XLOOKUP(D709, Products!A:A, Products!E:E)</f>
        <v>3660</v>
      </c>
    </row>
    <row r="710" spans="1:16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 t="shared" si="11"/>
        <v>Pune</v>
      </c>
      <c r="M710" t="str">
        <f>_xlfn.XLOOKUP(D710, Products!A:A, Products!C:C)</f>
        <v>Electronics</v>
      </c>
      <c r="N710" t="str">
        <f>_xlfn.XLOOKUP(E710, Sales_Reps!A:A, Sales_Reps!C:C)</f>
        <v>West</v>
      </c>
      <c r="O710">
        <f>_xlfn.XLOOKUP(D710, Products!A:A, Products!D:D)</f>
        <v>517</v>
      </c>
      <c r="P710">
        <f>_xlfn.XLOOKUP(D710, Products!A:A, Products!E:E)</f>
        <v>1220</v>
      </c>
    </row>
    <row r="711" spans="1:16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 t="shared" si="11"/>
        <v>Hyderabad</v>
      </c>
      <c r="M711" t="str">
        <f>_xlfn.XLOOKUP(D711, Products!A:A, Products!C:C)</f>
        <v>Sports</v>
      </c>
      <c r="N711" t="str">
        <f>_xlfn.XLOOKUP(E711, Sales_Reps!A:A, Sales_Reps!C:C)</f>
        <v>North</v>
      </c>
      <c r="O711">
        <f>_xlfn.XLOOKUP(D711, Products!A:A, Products!D:D)</f>
        <v>2265</v>
      </c>
      <c r="P711">
        <f>_xlfn.XLOOKUP(D711, Products!A:A, Products!E:E)</f>
        <v>5410</v>
      </c>
    </row>
    <row r="712" spans="1:16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 t="shared" si="11"/>
        <v>Pune</v>
      </c>
      <c r="M712" t="str">
        <f>_xlfn.XLOOKUP(D712, Products!A:A, Products!C:C)</f>
        <v>Home</v>
      </c>
      <c r="N712" t="str">
        <f>_xlfn.XLOOKUP(E712, Sales_Reps!A:A, Sales_Reps!C:C)</f>
        <v>South</v>
      </c>
      <c r="O712">
        <f>_xlfn.XLOOKUP(D712, Products!A:A, Products!D:D)</f>
        <v>1143</v>
      </c>
      <c r="P712">
        <f>_xlfn.XLOOKUP(D712, Products!A:A, Products!E:E)</f>
        <v>2030</v>
      </c>
    </row>
    <row r="713" spans="1:16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 t="shared" si="11"/>
        <v>Chennai</v>
      </c>
      <c r="M713" t="str">
        <f>_xlfn.XLOOKUP(D713, Products!A:A, Products!C:C)</f>
        <v>Electronics</v>
      </c>
      <c r="N713" t="str">
        <f>_xlfn.XLOOKUP(E713, Sales_Reps!A:A, Sales_Reps!C:C)</f>
        <v>South</v>
      </c>
      <c r="O713">
        <f>_xlfn.XLOOKUP(D713, Products!A:A, Products!D:D)</f>
        <v>517</v>
      </c>
      <c r="P713">
        <f>_xlfn.XLOOKUP(D713, Products!A:A, Products!E:E)</f>
        <v>1220</v>
      </c>
    </row>
    <row r="714" spans="1:16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 t="shared" si="11"/>
        <v>Mumbai</v>
      </c>
      <c r="M714" t="str">
        <f>_xlfn.XLOOKUP(D714, Products!A:A, Products!C:C)</f>
        <v>Electronics</v>
      </c>
      <c r="N714" t="str">
        <f>_xlfn.XLOOKUP(E714, Sales_Reps!A:A, Sales_Reps!C:C)</f>
        <v>North</v>
      </c>
      <c r="O714">
        <f>_xlfn.XLOOKUP(D714, Products!A:A, Products!D:D)</f>
        <v>1259</v>
      </c>
      <c r="P714">
        <f>_xlfn.XLOOKUP(D714, Products!A:A, Products!E:E)</f>
        <v>2660</v>
      </c>
    </row>
    <row r="715" spans="1:16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 t="shared" si="11"/>
        <v>Bengaluru</v>
      </c>
      <c r="M715" t="str">
        <f>_xlfn.XLOOKUP(D715, Products!A:A, Products!C:C)</f>
        <v>Grocery</v>
      </c>
      <c r="N715" t="str">
        <f>_xlfn.XLOOKUP(E715, Sales_Reps!A:A, Sales_Reps!C:C)</f>
        <v>South</v>
      </c>
      <c r="O715">
        <f>_xlfn.XLOOKUP(D715, Products!A:A, Products!D:D)</f>
        <v>2027</v>
      </c>
      <c r="P715">
        <f>_xlfn.XLOOKUP(D715, Products!A:A, Products!E:E)</f>
        <v>4070</v>
      </c>
    </row>
    <row r="716" spans="1:16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 t="shared" si="11"/>
        <v>Hyderabad</v>
      </c>
      <c r="M716" t="str">
        <f>_xlfn.XLOOKUP(D716, Products!A:A, Products!C:C)</f>
        <v>Beauty</v>
      </c>
      <c r="N716" t="str">
        <f>_xlfn.XLOOKUP(E716, Sales_Reps!A:A, Sales_Reps!C:C)</f>
        <v>South</v>
      </c>
      <c r="O716">
        <f>_xlfn.XLOOKUP(D716, Products!A:A, Products!D:D)</f>
        <v>675</v>
      </c>
      <c r="P716">
        <f>_xlfn.XLOOKUP(D716, Products!A:A, Products!E:E)</f>
        <v>960</v>
      </c>
    </row>
    <row r="717" spans="1:16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 t="shared" si="11"/>
        <v>Chennai</v>
      </c>
      <c r="M717" t="str">
        <f>_xlfn.XLOOKUP(D717, Products!A:A, Products!C:C)</f>
        <v>Home</v>
      </c>
      <c r="N717" t="str">
        <f>_xlfn.XLOOKUP(E717, Sales_Reps!A:A, Sales_Reps!C:C)</f>
        <v>West</v>
      </c>
      <c r="O717">
        <f>_xlfn.XLOOKUP(D717, Products!A:A, Products!D:D)</f>
        <v>2135</v>
      </c>
      <c r="P717">
        <f>_xlfn.XLOOKUP(D717, Products!A:A, Products!E:E)</f>
        <v>3730</v>
      </c>
    </row>
    <row r="718" spans="1:16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 t="shared" si="11"/>
        <v>Chennai</v>
      </c>
      <c r="M718" t="str">
        <f>_xlfn.XLOOKUP(D718, Products!A:A, Products!C:C)</f>
        <v>Sports</v>
      </c>
      <c r="N718" t="str">
        <f>_xlfn.XLOOKUP(E718, Sales_Reps!A:A, Sales_Reps!C:C)</f>
        <v>North</v>
      </c>
      <c r="O718">
        <f>_xlfn.XLOOKUP(D718, Products!A:A, Products!D:D)</f>
        <v>705</v>
      </c>
      <c r="P718">
        <f>_xlfn.XLOOKUP(D718, Products!A:A, Products!E:E)</f>
        <v>960</v>
      </c>
    </row>
    <row r="719" spans="1:16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 t="shared" si="11"/>
        <v>Pune</v>
      </c>
      <c r="M719" t="str">
        <f>_xlfn.XLOOKUP(D719, Products!A:A, Products!C:C)</f>
        <v>Apparel</v>
      </c>
      <c r="N719" t="str">
        <f>_xlfn.XLOOKUP(E719, Sales_Reps!A:A, Sales_Reps!C:C)</f>
        <v>North</v>
      </c>
      <c r="O719">
        <f>_xlfn.XLOOKUP(D719, Products!A:A, Products!D:D)</f>
        <v>1748</v>
      </c>
      <c r="P719">
        <f>_xlfn.XLOOKUP(D719, Products!A:A, Products!E:E)</f>
        <v>3450</v>
      </c>
    </row>
    <row r="720" spans="1:16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 t="shared" si="11"/>
        <v>Bengaluru</v>
      </c>
      <c r="M720" t="str">
        <f>_xlfn.XLOOKUP(D720, Products!A:A, Products!C:C)</f>
        <v>Sports</v>
      </c>
      <c r="N720" t="str">
        <f>_xlfn.XLOOKUP(E720, Sales_Reps!A:A, Sales_Reps!C:C)</f>
        <v>South</v>
      </c>
      <c r="O720">
        <f>_xlfn.XLOOKUP(D720, Products!A:A, Products!D:D)</f>
        <v>2265</v>
      </c>
      <c r="P720">
        <f>_xlfn.XLOOKUP(D720, Products!A:A, Products!E:E)</f>
        <v>5410</v>
      </c>
    </row>
    <row r="721" spans="1:16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 t="shared" si="11"/>
        <v>Hyderabad</v>
      </c>
      <c r="M721" t="str">
        <f>_xlfn.XLOOKUP(D721, Products!A:A, Products!C:C)</f>
        <v>Beauty</v>
      </c>
      <c r="N721" t="str">
        <f>_xlfn.XLOOKUP(E721, Sales_Reps!A:A, Sales_Reps!C:C)</f>
        <v>East</v>
      </c>
      <c r="O721">
        <f>_xlfn.XLOOKUP(D721, Products!A:A, Products!D:D)</f>
        <v>1728</v>
      </c>
      <c r="P721">
        <f>_xlfn.XLOOKUP(D721, Products!A:A, Products!E:E)</f>
        <v>3350</v>
      </c>
    </row>
    <row r="722" spans="1:16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 t="shared" si="11"/>
        <v>Delhi</v>
      </c>
      <c r="M722" t="str">
        <f>_xlfn.XLOOKUP(D722, Products!A:A, Products!C:C)</f>
        <v>Apparel</v>
      </c>
      <c r="N722" t="str">
        <f>_xlfn.XLOOKUP(E722, Sales_Reps!A:A, Sales_Reps!C:C)</f>
        <v>North</v>
      </c>
      <c r="O722">
        <f>_xlfn.XLOOKUP(D722, Products!A:A, Products!D:D)</f>
        <v>1962</v>
      </c>
      <c r="P722">
        <f>_xlfn.XLOOKUP(D722, Products!A:A, Products!E:E)</f>
        <v>2720</v>
      </c>
    </row>
    <row r="723" spans="1:16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 t="shared" si="11"/>
        <v>Bengaluru</v>
      </c>
      <c r="M723" t="str">
        <f>_xlfn.XLOOKUP(D723, Products!A:A, Products!C:C)</f>
        <v>Grocery</v>
      </c>
      <c r="N723" t="str">
        <f>_xlfn.XLOOKUP(E723, Sales_Reps!A:A, Sales_Reps!C:C)</f>
        <v>East</v>
      </c>
      <c r="O723">
        <f>_xlfn.XLOOKUP(D723, Products!A:A, Products!D:D)</f>
        <v>2214</v>
      </c>
      <c r="P723">
        <f>_xlfn.XLOOKUP(D723, Products!A:A, Products!E:E)</f>
        <v>3660</v>
      </c>
    </row>
    <row r="724" spans="1:16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 t="shared" si="11"/>
        <v>Chennai</v>
      </c>
      <c r="M724" t="str">
        <f>_xlfn.XLOOKUP(D724, Products!A:A, Products!C:C)</f>
        <v>Electronics</v>
      </c>
      <c r="N724" t="str">
        <f>_xlfn.XLOOKUP(E724, Sales_Reps!A:A, Sales_Reps!C:C)</f>
        <v>South</v>
      </c>
      <c r="O724">
        <f>_xlfn.XLOOKUP(D724, Products!A:A, Products!D:D)</f>
        <v>128</v>
      </c>
      <c r="P724">
        <f>_xlfn.XLOOKUP(D724, Products!A:A, Products!E:E)</f>
        <v>300</v>
      </c>
    </row>
    <row r="725" spans="1:16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 t="shared" si="11"/>
        <v>Chennai</v>
      </c>
      <c r="M725" t="str">
        <f>_xlfn.XLOOKUP(D725, Products!A:A, Products!C:C)</f>
        <v>Beauty</v>
      </c>
      <c r="N725" t="str">
        <f>_xlfn.XLOOKUP(E725, Sales_Reps!A:A, Sales_Reps!C:C)</f>
        <v>West</v>
      </c>
      <c r="O725">
        <f>_xlfn.XLOOKUP(D725, Products!A:A, Products!D:D)</f>
        <v>1219</v>
      </c>
      <c r="P725">
        <f>_xlfn.XLOOKUP(D725, Products!A:A, Products!E:E)</f>
        <v>2290</v>
      </c>
    </row>
    <row r="726" spans="1:16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 t="shared" si="11"/>
        <v>Chennai</v>
      </c>
      <c r="M726" t="str">
        <f>_xlfn.XLOOKUP(D726, Products!A:A, Products!C:C)</f>
        <v>Beauty</v>
      </c>
      <c r="N726" t="str">
        <f>_xlfn.XLOOKUP(E726, Sales_Reps!A:A, Sales_Reps!C:C)</f>
        <v>South</v>
      </c>
      <c r="O726">
        <f>_xlfn.XLOOKUP(D726, Products!A:A, Products!D:D)</f>
        <v>2768</v>
      </c>
      <c r="P726">
        <f>_xlfn.XLOOKUP(D726, Products!A:A, Products!E:E)</f>
        <v>4880</v>
      </c>
    </row>
    <row r="727" spans="1:16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 t="shared" si="11"/>
        <v>Bengaluru</v>
      </c>
      <c r="M727" t="str">
        <f>_xlfn.XLOOKUP(D727, Products!A:A, Products!C:C)</f>
        <v>Electronics</v>
      </c>
      <c r="N727" t="str">
        <f>_xlfn.XLOOKUP(E727, Sales_Reps!A:A, Sales_Reps!C:C)</f>
        <v>North</v>
      </c>
      <c r="O727">
        <f>_xlfn.XLOOKUP(D727, Products!A:A, Products!D:D)</f>
        <v>128</v>
      </c>
      <c r="P727">
        <f>_xlfn.XLOOKUP(D727, Products!A:A, Products!E:E)</f>
        <v>300</v>
      </c>
    </row>
    <row r="728" spans="1:16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 t="shared" si="11"/>
        <v>Hyderabad</v>
      </c>
      <c r="M728" t="str">
        <f>_xlfn.XLOOKUP(D728, Products!A:A, Products!C:C)</f>
        <v>Electronics</v>
      </c>
      <c r="N728" t="str">
        <f>_xlfn.XLOOKUP(E728, Sales_Reps!A:A, Sales_Reps!C:C)</f>
        <v>West</v>
      </c>
      <c r="O728">
        <f>_xlfn.XLOOKUP(D728, Products!A:A, Products!D:D)</f>
        <v>1259</v>
      </c>
      <c r="P728">
        <f>_xlfn.XLOOKUP(D728, Products!A:A, Products!E:E)</f>
        <v>2660</v>
      </c>
    </row>
    <row r="729" spans="1:16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 t="shared" si="11"/>
        <v>Bengaluru</v>
      </c>
      <c r="M729" t="str">
        <f>_xlfn.XLOOKUP(D729, Products!A:A, Products!C:C)</f>
        <v>Home</v>
      </c>
      <c r="N729" t="str">
        <f>_xlfn.XLOOKUP(E729, Sales_Reps!A:A, Sales_Reps!C:C)</f>
        <v>West</v>
      </c>
      <c r="O729">
        <f>_xlfn.XLOOKUP(D729, Products!A:A, Products!D:D)</f>
        <v>464</v>
      </c>
      <c r="P729">
        <f>_xlfn.XLOOKUP(D729, Products!A:A, Products!E:E)</f>
        <v>1090</v>
      </c>
    </row>
    <row r="730" spans="1:16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 t="shared" si="11"/>
        <v>Pune</v>
      </c>
      <c r="M730" t="str">
        <f>_xlfn.XLOOKUP(D730, Products!A:A, Products!C:C)</f>
        <v>Electronics</v>
      </c>
      <c r="N730" t="str">
        <f>_xlfn.XLOOKUP(E730, Sales_Reps!A:A, Sales_Reps!C:C)</f>
        <v>South</v>
      </c>
      <c r="O730">
        <f>_xlfn.XLOOKUP(D730, Products!A:A, Products!D:D)</f>
        <v>861</v>
      </c>
      <c r="P730">
        <f>_xlfn.XLOOKUP(D730, Products!A:A, Products!E:E)</f>
        <v>1430</v>
      </c>
    </row>
    <row r="731" spans="1:16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 t="shared" si="11"/>
        <v>Chennai</v>
      </c>
      <c r="M731" t="str">
        <f>_xlfn.XLOOKUP(D731, Products!A:A, Products!C:C)</f>
        <v>Electronics</v>
      </c>
      <c r="N731" t="str">
        <f>_xlfn.XLOOKUP(E731, Sales_Reps!A:A, Sales_Reps!C:C)</f>
        <v>North</v>
      </c>
      <c r="O731">
        <f>_xlfn.XLOOKUP(D731, Products!A:A, Products!D:D)</f>
        <v>1149</v>
      </c>
      <c r="P731">
        <f>_xlfn.XLOOKUP(D731, Products!A:A, Products!E:E)</f>
        <v>2640</v>
      </c>
    </row>
    <row r="732" spans="1:16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 t="shared" si="11"/>
        <v>Pune</v>
      </c>
      <c r="M732" t="str">
        <f>_xlfn.XLOOKUP(D732, Products!A:A, Products!C:C)</f>
        <v>Apparel</v>
      </c>
      <c r="N732" t="str">
        <f>_xlfn.XLOOKUP(E732, Sales_Reps!A:A, Sales_Reps!C:C)</f>
        <v>North</v>
      </c>
      <c r="O732">
        <f>_xlfn.XLOOKUP(D732, Products!A:A, Products!D:D)</f>
        <v>1962</v>
      </c>
      <c r="P732">
        <f>_xlfn.XLOOKUP(D732, Products!A:A, Products!E:E)</f>
        <v>2720</v>
      </c>
    </row>
    <row r="733" spans="1:16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 t="shared" si="11"/>
        <v>Hyderabad</v>
      </c>
      <c r="M733" t="str">
        <f>_xlfn.XLOOKUP(D733, Products!A:A, Products!C:C)</f>
        <v>Apparel</v>
      </c>
      <c r="N733" t="str">
        <f>_xlfn.XLOOKUP(E733, Sales_Reps!A:A, Sales_Reps!C:C)</f>
        <v>South</v>
      </c>
      <c r="O733">
        <f>_xlfn.XLOOKUP(D733, Products!A:A, Products!D:D)</f>
        <v>2611</v>
      </c>
      <c r="P733">
        <f>_xlfn.XLOOKUP(D733, Products!A:A, Products!E:E)</f>
        <v>3640</v>
      </c>
    </row>
    <row r="734" spans="1:16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 t="shared" si="11"/>
        <v>Mumbai</v>
      </c>
      <c r="M734" t="str">
        <f>_xlfn.XLOOKUP(D734, Products!A:A, Products!C:C)</f>
        <v>Beauty</v>
      </c>
      <c r="N734" t="str">
        <f>_xlfn.XLOOKUP(E734, Sales_Reps!A:A, Sales_Reps!C:C)</f>
        <v>East</v>
      </c>
      <c r="O734">
        <f>_xlfn.XLOOKUP(D734, Products!A:A, Products!D:D)</f>
        <v>2617</v>
      </c>
      <c r="P734">
        <f>_xlfn.XLOOKUP(D734, Products!A:A, Products!E:E)</f>
        <v>6080</v>
      </c>
    </row>
    <row r="735" spans="1:16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 t="shared" si="11"/>
        <v>Chennai</v>
      </c>
      <c r="M735" t="str">
        <f>_xlfn.XLOOKUP(D735, Products!A:A, Products!C:C)</f>
        <v>Electronics</v>
      </c>
      <c r="N735" t="str">
        <f>_xlfn.XLOOKUP(E735, Sales_Reps!A:A, Sales_Reps!C:C)</f>
        <v>South</v>
      </c>
      <c r="O735">
        <f>_xlfn.XLOOKUP(D735, Products!A:A, Products!D:D)</f>
        <v>2405</v>
      </c>
      <c r="P735">
        <f>_xlfn.XLOOKUP(D735, Products!A:A, Products!E:E)</f>
        <v>5330</v>
      </c>
    </row>
    <row r="736" spans="1:16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 t="shared" si="11"/>
        <v>Hyderabad</v>
      </c>
      <c r="M736" t="str">
        <f>_xlfn.XLOOKUP(D736, Products!A:A, Products!C:C)</f>
        <v>Home</v>
      </c>
      <c r="N736" t="str">
        <f>_xlfn.XLOOKUP(E736, Sales_Reps!A:A, Sales_Reps!C:C)</f>
        <v>West</v>
      </c>
      <c r="O736">
        <f>_xlfn.XLOOKUP(D736, Products!A:A, Products!D:D)</f>
        <v>1850</v>
      </c>
      <c r="P736">
        <f>_xlfn.XLOOKUP(D736, Products!A:A, Products!E:E)</f>
        <v>4610</v>
      </c>
    </row>
    <row r="737" spans="1:16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 t="shared" si="11"/>
        <v>Pune</v>
      </c>
      <c r="M737" t="str">
        <f>_xlfn.XLOOKUP(D737, Products!A:A, Products!C:C)</f>
        <v>Electronics</v>
      </c>
      <c r="N737" t="str">
        <f>_xlfn.XLOOKUP(E737, Sales_Reps!A:A, Sales_Reps!C:C)</f>
        <v>West</v>
      </c>
      <c r="O737">
        <f>_xlfn.XLOOKUP(D737, Products!A:A, Products!D:D)</f>
        <v>2405</v>
      </c>
      <c r="P737">
        <f>_xlfn.XLOOKUP(D737, Products!A:A, Products!E:E)</f>
        <v>5330</v>
      </c>
    </row>
    <row r="738" spans="1:16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 t="shared" si="11"/>
        <v>Pune</v>
      </c>
      <c r="M738" t="str">
        <f>_xlfn.XLOOKUP(D738, Products!A:A, Products!C:C)</f>
        <v>Beauty</v>
      </c>
      <c r="N738" t="str">
        <f>_xlfn.XLOOKUP(E738, Sales_Reps!A:A, Sales_Reps!C:C)</f>
        <v>East</v>
      </c>
      <c r="O738">
        <f>_xlfn.XLOOKUP(D738, Products!A:A, Products!D:D)</f>
        <v>2617</v>
      </c>
      <c r="P738">
        <f>_xlfn.XLOOKUP(D738, Products!A:A, Products!E:E)</f>
        <v>6080</v>
      </c>
    </row>
    <row r="739" spans="1:16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 t="shared" si="11"/>
        <v>Mumbai</v>
      </c>
      <c r="M739" t="str">
        <f>_xlfn.XLOOKUP(D739, Products!A:A, Products!C:C)</f>
        <v>Apparel</v>
      </c>
      <c r="N739" t="str">
        <f>_xlfn.XLOOKUP(E739, Sales_Reps!A:A, Sales_Reps!C:C)</f>
        <v>East</v>
      </c>
      <c r="O739">
        <f>_xlfn.XLOOKUP(D739, Products!A:A, Products!D:D)</f>
        <v>2611</v>
      </c>
      <c r="P739">
        <f>_xlfn.XLOOKUP(D739, Products!A:A, Products!E:E)</f>
        <v>3640</v>
      </c>
    </row>
    <row r="740" spans="1:16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 t="shared" si="11"/>
        <v>Chennai</v>
      </c>
      <c r="M740" t="str">
        <f>_xlfn.XLOOKUP(D740, Products!A:A, Products!C:C)</f>
        <v>Electronics</v>
      </c>
      <c r="N740" t="str">
        <f>_xlfn.XLOOKUP(E740, Sales_Reps!A:A, Sales_Reps!C:C)</f>
        <v>South</v>
      </c>
      <c r="O740">
        <f>_xlfn.XLOOKUP(D740, Products!A:A, Products!D:D)</f>
        <v>1259</v>
      </c>
      <c r="P740">
        <f>_xlfn.XLOOKUP(D740, Products!A:A, Products!E:E)</f>
        <v>2660</v>
      </c>
    </row>
    <row r="741" spans="1:16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 t="shared" si="11"/>
        <v>Pune</v>
      </c>
      <c r="M741" t="str">
        <f>_xlfn.XLOOKUP(D741, Products!A:A, Products!C:C)</f>
        <v>Beauty</v>
      </c>
      <c r="N741" t="str">
        <f>_xlfn.XLOOKUP(E741, Sales_Reps!A:A, Sales_Reps!C:C)</f>
        <v>South</v>
      </c>
      <c r="O741">
        <f>_xlfn.XLOOKUP(D741, Products!A:A, Products!D:D)</f>
        <v>1728</v>
      </c>
      <c r="P741">
        <f>_xlfn.XLOOKUP(D741, Products!A:A, Products!E:E)</f>
        <v>3350</v>
      </c>
    </row>
    <row r="742" spans="1:16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 t="shared" si="11"/>
        <v>Pune</v>
      </c>
      <c r="M742" t="str">
        <f>_xlfn.XLOOKUP(D742, Products!A:A, Products!C:C)</f>
        <v>Home</v>
      </c>
      <c r="N742" t="str">
        <f>_xlfn.XLOOKUP(E742, Sales_Reps!A:A, Sales_Reps!C:C)</f>
        <v>East</v>
      </c>
      <c r="O742">
        <f>_xlfn.XLOOKUP(D742, Products!A:A, Products!D:D)</f>
        <v>1850</v>
      </c>
      <c r="P742">
        <f>_xlfn.XLOOKUP(D742, Products!A:A, Products!E:E)</f>
        <v>4610</v>
      </c>
    </row>
    <row r="743" spans="1:16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 t="shared" si="11"/>
        <v>Pune</v>
      </c>
      <c r="M743" t="str">
        <f>_xlfn.XLOOKUP(D743, Products!A:A, Products!C:C)</f>
        <v>Sports</v>
      </c>
      <c r="N743" t="str">
        <f>_xlfn.XLOOKUP(E743, Sales_Reps!A:A, Sales_Reps!C:C)</f>
        <v>South</v>
      </c>
      <c r="O743">
        <f>_xlfn.XLOOKUP(D743, Products!A:A, Products!D:D)</f>
        <v>2028</v>
      </c>
      <c r="P743">
        <f>_xlfn.XLOOKUP(D743, Products!A:A, Products!E:E)</f>
        <v>2860</v>
      </c>
    </row>
    <row r="744" spans="1:16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 t="shared" si="11"/>
        <v>Pune</v>
      </c>
      <c r="M744" t="str">
        <f>_xlfn.XLOOKUP(D744, Products!A:A, Products!C:C)</f>
        <v>Beauty</v>
      </c>
      <c r="N744" t="str">
        <f>_xlfn.XLOOKUP(E744, Sales_Reps!A:A, Sales_Reps!C:C)</f>
        <v>South</v>
      </c>
      <c r="O744">
        <f>_xlfn.XLOOKUP(D744, Products!A:A, Products!D:D)</f>
        <v>1728</v>
      </c>
      <c r="P744">
        <f>_xlfn.XLOOKUP(D744, Products!A:A, Products!E:E)</f>
        <v>3350</v>
      </c>
    </row>
    <row r="745" spans="1:16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 t="shared" si="11"/>
        <v>Chennai</v>
      </c>
      <c r="M745" t="str">
        <f>_xlfn.XLOOKUP(D745, Products!A:A, Products!C:C)</f>
        <v>Grocery</v>
      </c>
      <c r="N745" t="str">
        <f>_xlfn.XLOOKUP(E745, Sales_Reps!A:A, Sales_Reps!C:C)</f>
        <v>West</v>
      </c>
      <c r="O745">
        <f>_xlfn.XLOOKUP(D745, Products!A:A, Products!D:D)</f>
        <v>1010</v>
      </c>
      <c r="P745">
        <f>_xlfn.XLOOKUP(D745, Products!A:A, Products!E:E)</f>
        <v>2210</v>
      </c>
    </row>
    <row r="746" spans="1:16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 t="shared" si="11"/>
        <v>Pune</v>
      </c>
      <c r="M746" t="str">
        <f>_xlfn.XLOOKUP(D746, Products!A:A, Products!C:C)</f>
        <v>Beauty</v>
      </c>
      <c r="N746" t="str">
        <f>_xlfn.XLOOKUP(E746, Sales_Reps!A:A, Sales_Reps!C:C)</f>
        <v>South</v>
      </c>
      <c r="O746">
        <f>_xlfn.XLOOKUP(D746, Products!A:A, Products!D:D)</f>
        <v>2420</v>
      </c>
      <c r="P746">
        <f>_xlfn.XLOOKUP(D746, Products!A:A, Products!E:E)</f>
        <v>3450</v>
      </c>
    </row>
    <row r="747" spans="1:16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 t="shared" si="11"/>
        <v>Hyderabad</v>
      </c>
      <c r="M747" t="str">
        <f>_xlfn.XLOOKUP(D747, Products!A:A, Products!C:C)</f>
        <v>Beauty</v>
      </c>
      <c r="N747" t="str">
        <f>_xlfn.XLOOKUP(E747, Sales_Reps!A:A, Sales_Reps!C:C)</f>
        <v>West</v>
      </c>
      <c r="O747">
        <f>_xlfn.XLOOKUP(D747, Products!A:A, Products!D:D)</f>
        <v>2237</v>
      </c>
      <c r="P747">
        <f>_xlfn.XLOOKUP(D747, Products!A:A, Products!E:E)</f>
        <v>5100</v>
      </c>
    </row>
    <row r="748" spans="1:16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 t="shared" si="11"/>
        <v>Hyderabad</v>
      </c>
      <c r="M748" t="str">
        <f>_xlfn.XLOOKUP(D748, Products!A:A, Products!C:C)</f>
        <v>Beauty</v>
      </c>
      <c r="N748" t="str">
        <f>_xlfn.XLOOKUP(E748, Sales_Reps!A:A, Sales_Reps!C:C)</f>
        <v>North</v>
      </c>
      <c r="O748">
        <f>_xlfn.XLOOKUP(D748, Products!A:A, Products!D:D)</f>
        <v>2237</v>
      </c>
      <c r="P748">
        <f>_xlfn.XLOOKUP(D748, Products!A:A, Products!E:E)</f>
        <v>5100</v>
      </c>
    </row>
    <row r="749" spans="1:16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 t="shared" si="11"/>
        <v>Chennai</v>
      </c>
      <c r="M749" t="str">
        <f>_xlfn.XLOOKUP(D749, Products!A:A, Products!C:C)</f>
        <v>Home</v>
      </c>
      <c r="N749" t="str">
        <f>_xlfn.XLOOKUP(E749, Sales_Reps!A:A, Sales_Reps!C:C)</f>
        <v>North</v>
      </c>
      <c r="O749">
        <f>_xlfn.XLOOKUP(D749, Products!A:A, Products!D:D)</f>
        <v>329</v>
      </c>
      <c r="P749">
        <f>_xlfn.XLOOKUP(D749, Products!A:A, Products!E:E)</f>
        <v>660</v>
      </c>
    </row>
    <row r="750" spans="1:16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 t="shared" si="11"/>
        <v>Mumbai</v>
      </c>
      <c r="M750" t="str">
        <f>_xlfn.XLOOKUP(D750, Products!A:A, Products!C:C)</f>
        <v>Grocery</v>
      </c>
      <c r="N750" t="str">
        <f>_xlfn.XLOOKUP(E750, Sales_Reps!A:A, Sales_Reps!C:C)</f>
        <v>North</v>
      </c>
      <c r="O750">
        <f>_xlfn.XLOOKUP(D750, Products!A:A, Products!D:D)</f>
        <v>2027</v>
      </c>
      <c r="P750">
        <f>_xlfn.XLOOKUP(D750, Products!A:A, Products!E:E)</f>
        <v>4070</v>
      </c>
    </row>
    <row r="751" spans="1:16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 t="shared" si="11"/>
        <v>Mumbai</v>
      </c>
      <c r="M751" t="str">
        <f>_xlfn.XLOOKUP(D751, Products!A:A, Products!C:C)</f>
        <v>Apparel</v>
      </c>
      <c r="N751" t="str">
        <f>_xlfn.XLOOKUP(E751, Sales_Reps!A:A, Sales_Reps!C:C)</f>
        <v>North</v>
      </c>
      <c r="O751">
        <f>_xlfn.XLOOKUP(D751, Products!A:A, Products!D:D)</f>
        <v>1075</v>
      </c>
      <c r="P751">
        <f>_xlfn.XLOOKUP(D751, Products!A:A, Products!E:E)</f>
        <v>2510</v>
      </c>
    </row>
    <row r="752" spans="1:16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 t="shared" si="11"/>
        <v>Pune</v>
      </c>
      <c r="M752" t="str">
        <f>_xlfn.XLOOKUP(D752, Products!A:A, Products!C:C)</f>
        <v>Home</v>
      </c>
      <c r="N752" t="str">
        <f>_xlfn.XLOOKUP(E752, Sales_Reps!A:A, Sales_Reps!C:C)</f>
        <v>West</v>
      </c>
      <c r="O752">
        <f>_xlfn.XLOOKUP(D752, Products!A:A, Products!D:D)</f>
        <v>1556</v>
      </c>
      <c r="P752">
        <f>_xlfn.XLOOKUP(D752, Products!A:A, Products!E:E)</f>
        <v>3250</v>
      </c>
    </row>
    <row r="753" spans="1:16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 t="shared" si="11"/>
        <v>Bengaluru</v>
      </c>
      <c r="M753" t="str">
        <f>_xlfn.XLOOKUP(D753, Products!A:A, Products!C:C)</f>
        <v>Home</v>
      </c>
      <c r="N753" t="str">
        <f>_xlfn.XLOOKUP(E753, Sales_Reps!A:A, Sales_Reps!C:C)</f>
        <v>North</v>
      </c>
      <c r="O753">
        <f>_xlfn.XLOOKUP(D753, Products!A:A, Products!D:D)</f>
        <v>288</v>
      </c>
      <c r="P753">
        <f>_xlfn.XLOOKUP(D753, Products!A:A, Products!E:E)</f>
        <v>370</v>
      </c>
    </row>
    <row r="754" spans="1:16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 t="shared" si="11"/>
        <v>Pune</v>
      </c>
      <c r="M754" t="str">
        <f>_xlfn.XLOOKUP(D754, Products!A:A, Products!C:C)</f>
        <v>Apparel</v>
      </c>
      <c r="N754" t="str">
        <f>_xlfn.XLOOKUP(E754, Sales_Reps!A:A, Sales_Reps!C:C)</f>
        <v>North</v>
      </c>
      <c r="O754">
        <f>_xlfn.XLOOKUP(D754, Products!A:A, Products!D:D)</f>
        <v>391</v>
      </c>
      <c r="P754">
        <f>_xlfn.XLOOKUP(D754, Products!A:A, Products!E:E)</f>
        <v>820</v>
      </c>
    </row>
    <row r="755" spans="1:16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 t="shared" si="11"/>
        <v>Bengaluru</v>
      </c>
      <c r="M755" t="str">
        <f>_xlfn.XLOOKUP(D755, Products!A:A, Products!C:C)</f>
        <v>Grocery</v>
      </c>
      <c r="N755" t="str">
        <f>_xlfn.XLOOKUP(E755, Sales_Reps!A:A, Sales_Reps!C:C)</f>
        <v>West</v>
      </c>
      <c r="O755">
        <f>_xlfn.XLOOKUP(D755, Products!A:A, Products!D:D)</f>
        <v>2027</v>
      </c>
      <c r="P755">
        <f>_xlfn.XLOOKUP(D755, Products!A:A, Products!E:E)</f>
        <v>4070</v>
      </c>
    </row>
    <row r="756" spans="1:16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 t="shared" si="11"/>
        <v>Bengaluru</v>
      </c>
      <c r="M756" t="str">
        <f>_xlfn.XLOOKUP(D756, Products!A:A, Products!C:C)</f>
        <v>Grocery</v>
      </c>
      <c r="N756" t="str">
        <f>_xlfn.XLOOKUP(E756, Sales_Reps!A:A, Sales_Reps!C:C)</f>
        <v>South</v>
      </c>
      <c r="O756">
        <f>_xlfn.XLOOKUP(D756, Products!A:A, Products!D:D)</f>
        <v>1182</v>
      </c>
      <c r="P756">
        <f>_xlfn.XLOOKUP(D756, Products!A:A, Products!E:E)</f>
        <v>2380</v>
      </c>
    </row>
    <row r="757" spans="1:16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 t="shared" si="11"/>
        <v>Pune</v>
      </c>
      <c r="M757" t="str">
        <f>_xlfn.XLOOKUP(D757, Products!A:A, Products!C:C)</f>
        <v>Home</v>
      </c>
      <c r="N757" t="str">
        <f>_xlfn.XLOOKUP(E757, Sales_Reps!A:A, Sales_Reps!C:C)</f>
        <v>West</v>
      </c>
      <c r="O757">
        <f>_xlfn.XLOOKUP(D757, Products!A:A, Products!D:D)</f>
        <v>2549</v>
      </c>
      <c r="P757">
        <f>_xlfn.XLOOKUP(D757, Products!A:A, Products!E:E)</f>
        <v>5490</v>
      </c>
    </row>
    <row r="758" spans="1:16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 t="shared" si="11"/>
        <v>Mumbai</v>
      </c>
      <c r="M758" t="str">
        <f>_xlfn.XLOOKUP(D758, Products!A:A, Products!C:C)</f>
        <v>Apparel</v>
      </c>
      <c r="N758" t="str">
        <f>_xlfn.XLOOKUP(E758, Sales_Reps!A:A, Sales_Reps!C:C)</f>
        <v>West</v>
      </c>
      <c r="O758">
        <f>_xlfn.XLOOKUP(D758, Products!A:A, Products!D:D)</f>
        <v>2611</v>
      </c>
      <c r="P758">
        <f>_xlfn.XLOOKUP(D758, Products!A:A, Products!E:E)</f>
        <v>3640</v>
      </c>
    </row>
    <row r="759" spans="1:16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 t="shared" si="11"/>
        <v>Chennai</v>
      </c>
      <c r="M759" t="str">
        <f>_xlfn.XLOOKUP(D759, Products!A:A, Products!C:C)</f>
        <v>Home</v>
      </c>
      <c r="N759" t="str">
        <f>_xlfn.XLOOKUP(E759, Sales_Reps!A:A, Sales_Reps!C:C)</f>
        <v>East</v>
      </c>
      <c r="O759">
        <f>_xlfn.XLOOKUP(D759, Products!A:A, Products!D:D)</f>
        <v>1850</v>
      </c>
      <c r="P759">
        <f>_xlfn.XLOOKUP(D759, Products!A:A, Products!E:E)</f>
        <v>4610</v>
      </c>
    </row>
    <row r="760" spans="1:16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 t="shared" si="11"/>
        <v>Pune</v>
      </c>
      <c r="M760" t="str">
        <f>_xlfn.XLOOKUP(D760, Products!A:A, Products!C:C)</f>
        <v>Sports</v>
      </c>
      <c r="N760" t="str">
        <f>_xlfn.XLOOKUP(E760, Sales_Reps!A:A, Sales_Reps!C:C)</f>
        <v>North</v>
      </c>
      <c r="O760">
        <f>_xlfn.XLOOKUP(D760, Products!A:A, Products!D:D)</f>
        <v>974</v>
      </c>
      <c r="P760">
        <f>_xlfn.XLOOKUP(D760, Products!A:A, Products!E:E)</f>
        <v>2400</v>
      </c>
    </row>
    <row r="761" spans="1:16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 t="shared" si="11"/>
        <v>Delhi</v>
      </c>
      <c r="M761" t="str">
        <f>_xlfn.XLOOKUP(D761, Products!A:A, Products!C:C)</f>
        <v>Beauty</v>
      </c>
      <c r="N761" t="str">
        <f>_xlfn.XLOOKUP(E761, Sales_Reps!A:A, Sales_Reps!C:C)</f>
        <v>North</v>
      </c>
      <c r="O761">
        <f>_xlfn.XLOOKUP(D761, Products!A:A, Products!D:D)</f>
        <v>1728</v>
      </c>
      <c r="P761">
        <f>_xlfn.XLOOKUP(D761, Products!A:A, Products!E:E)</f>
        <v>3350</v>
      </c>
    </row>
    <row r="762" spans="1:16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 t="shared" si="11"/>
        <v>Hyderabad</v>
      </c>
      <c r="M762" t="str">
        <f>_xlfn.XLOOKUP(D762, Products!A:A, Products!C:C)</f>
        <v>Apparel</v>
      </c>
      <c r="N762" t="str">
        <f>_xlfn.XLOOKUP(E762, Sales_Reps!A:A, Sales_Reps!C:C)</f>
        <v>South</v>
      </c>
      <c r="O762">
        <f>_xlfn.XLOOKUP(D762, Products!A:A, Products!D:D)</f>
        <v>2611</v>
      </c>
      <c r="P762">
        <f>_xlfn.XLOOKUP(D762, Products!A:A, Products!E:E)</f>
        <v>3640</v>
      </c>
    </row>
    <row r="763" spans="1:16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 t="shared" si="11"/>
        <v>Pune</v>
      </c>
      <c r="M763" t="str">
        <f>_xlfn.XLOOKUP(D763, Products!A:A, Products!C:C)</f>
        <v>Apparel</v>
      </c>
      <c r="N763" t="str">
        <f>_xlfn.XLOOKUP(E763, Sales_Reps!A:A, Sales_Reps!C:C)</f>
        <v>West</v>
      </c>
      <c r="O763">
        <f>_xlfn.XLOOKUP(D763, Products!A:A, Products!D:D)</f>
        <v>2611</v>
      </c>
      <c r="P763">
        <f>_xlfn.XLOOKUP(D763, Products!A:A, Products!E:E)</f>
        <v>3640</v>
      </c>
    </row>
    <row r="764" spans="1:16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 t="shared" si="11"/>
        <v>Pune</v>
      </c>
      <c r="M764" t="str">
        <f>_xlfn.XLOOKUP(D764, Products!A:A, Products!C:C)</f>
        <v>Home</v>
      </c>
      <c r="N764" t="str">
        <f>_xlfn.XLOOKUP(E764, Sales_Reps!A:A, Sales_Reps!C:C)</f>
        <v>South</v>
      </c>
      <c r="O764">
        <f>_xlfn.XLOOKUP(D764, Products!A:A, Products!D:D)</f>
        <v>1143</v>
      </c>
      <c r="P764">
        <f>_xlfn.XLOOKUP(D764, Products!A:A, Products!E:E)</f>
        <v>2030</v>
      </c>
    </row>
    <row r="765" spans="1:16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 t="shared" si="11"/>
        <v>Mumbai</v>
      </c>
      <c r="M765" t="str">
        <f>_xlfn.XLOOKUP(D765, Products!A:A, Products!C:C)</f>
        <v>Apparel</v>
      </c>
      <c r="N765" t="str">
        <f>_xlfn.XLOOKUP(E765, Sales_Reps!A:A, Sales_Reps!C:C)</f>
        <v>North</v>
      </c>
      <c r="O765">
        <f>_xlfn.XLOOKUP(D765, Products!A:A, Products!D:D)</f>
        <v>1886</v>
      </c>
      <c r="P765">
        <f>_xlfn.XLOOKUP(D765, Products!A:A, Products!E:E)</f>
        <v>3160</v>
      </c>
    </row>
    <row r="766" spans="1:16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 t="shared" si="11"/>
        <v>Chennai</v>
      </c>
      <c r="M766" t="str">
        <f>_xlfn.XLOOKUP(D766, Products!A:A, Products!C:C)</f>
        <v>Grocery</v>
      </c>
      <c r="N766" t="str">
        <f>_xlfn.XLOOKUP(E766, Sales_Reps!A:A, Sales_Reps!C:C)</f>
        <v>West</v>
      </c>
      <c r="O766">
        <f>_xlfn.XLOOKUP(D766, Products!A:A, Products!D:D)</f>
        <v>2027</v>
      </c>
      <c r="P766">
        <f>_xlfn.XLOOKUP(D766, Products!A:A, Products!E:E)</f>
        <v>4070</v>
      </c>
    </row>
    <row r="767" spans="1:16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 t="shared" si="11"/>
        <v>Delhi</v>
      </c>
      <c r="M767" t="str">
        <f>_xlfn.XLOOKUP(D767, Products!A:A, Products!C:C)</f>
        <v>Grocery</v>
      </c>
      <c r="N767" t="str">
        <f>_xlfn.XLOOKUP(E767, Sales_Reps!A:A, Sales_Reps!C:C)</f>
        <v>West</v>
      </c>
      <c r="O767">
        <f>_xlfn.XLOOKUP(D767, Products!A:A, Products!D:D)</f>
        <v>2911</v>
      </c>
      <c r="P767">
        <f>_xlfn.XLOOKUP(D767, Products!A:A, Products!E:E)</f>
        <v>4060</v>
      </c>
    </row>
    <row r="768" spans="1:16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 t="shared" si="11"/>
        <v>Mumbai</v>
      </c>
      <c r="M768" t="str">
        <f>_xlfn.XLOOKUP(D768, Products!A:A, Products!C:C)</f>
        <v>Sports</v>
      </c>
      <c r="N768" t="str">
        <f>_xlfn.XLOOKUP(E768, Sales_Reps!A:A, Sales_Reps!C:C)</f>
        <v>East</v>
      </c>
      <c r="O768">
        <f>_xlfn.XLOOKUP(D768, Products!A:A, Products!D:D)</f>
        <v>705</v>
      </c>
      <c r="P768">
        <f>_xlfn.XLOOKUP(D768, Products!A:A, Products!E:E)</f>
        <v>960</v>
      </c>
    </row>
    <row r="769" spans="1:16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 t="shared" si="11"/>
        <v>Pune</v>
      </c>
      <c r="M769" t="str">
        <f>_xlfn.XLOOKUP(D769, Products!A:A, Products!C:C)</f>
        <v>Grocery</v>
      </c>
      <c r="N769" t="str">
        <f>_xlfn.XLOOKUP(E769, Sales_Reps!A:A, Sales_Reps!C:C)</f>
        <v>West</v>
      </c>
      <c r="O769">
        <f>_xlfn.XLOOKUP(D769, Products!A:A, Products!D:D)</f>
        <v>1412</v>
      </c>
      <c r="P769">
        <f>_xlfn.XLOOKUP(D769, Products!A:A, Products!E:E)</f>
        <v>2270</v>
      </c>
    </row>
    <row r="770" spans="1:16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 t="shared" si="11"/>
        <v>Hyderabad</v>
      </c>
      <c r="M770" t="str">
        <f>_xlfn.XLOOKUP(D770, Products!A:A, Products!C:C)</f>
        <v>Grocery</v>
      </c>
      <c r="N770" t="str">
        <f>_xlfn.XLOOKUP(E770, Sales_Reps!A:A, Sales_Reps!C:C)</f>
        <v>North</v>
      </c>
      <c r="O770">
        <f>_xlfn.XLOOKUP(D770, Products!A:A, Products!D:D)</f>
        <v>2436</v>
      </c>
      <c r="P770">
        <f>_xlfn.XLOOKUP(D770, Products!A:A, Products!E:E)</f>
        <v>3780</v>
      </c>
    </row>
    <row r="771" spans="1:16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 t="shared" ref="L771:L834" si="12">PROPER(TRIM(K771))</f>
        <v>Mumbai</v>
      </c>
      <c r="M771" t="str">
        <f>_xlfn.XLOOKUP(D771, Products!A:A, Products!C:C)</f>
        <v>Beauty</v>
      </c>
      <c r="N771" t="str">
        <f>_xlfn.XLOOKUP(E771, Sales_Reps!A:A, Sales_Reps!C:C)</f>
        <v>West</v>
      </c>
      <c r="O771">
        <f>_xlfn.XLOOKUP(D771, Products!A:A, Products!D:D)</f>
        <v>1219</v>
      </c>
      <c r="P771">
        <f>_xlfn.XLOOKUP(D771, Products!A:A, Products!E:E)</f>
        <v>2290</v>
      </c>
    </row>
    <row r="772" spans="1:16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 t="shared" si="12"/>
        <v>Pune</v>
      </c>
      <c r="M772" t="str">
        <f>_xlfn.XLOOKUP(D772, Products!A:A, Products!C:C)</f>
        <v>Beauty</v>
      </c>
      <c r="N772" t="str">
        <f>_xlfn.XLOOKUP(E772, Sales_Reps!A:A, Sales_Reps!C:C)</f>
        <v>East</v>
      </c>
      <c r="O772">
        <f>_xlfn.XLOOKUP(D772, Products!A:A, Products!D:D)</f>
        <v>1728</v>
      </c>
      <c r="P772">
        <f>_xlfn.XLOOKUP(D772, Products!A:A, Products!E:E)</f>
        <v>3350</v>
      </c>
    </row>
    <row r="773" spans="1:16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 t="shared" si="12"/>
        <v>Pune</v>
      </c>
      <c r="M773" t="str">
        <f>_xlfn.XLOOKUP(D773, Products!A:A, Products!C:C)</f>
        <v>Apparel</v>
      </c>
      <c r="N773" t="str">
        <f>_xlfn.XLOOKUP(E773, Sales_Reps!A:A, Sales_Reps!C:C)</f>
        <v>East</v>
      </c>
      <c r="O773">
        <f>_xlfn.XLOOKUP(D773, Products!A:A, Products!D:D)</f>
        <v>1075</v>
      </c>
      <c r="P773">
        <f>_xlfn.XLOOKUP(D773, Products!A:A, Products!E:E)</f>
        <v>2510</v>
      </c>
    </row>
    <row r="774" spans="1:16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 t="shared" si="12"/>
        <v>Chennai</v>
      </c>
      <c r="M774" t="str">
        <f>_xlfn.XLOOKUP(D774, Products!A:A, Products!C:C)</f>
        <v>Electronics</v>
      </c>
      <c r="N774" t="str">
        <f>_xlfn.XLOOKUP(E774, Sales_Reps!A:A, Sales_Reps!C:C)</f>
        <v>East</v>
      </c>
      <c r="O774">
        <f>_xlfn.XLOOKUP(D774, Products!A:A, Products!D:D)</f>
        <v>1052</v>
      </c>
      <c r="P774">
        <f>_xlfn.XLOOKUP(D774, Products!A:A, Products!E:E)</f>
        <v>2600</v>
      </c>
    </row>
    <row r="775" spans="1:16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 t="shared" si="12"/>
        <v>Bengaluru</v>
      </c>
      <c r="M775" t="str">
        <f>_xlfn.XLOOKUP(D775, Products!A:A, Products!C:C)</f>
        <v>Sports</v>
      </c>
      <c r="N775" t="str">
        <f>_xlfn.XLOOKUP(E775, Sales_Reps!A:A, Sales_Reps!C:C)</f>
        <v>North</v>
      </c>
      <c r="O775">
        <f>_xlfn.XLOOKUP(D775, Products!A:A, Products!D:D)</f>
        <v>302</v>
      </c>
      <c r="P775">
        <f>_xlfn.XLOOKUP(D775, Products!A:A, Products!E:E)</f>
        <v>470</v>
      </c>
    </row>
    <row r="776" spans="1:16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 t="shared" si="12"/>
        <v>Pune</v>
      </c>
      <c r="M776" t="str">
        <f>_xlfn.XLOOKUP(D776, Products!A:A, Products!C:C)</f>
        <v>Home</v>
      </c>
      <c r="N776" t="str">
        <f>_xlfn.XLOOKUP(E776, Sales_Reps!A:A, Sales_Reps!C:C)</f>
        <v>South</v>
      </c>
      <c r="O776">
        <f>_xlfn.XLOOKUP(D776, Products!A:A, Products!D:D)</f>
        <v>519</v>
      </c>
      <c r="P776">
        <f>_xlfn.XLOOKUP(D776, Products!A:A, Products!E:E)</f>
        <v>1080</v>
      </c>
    </row>
    <row r="777" spans="1:16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 t="shared" si="12"/>
        <v>Pune</v>
      </c>
      <c r="M777" t="str">
        <f>_xlfn.XLOOKUP(D777, Products!A:A, Products!C:C)</f>
        <v>Sports</v>
      </c>
      <c r="N777" t="str">
        <f>_xlfn.XLOOKUP(E777, Sales_Reps!A:A, Sales_Reps!C:C)</f>
        <v>East</v>
      </c>
      <c r="O777">
        <f>_xlfn.XLOOKUP(D777, Products!A:A, Products!D:D)</f>
        <v>516</v>
      </c>
      <c r="P777">
        <f>_xlfn.XLOOKUP(D777, Products!A:A, Products!E:E)</f>
        <v>1010</v>
      </c>
    </row>
    <row r="778" spans="1:16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 t="shared" si="12"/>
        <v>Delhi</v>
      </c>
      <c r="M778" t="str">
        <f>_xlfn.XLOOKUP(D778, Products!A:A, Products!C:C)</f>
        <v>Electronics</v>
      </c>
      <c r="N778" t="str">
        <f>_xlfn.XLOOKUP(E778, Sales_Reps!A:A, Sales_Reps!C:C)</f>
        <v>North</v>
      </c>
      <c r="O778">
        <f>_xlfn.XLOOKUP(D778, Products!A:A, Products!D:D)</f>
        <v>1559</v>
      </c>
      <c r="P778">
        <f>_xlfn.XLOOKUP(D778, Products!A:A, Products!E:E)</f>
        <v>3870</v>
      </c>
    </row>
    <row r="779" spans="1:16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 t="shared" si="12"/>
        <v>Mumbai</v>
      </c>
      <c r="M779" t="str">
        <f>_xlfn.XLOOKUP(D779, Products!A:A, Products!C:C)</f>
        <v>Home</v>
      </c>
      <c r="N779" t="str">
        <f>_xlfn.XLOOKUP(E779, Sales_Reps!A:A, Sales_Reps!C:C)</f>
        <v>West</v>
      </c>
      <c r="O779">
        <f>_xlfn.XLOOKUP(D779, Products!A:A, Products!D:D)</f>
        <v>1143</v>
      </c>
      <c r="P779">
        <f>_xlfn.XLOOKUP(D779, Products!A:A, Products!E:E)</f>
        <v>2030</v>
      </c>
    </row>
    <row r="780" spans="1:16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 t="shared" si="12"/>
        <v>Pune</v>
      </c>
      <c r="M780" t="str">
        <f>_xlfn.XLOOKUP(D780, Products!A:A, Products!C:C)</f>
        <v>Home</v>
      </c>
      <c r="N780" t="str">
        <f>_xlfn.XLOOKUP(E780, Sales_Reps!A:A, Sales_Reps!C:C)</f>
        <v>West</v>
      </c>
      <c r="O780">
        <f>_xlfn.XLOOKUP(D780, Products!A:A, Products!D:D)</f>
        <v>519</v>
      </c>
      <c r="P780">
        <f>_xlfn.XLOOKUP(D780, Products!A:A, Products!E:E)</f>
        <v>1080</v>
      </c>
    </row>
    <row r="781" spans="1:16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 t="shared" si="12"/>
        <v>Chennai</v>
      </c>
      <c r="M781" t="str">
        <f>_xlfn.XLOOKUP(D781, Products!A:A, Products!C:C)</f>
        <v>Home</v>
      </c>
      <c r="N781" t="str">
        <f>_xlfn.XLOOKUP(E781, Sales_Reps!A:A, Sales_Reps!C:C)</f>
        <v>South</v>
      </c>
      <c r="O781">
        <f>_xlfn.XLOOKUP(D781, Products!A:A, Products!D:D)</f>
        <v>464</v>
      </c>
      <c r="P781">
        <f>_xlfn.XLOOKUP(D781, Products!A:A, Products!E:E)</f>
        <v>1090</v>
      </c>
    </row>
    <row r="782" spans="1:16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 t="shared" si="12"/>
        <v>Chennai</v>
      </c>
      <c r="M782" t="str">
        <f>_xlfn.XLOOKUP(D782, Products!A:A, Products!C:C)</f>
        <v>Home</v>
      </c>
      <c r="N782" t="str">
        <f>_xlfn.XLOOKUP(E782, Sales_Reps!A:A, Sales_Reps!C:C)</f>
        <v>South</v>
      </c>
      <c r="O782">
        <f>_xlfn.XLOOKUP(D782, Products!A:A, Products!D:D)</f>
        <v>288</v>
      </c>
      <c r="P782">
        <f>_xlfn.XLOOKUP(D782, Products!A:A, Products!E:E)</f>
        <v>370</v>
      </c>
    </row>
    <row r="783" spans="1:16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 t="shared" si="12"/>
        <v>Mumbai</v>
      </c>
      <c r="M783" t="str">
        <f>_xlfn.XLOOKUP(D783, Products!A:A, Products!C:C)</f>
        <v>Apparel</v>
      </c>
      <c r="N783" t="str">
        <f>_xlfn.XLOOKUP(E783, Sales_Reps!A:A, Sales_Reps!C:C)</f>
        <v>East</v>
      </c>
      <c r="O783">
        <f>_xlfn.XLOOKUP(D783, Products!A:A, Products!D:D)</f>
        <v>2629</v>
      </c>
      <c r="P783">
        <f>_xlfn.XLOOKUP(D783, Products!A:A, Products!E:E)</f>
        <v>3560</v>
      </c>
    </row>
    <row r="784" spans="1:16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 t="shared" si="12"/>
        <v>Pune</v>
      </c>
      <c r="M784" t="str">
        <f>_xlfn.XLOOKUP(D784, Products!A:A, Products!C:C)</f>
        <v>Beauty</v>
      </c>
      <c r="N784" t="str">
        <f>_xlfn.XLOOKUP(E784, Sales_Reps!A:A, Sales_Reps!C:C)</f>
        <v>South</v>
      </c>
      <c r="O784">
        <f>_xlfn.XLOOKUP(D784, Products!A:A, Products!D:D)</f>
        <v>2617</v>
      </c>
      <c r="P784">
        <f>_xlfn.XLOOKUP(D784, Products!A:A, Products!E:E)</f>
        <v>6080</v>
      </c>
    </row>
    <row r="785" spans="1:16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 t="shared" si="12"/>
        <v>Hyderabad</v>
      </c>
      <c r="M785" t="str">
        <f>_xlfn.XLOOKUP(D785, Products!A:A, Products!C:C)</f>
        <v>Sports</v>
      </c>
      <c r="N785" t="str">
        <f>_xlfn.XLOOKUP(E785, Sales_Reps!A:A, Sales_Reps!C:C)</f>
        <v>South</v>
      </c>
      <c r="O785">
        <f>_xlfn.XLOOKUP(D785, Products!A:A, Products!D:D)</f>
        <v>2467</v>
      </c>
      <c r="P785">
        <f>_xlfn.XLOOKUP(D785, Products!A:A, Products!E:E)</f>
        <v>3450</v>
      </c>
    </row>
    <row r="786" spans="1:16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 t="shared" si="12"/>
        <v>Chennai</v>
      </c>
      <c r="M786" t="str">
        <f>_xlfn.XLOOKUP(D786, Products!A:A, Products!C:C)</f>
        <v>Home</v>
      </c>
      <c r="N786" t="str">
        <f>_xlfn.XLOOKUP(E786, Sales_Reps!A:A, Sales_Reps!C:C)</f>
        <v>South</v>
      </c>
      <c r="O786">
        <f>_xlfn.XLOOKUP(D786, Products!A:A, Products!D:D)</f>
        <v>2459</v>
      </c>
      <c r="P786">
        <f>_xlfn.XLOOKUP(D786, Products!A:A, Products!E:E)</f>
        <v>5080</v>
      </c>
    </row>
    <row r="787" spans="1:16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 t="shared" si="12"/>
        <v>Hyderabad</v>
      </c>
      <c r="M787" t="str">
        <f>_xlfn.XLOOKUP(D787, Products!A:A, Products!C:C)</f>
        <v>Apparel</v>
      </c>
      <c r="N787" t="str">
        <f>_xlfn.XLOOKUP(E787, Sales_Reps!A:A, Sales_Reps!C:C)</f>
        <v>East</v>
      </c>
      <c r="O787">
        <f>_xlfn.XLOOKUP(D787, Products!A:A, Products!D:D)</f>
        <v>1748</v>
      </c>
      <c r="P787">
        <f>_xlfn.XLOOKUP(D787, Products!A:A, Products!E:E)</f>
        <v>3450</v>
      </c>
    </row>
    <row r="788" spans="1:16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 t="shared" si="12"/>
        <v>Pune</v>
      </c>
      <c r="M788" t="str">
        <f>_xlfn.XLOOKUP(D788, Products!A:A, Products!C:C)</f>
        <v>Grocery</v>
      </c>
      <c r="N788" t="str">
        <f>_xlfn.XLOOKUP(E788, Sales_Reps!A:A, Sales_Reps!C:C)</f>
        <v>South</v>
      </c>
      <c r="O788">
        <f>_xlfn.XLOOKUP(D788, Products!A:A, Products!D:D)</f>
        <v>1203</v>
      </c>
      <c r="P788">
        <f>_xlfn.XLOOKUP(D788, Products!A:A, Products!E:E)</f>
        <v>2270</v>
      </c>
    </row>
    <row r="789" spans="1:16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 t="shared" si="12"/>
        <v>Pune</v>
      </c>
      <c r="M789" t="str">
        <f>_xlfn.XLOOKUP(D789, Products!A:A, Products!C:C)</f>
        <v>Apparel</v>
      </c>
      <c r="N789" t="str">
        <f>_xlfn.XLOOKUP(E789, Sales_Reps!A:A, Sales_Reps!C:C)</f>
        <v>East</v>
      </c>
      <c r="O789">
        <f>_xlfn.XLOOKUP(D789, Products!A:A, Products!D:D)</f>
        <v>1886</v>
      </c>
      <c r="P789">
        <f>_xlfn.XLOOKUP(D789, Products!A:A, Products!E:E)</f>
        <v>3160</v>
      </c>
    </row>
    <row r="790" spans="1:16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 t="shared" si="12"/>
        <v>Bengaluru</v>
      </c>
      <c r="M790" t="str">
        <f>_xlfn.XLOOKUP(D790, Products!A:A, Products!C:C)</f>
        <v>Beauty</v>
      </c>
      <c r="N790" t="str">
        <f>_xlfn.XLOOKUP(E790, Sales_Reps!A:A, Sales_Reps!C:C)</f>
        <v>West</v>
      </c>
      <c r="O790">
        <f>_xlfn.XLOOKUP(D790, Products!A:A, Products!D:D)</f>
        <v>1728</v>
      </c>
      <c r="P790">
        <f>_xlfn.XLOOKUP(D790, Products!A:A, Products!E:E)</f>
        <v>3350</v>
      </c>
    </row>
    <row r="791" spans="1:16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 t="shared" si="12"/>
        <v>Pune</v>
      </c>
      <c r="M791" t="str">
        <f>_xlfn.XLOOKUP(D791, Products!A:A, Products!C:C)</f>
        <v>Beauty</v>
      </c>
      <c r="N791" t="str">
        <f>_xlfn.XLOOKUP(E791, Sales_Reps!A:A, Sales_Reps!C:C)</f>
        <v>West</v>
      </c>
      <c r="O791">
        <f>_xlfn.XLOOKUP(D791, Products!A:A, Products!D:D)</f>
        <v>1222</v>
      </c>
      <c r="P791">
        <f>_xlfn.XLOOKUP(D791, Products!A:A, Products!E:E)</f>
        <v>1650</v>
      </c>
    </row>
    <row r="792" spans="1:16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 t="shared" si="12"/>
        <v>Delhi</v>
      </c>
      <c r="M792" t="str">
        <f>_xlfn.XLOOKUP(D792, Products!A:A, Products!C:C)</f>
        <v>Home</v>
      </c>
      <c r="N792" t="str">
        <f>_xlfn.XLOOKUP(E792, Sales_Reps!A:A, Sales_Reps!C:C)</f>
        <v>North</v>
      </c>
      <c r="O792">
        <f>_xlfn.XLOOKUP(D792, Products!A:A, Products!D:D)</f>
        <v>2549</v>
      </c>
      <c r="P792">
        <f>_xlfn.XLOOKUP(D792, Products!A:A, Products!E:E)</f>
        <v>5490</v>
      </c>
    </row>
    <row r="793" spans="1:16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 t="shared" si="12"/>
        <v>Pune</v>
      </c>
      <c r="M793" t="str">
        <f>_xlfn.XLOOKUP(D793, Products!A:A, Products!C:C)</f>
        <v>Home</v>
      </c>
      <c r="N793" t="str">
        <f>_xlfn.XLOOKUP(E793, Sales_Reps!A:A, Sales_Reps!C:C)</f>
        <v>West</v>
      </c>
      <c r="O793">
        <f>_xlfn.XLOOKUP(D793, Products!A:A, Products!D:D)</f>
        <v>519</v>
      </c>
      <c r="P793">
        <f>_xlfn.XLOOKUP(D793, Products!A:A, Products!E:E)</f>
        <v>1080</v>
      </c>
    </row>
    <row r="794" spans="1:16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 t="shared" si="12"/>
        <v>Hyderabad</v>
      </c>
      <c r="M794" t="str">
        <f>_xlfn.XLOOKUP(D794, Products!A:A, Products!C:C)</f>
        <v>Grocery</v>
      </c>
      <c r="N794" t="str">
        <f>_xlfn.XLOOKUP(E794, Sales_Reps!A:A, Sales_Reps!C:C)</f>
        <v>East</v>
      </c>
      <c r="O794">
        <f>_xlfn.XLOOKUP(D794, Products!A:A, Products!D:D)</f>
        <v>2436</v>
      </c>
      <c r="P794">
        <f>_xlfn.XLOOKUP(D794, Products!A:A, Products!E:E)</f>
        <v>3780</v>
      </c>
    </row>
    <row r="795" spans="1:16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 t="shared" si="12"/>
        <v>Hyderabad</v>
      </c>
      <c r="M795" t="str">
        <f>_xlfn.XLOOKUP(D795, Products!A:A, Products!C:C)</f>
        <v>Home</v>
      </c>
      <c r="N795" t="str">
        <f>_xlfn.XLOOKUP(E795, Sales_Reps!A:A, Sales_Reps!C:C)</f>
        <v>West</v>
      </c>
      <c r="O795">
        <f>_xlfn.XLOOKUP(D795, Products!A:A, Products!D:D)</f>
        <v>1143</v>
      </c>
      <c r="P795">
        <f>_xlfn.XLOOKUP(D795, Products!A:A, Products!E:E)</f>
        <v>2030</v>
      </c>
    </row>
    <row r="796" spans="1:16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 t="shared" si="12"/>
        <v>Bengaluru</v>
      </c>
      <c r="M796" t="str">
        <f>_xlfn.XLOOKUP(D796, Products!A:A, Products!C:C)</f>
        <v>Beauty</v>
      </c>
      <c r="N796" t="str">
        <f>_xlfn.XLOOKUP(E796, Sales_Reps!A:A, Sales_Reps!C:C)</f>
        <v>East</v>
      </c>
      <c r="O796">
        <f>_xlfn.XLOOKUP(D796, Products!A:A, Products!D:D)</f>
        <v>647</v>
      </c>
      <c r="P796">
        <f>_xlfn.XLOOKUP(D796, Products!A:A, Products!E:E)</f>
        <v>1540</v>
      </c>
    </row>
    <row r="797" spans="1:16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 t="shared" si="12"/>
        <v>Pune</v>
      </c>
      <c r="M797" t="str">
        <f>_xlfn.XLOOKUP(D797, Products!A:A, Products!C:C)</f>
        <v>Home</v>
      </c>
      <c r="N797" t="str">
        <f>_xlfn.XLOOKUP(E797, Sales_Reps!A:A, Sales_Reps!C:C)</f>
        <v>South</v>
      </c>
      <c r="O797">
        <f>_xlfn.XLOOKUP(D797, Products!A:A, Products!D:D)</f>
        <v>1556</v>
      </c>
      <c r="P797">
        <f>_xlfn.XLOOKUP(D797, Products!A:A, Products!E:E)</f>
        <v>3250</v>
      </c>
    </row>
    <row r="798" spans="1:16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 t="shared" si="12"/>
        <v>Delhi</v>
      </c>
      <c r="M798" t="str">
        <f>_xlfn.XLOOKUP(D798, Products!A:A, Products!C:C)</f>
        <v>Beauty</v>
      </c>
      <c r="N798" t="str">
        <f>_xlfn.XLOOKUP(E798, Sales_Reps!A:A, Sales_Reps!C:C)</f>
        <v>North</v>
      </c>
      <c r="O798">
        <f>_xlfn.XLOOKUP(D798, Products!A:A, Products!D:D)</f>
        <v>2420</v>
      </c>
      <c r="P798">
        <f>_xlfn.XLOOKUP(D798, Products!A:A, Products!E:E)</f>
        <v>3450</v>
      </c>
    </row>
    <row r="799" spans="1:16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 t="shared" si="12"/>
        <v>Chennai</v>
      </c>
      <c r="M799" t="str">
        <f>_xlfn.XLOOKUP(D799, Products!A:A, Products!C:C)</f>
        <v>Home</v>
      </c>
      <c r="N799" t="str">
        <f>_xlfn.XLOOKUP(E799, Sales_Reps!A:A, Sales_Reps!C:C)</f>
        <v>North</v>
      </c>
      <c r="O799">
        <f>_xlfn.XLOOKUP(D799, Products!A:A, Products!D:D)</f>
        <v>2549</v>
      </c>
      <c r="P799">
        <f>_xlfn.XLOOKUP(D799, Products!A:A, Products!E:E)</f>
        <v>5490</v>
      </c>
    </row>
    <row r="800" spans="1:16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 t="shared" si="12"/>
        <v>Delhi</v>
      </c>
      <c r="M800" t="str">
        <f>_xlfn.XLOOKUP(D800, Products!A:A, Products!C:C)</f>
        <v>Home</v>
      </c>
      <c r="N800" t="str">
        <f>_xlfn.XLOOKUP(E800, Sales_Reps!A:A, Sales_Reps!C:C)</f>
        <v>West</v>
      </c>
      <c r="O800">
        <f>_xlfn.XLOOKUP(D800, Products!A:A, Products!D:D)</f>
        <v>288</v>
      </c>
      <c r="P800">
        <f>_xlfn.XLOOKUP(D800, Products!A:A, Products!E:E)</f>
        <v>370</v>
      </c>
    </row>
    <row r="801" spans="1:16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 t="shared" si="12"/>
        <v>Chennai</v>
      </c>
      <c r="M801" t="str">
        <f>_xlfn.XLOOKUP(D801, Products!A:A, Products!C:C)</f>
        <v>Electronics</v>
      </c>
      <c r="N801" t="str">
        <f>_xlfn.XLOOKUP(E801, Sales_Reps!A:A, Sales_Reps!C:C)</f>
        <v>South</v>
      </c>
      <c r="O801">
        <f>_xlfn.XLOOKUP(D801, Products!A:A, Products!D:D)</f>
        <v>2405</v>
      </c>
      <c r="P801">
        <f>_xlfn.XLOOKUP(D801, Products!A:A, Products!E:E)</f>
        <v>5330</v>
      </c>
    </row>
    <row r="802" spans="1:16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 t="shared" si="12"/>
        <v>Chennai</v>
      </c>
      <c r="M802" t="str">
        <f>_xlfn.XLOOKUP(D802, Products!A:A, Products!C:C)</f>
        <v>Sports</v>
      </c>
      <c r="N802" t="str">
        <f>_xlfn.XLOOKUP(E802, Sales_Reps!A:A, Sales_Reps!C:C)</f>
        <v>South</v>
      </c>
      <c r="O802">
        <f>_xlfn.XLOOKUP(D802, Products!A:A, Products!D:D)</f>
        <v>2467</v>
      </c>
      <c r="P802">
        <f>_xlfn.XLOOKUP(D802, Products!A:A, Products!E:E)</f>
        <v>3450</v>
      </c>
    </row>
    <row r="803" spans="1:16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 t="shared" si="12"/>
        <v>Chennai</v>
      </c>
      <c r="M803" t="str">
        <f>_xlfn.XLOOKUP(D803, Products!A:A, Products!C:C)</f>
        <v>Apparel</v>
      </c>
      <c r="N803" t="str">
        <f>_xlfn.XLOOKUP(E803, Sales_Reps!A:A, Sales_Reps!C:C)</f>
        <v>West</v>
      </c>
      <c r="O803">
        <f>_xlfn.XLOOKUP(D803, Products!A:A, Products!D:D)</f>
        <v>1748</v>
      </c>
      <c r="P803">
        <f>_xlfn.XLOOKUP(D803, Products!A:A, Products!E:E)</f>
        <v>3450</v>
      </c>
    </row>
    <row r="804" spans="1:16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 t="shared" si="12"/>
        <v>Mumbai</v>
      </c>
      <c r="M804" t="str">
        <f>_xlfn.XLOOKUP(D804, Products!A:A, Products!C:C)</f>
        <v>Beauty</v>
      </c>
      <c r="N804" t="str">
        <f>_xlfn.XLOOKUP(E804, Sales_Reps!A:A, Sales_Reps!C:C)</f>
        <v>West</v>
      </c>
      <c r="O804">
        <f>_xlfn.XLOOKUP(D804, Products!A:A, Products!D:D)</f>
        <v>2617</v>
      </c>
      <c r="P804">
        <f>_xlfn.XLOOKUP(D804, Products!A:A, Products!E:E)</f>
        <v>6080</v>
      </c>
    </row>
    <row r="805" spans="1:16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 t="shared" si="12"/>
        <v>Delhi</v>
      </c>
      <c r="M805" t="str">
        <f>_xlfn.XLOOKUP(D805, Products!A:A, Products!C:C)</f>
        <v>Apparel</v>
      </c>
      <c r="N805" t="str">
        <f>_xlfn.XLOOKUP(E805, Sales_Reps!A:A, Sales_Reps!C:C)</f>
        <v>South</v>
      </c>
      <c r="O805">
        <f>_xlfn.XLOOKUP(D805, Products!A:A, Products!D:D)</f>
        <v>1075</v>
      </c>
      <c r="P805">
        <f>_xlfn.XLOOKUP(D805, Products!A:A, Products!E:E)</f>
        <v>2510</v>
      </c>
    </row>
    <row r="806" spans="1:16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 t="shared" si="12"/>
        <v>Mumbai</v>
      </c>
      <c r="M806" t="str">
        <f>_xlfn.XLOOKUP(D806, Products!A:A, Products!C:C)</f>
        <v>Sports</v>
      </c>
      <c r="N806" t="str">
        <f>_xlfn.XLOOKUP(E806, Sales_Reps!A:A, Sales_Reps!C:C)</f>
        <v>South</v>
      </c>
      <c r="O806">
        <f>_xlfn.XLOOKUP(D806, Products!A:A, Products!D:D)</f>
        <v>516</v>
      </c>
      <c r="P806">
        <f>_xlfn.XLOOKUP(D806, Products!A:A, Products!E:E)</f>
        <v>1010</v>
      </c>
    </row>
    <row r="807" spans="1:16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 t="shared" si="12"/>
        <v>Mumbai</v>
      </c>
      <c r="M807" t="str">
        <f>_xlfn.XLOOKUP(D807, Products!A:A, Products!C:C)</f>
        <v>Apparel</v>
      </c>
      <c r="N807" t="str">
        <f>_xlfn.XLOOKUP(E807, Sales_Reps!A:A, Sales_Reps!C:C)</f>
        <v>East</v>
      </c>
      <c r="O807">
        <f>_xlfn.XLOOKUP(D807, Products!A:A, Products!D:D)</f>
        <v>2629</v>
      </c>
      <c r="P807">
        <f>_xlfn.XLOOKUP(D807, Products!A:A, Products!E:E)</f>
        <v>3560</v>
      </c>
    </row>
    <row r="808" spans="1:16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 t="shared" si="12"/>
        <v>Hyderabad</v>
      </c>
      <c r="M808" t="str">
        <f>_xlfn.XLOOKUP(D808, Products!A:A, Products!C:C)</f>
        <v>Beauty</v>
      </c>
      <c r="N808" t="str">
        <f>_xlfn.XLOOKUP(E808, Sales_Reps!A:A, Sales_Reps!C:C)</f>
        <v>North</v>
      </c>
      <c r="O808">
        <f>_xlfn.XLOOKUP(D808, Products!A:A, Products!D:D)</f>
        <v>1626</v>
      </c>
      <c r="P808">
        <f>_xlfn.XLOOKUP(D808, Products!A:A, Products!E:E)</f>
        <v>3020</v>
      </c>
    </row>
    <row r="809" spans="1:16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 t="shared" si="12"/>
        <v>Chennai</v>
      </c>
      <c r="M809" t="str">
        <f>_xlfn.XLOOKUP(D809, Products!A:A, Products!C:C)</f>
        <v>Grocery</v>
      </c>
      <c r="N809" t="str">
        <f>_xlfn.XLOOKUP(E809, Sales_Reps!A:A, Sales_Reps!C:C)</f>
        <v>East</v>
      </c>
      <c r="O809">
        <f>_xlfn.XLOOKUP(D809, Products!A:A, Products!D:D)</f>
        <v>2027</v>
      </c>
      <c r="P809">
        <f>_xlfn.XLOOKUP(D809, Products!A:A, Products!E:E)</f>
        <v>4070</v>
      </c>
    </row>
    <row r="810" spans="1:16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 t="shared" si="12"/>
        <v>Mumbai</v>
      </c>
      <c r="M810" t="str">
        <f>_xlfn.XLOOKUP(D810, Products!A:A, Products!C:C)</f>
        <v>Home</v>
      </c>
      <c r="N810" t="str">
        <f>_xlfn.XLOOKUP(E810, Sales_Reps!A:A, Sales_Reps!C:C)</f>
        <v>East</v>
      </c>
      <c r="O810">
        <f>_xlfn.XLOOKUP(D810, Products!A:A, Products!D:D)</f>
        <v>288</v>
      </c>
      <c r="P810">
        <f>_xlfn.XLOOKUP(D810, Products!A:A, Products!E:E)</f>
        <v>370</v>
      </c>
    </row>
    <row r="811" spans="1:16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 t="shared" si="12"/>
        <v>Hyderabad</v>
      </c>
      <c r="M811" t="str">
        <f>_xlfn.XLOOKUP(D811, Products!A:A, Products!C:C)</f>
        <v>Grocery</v>
      </c>
      <c r="N811" t="str">
        <f>_xlfn.XLOOKUP(E811, Sales_Reps!A:A, Sales_Reps!C:C)</f>
        <v>East</v>
      </c>
      <c r="O811">
        <f>_xlfn.XLOOKUP(D811, Products!A:A, Products!D:D)</f>
        <v>434</v>
      </c>
      <c r="P811">
        <f>_xlfn.XLOOKUP(D811, Products!A:A, Products!E:E)</f>
        <v>970</v>
      </c>
    </row>
    <row r="812" spans="1:16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 t="shared" si="12"/>
        <v>Pune</v>
      </c>
      <c r="M812" t="str">
        <f>_xlfn.XLOOKUP(D812, Products!A:A, Products!C:C)</f>
        <v>Apparel</v>
      </c>
      <c r="N812" t="str">
        <f>_xlfn.XLOOKUP(E812, Sales_Reps!A:A, Sales_Reps!C:C)</f>
        <v>East</v>
      </c>
      <c r="O812">
        <f>_xlfn.XLOOKUP(D812, Products!A:A, Products!D:D)</f>
        <v>1962</v>
      </c>
      <c r="P812">
        <f>_xlfn.XLOOKUP(D812, Products!A:A, Products!E:E)</f>
        <v>2720</v>
      </c>
    </row>
    <row r="813" spans="1:16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 t="shared" si="12"/>
        <v>Bengaluru</v>
      </c>
      <c r="M813" t="str">
        <f>_xlfn.XLOOKUP(D813, Products!A:A, Products!C:C)</f>
        <v>Sports</v>
      </c>
      <c r="N813" t="str">
        <f>_xlfn.XLOOKUP(E813, Sales_Reps!A:A, Sales_Reps!C:C)</f>
        <v>South</v>
      </c>
      <c r="O813">
        <f>_xlfn.XLOOKUP(D813, Products!A:A, Products!D:D)</f>
        <v>974</v>
      </c>
      <c r="P813">
        <f>_xlfn.XLOOKUP(D813, Products!A:A, Products!E:E)</f>
        <v>2400</v>
      </c>
    </row>
    <row r="814" spans="1:16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 t="shared" si="12"/>
        <v>Pune</v>
      </c>
      <c r="M814" t="str">
        <f>_xlfn.XLOOKUP(D814, Products!A:A, Products!C:C)</f>
        <v>Apparel</v>
      </c>
      <c r="N814" t="str">
        <f>_xlfn.XLOOKUP(E814, Sales_Reps!A:A, Sales_Reps!C:C)</f>
        <v>South</v>
      </c>
      <c r="O814">
        <f>_xlfn.XLOOKUP(D814, Products!A:A, Products!D:D)</f>
        <v>2629</v>
      </c>
      <c r="P814">
        <f>_xlfn.XLOOKUP(D814, Products!A:A, Products!E:E)</f>
        <v>3560</v>
      </c>
    </row>
    <row r="815" spans="1:16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 t="shared" si="12"/>
        <v>Delhi</v>
      </c>
      <c r="M815" t="str">
        <f>_xlfn.XLOOKUP(D815, Products!A:A, Products!C:C)</f>
        <v>Grocery</v>
      </c>
      <c r="N815" t="str">
        <f>_xlfn.XLOOKUP(E815, Sales_Reps!A:A, Sales_Reps!C:C)</f>
        <v>South</v>
      </c>
      <c r="O815">
        <f>_xlfn.XLOOKUP(D815, Products!A:A, Products!D:D)</f>
        <v>2027</v>
      </c>
      <c r="P815">
        <f>_xlfn.XLOOKUP(D815, Products!A:A, Products!E:E)</f>
        <v>4070</v>
      </c>
    </row>
    <row r="816" spans="1:16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 t="shared" si="12"/>
        <v>Mumbai</v>
      </c>
      <c r="M816" t="str">
        <f>_xlfn.XLOOKUP(D816, Products!A:A, Products!C:C)</f>
        <v>Sports</v>
      </c>
      <c r="N816" t="str">
        <f>_xlfn.XLOOKUP(E816, Sales_Reps!A:A, Sales_Reps!C:C)</f>
        <v>North</v>
      </c>
      <c r="O816">
        <f>_xlfn.XLOOKUP(D816, Products!A:A, Products!D:D)</f>
        <v>2265</v>
      </c>
      <c r="P816">
        <f>_xlfn.XLOOKUP(D816, Products!A:A, Products!E:E)</f>
        <v>5410</v>
      </c>
    </row>
    <row r="817" spans="1:16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 t="shared" si="12"/>
        <v>Delhi</v>
      </c>
      <c r="M817" t="str">
        <f>_xlfn.XLOOKUP(D817, Products!A:A, Products!C:C)</f>
        <v>Grocery</v>
      </c>
      <c r="N817" t="str">
        <f>_xlfn.XLOOKUP(E817, Sales_Reps!A:A, Sales_Reps!C:C)</f>
        <v>West</v>
      </c>
      <c r="O817">
        <f>_xlfn.XLOOKUP(D817, Products!A:A, Products!D:D)</f>
        <v>1435</v>
      </c>
      <c r="P817">
        <f>_xlfn.XLOOKUP(D817, Products!A:A, Products!E:E)</f>
        <v>2760</v>
      </c>
    </row>
    <row r="818" spans="1:16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 t="shared" si="12"/>
        <v>Pune</v>
      </c>
      <c r="M818" t="str">
        <f>_xlfn.XLOOKUP(D818, Products!A:A, Products!C:C)</f>
        <v>Home</v>
      </c>
      <c r="N818" t="str">
        <f>_xlfn.XLOOKUP(E818, Sales_Reps!A:A, Sales_Reps!C:C)</f>
        <v>South</v>
      </c>
      <c r="O818">
        <f>_xlfn.XLOOKUP(D818, Products!A:A, Products!D:D)</f>
        <v>2459</v>
      </c>
      <c r="P818">
        <f>_xlfn.XLOOKUP(D818, Products!A:A, Products!E:E)</f>
        <v>5080</v>
      </c>
    </row>
    <row r="819" spans="1:16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 t="shared" si="12"/>
        <v>Pune</v>
      </c>
      <c r="M819" t="str">
        <f>_xlfn.XLOOKUP(D819, Products!A:A, Products!C:C)</f>
        <v>Home</v>
      </c>
      <c r="N819" t="str">
        <f>_xlfn.XLOOKUP(E819, Sales_Reps!A:A, Sales_Reps!C:C)</f>
        <v>East</v>
      </c>
      <c r="O819">
        <f>_xlfn.XLOOKUP(D819, Products!A:A, Products!D:D)</f>
        <v>464</v>
      </c>
      <c r="P819">
        <f>_xlfn.XLOOKUP(D819, Products!A:A, Products!E:E)</f>
        <v>1090</v>
      </c>
    </row>
    <row r="820" spans="1:16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 t="shared" si="12"/>
        <v>Bengaluru</v>
      </c>
      <c r="M820" t="str">
        <f>_xlfn.XLOOKUP(D820, Products!A:A, Products!C:C)</f>
        <v>Grocery</v>
      </c>
      <c r="N820" t="str">
        <f>_xlfn.XLOOKUP(E820, Sales_Reps!A:A, Sales_Reps!C:C)</f>
        <v>West</v>
      </c>
      <c r="O820">
        <f>_xlfn.XLOOKUP(D820, Products!A:A, Products!D:D)</f>
        <v>1182</v>
      </c>
      <c r="P820">
        <f>_xlfn.XLOOKUP(D820, Products!A:A, Products!E:E)</f>
        <v>2380</v>
      </c>
    </row>
    <row r="821" spans="1:16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 t="shared" si="12"/>
        <v>Chennai</v>
      </c>
      <c r="M821" t="str">
        <f>_xlfn.XLOOKUP(D821, Products!A:A, Products!C:C)</f>
        <v>Apparel</v>
      </c>
      <c r="N821" t="str">
        <f>_xlfn.XLOOKUP(E821, Sales_Reps!A:A, Sales_Reps!C:C)</f>
        <v>West</v>
      </c>
      <c r="O821">
        <f>_xlfn.XLOOKUP(D821, Products!A:A, Products!D:D)</f>
        <v>1886</v>
      </c>
      <c r="P821">
        <f>_xlfn.XLOOKUP(D821, Products!A:A, Products!E:E)</f>
        <v>3160</v>
      </c>
    </row>
    <row r="822" spans="1:16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 t="shared" si="12"/>
        <v>Mumbai</v>
      </c>
      <c r="M822" t="str">
        <f>_xlfn.XLOOKUP(D822, Products!A:A, Products!C:C)</f>
        <v>Sports</v>
      </c>
      <c r="N822" t="str">
        <f>_xlfn.XLOOKUP(E822, Sales_Reps!A:A, Sales_Reps!C:C)</f>
        <v>West</v>
      </c>
      <c r="O822">
        <f>_xlfn.XLOOKUP(D822, Products!A:A, Products!D:D)</f>
        <v>974</v>
      </c>
      <c r="P822">
        <f>_xlfn.XLOOKUP(D822, Products!A:A, Products!E:E)</f>
        <v>2400</v>
      </c>
    </row>
    <row r="823" spans="1:16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 t="shared" si="12"/>
        <v>Mumbai</v>
      </c>
      <c r="M823" t="str">
        <f>_xlfn.XLOOKUP(D823, Products!A:A, Products!C:C)</f>
        <v>Electronics</v>
      </c>
      <c r="N823" t="str">
        <f>_xlfn.XLOOKUP(E823, Sales_Reps!A:A, Sales_Reps!C:C)</f>
        <v>East</v>
      </c>
      <c r="O823">
        <f>_xlfn.XLOOKUP(D823, Products!A:A, Products!D:D)</f>
        <v>1052</v>
      </c>
      <c r="P823">
        <f>_xlfn.XLOOKUP(D823, Products!A:A, Products!E:E)</f>
        <v>2600</v>
      </c>
    </row>
    <row r="824" spans="1:16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 t="shared" si="12"/>
        <v>Mumbai</v>
      </c>
      <c r="M824" t="str">
        <f>_xlfn.XLOOKUP(D824, Products!A:A, Products!C:C)</f>
        <v>Grocery</v>
      </c>
      <c r="N824" t="str">
        <f>_xlfn.XLOOKUP(E824, Sales_Reps!A:A, Sales_Reps!C:C)</f>
        <v>East</v>
      </c>
      <c r="O824">
        <f>_xlfn.XLOOKUP(D824, Products!A:A, Products!D:D)</f>
        <v>1203</v>
      </c>
      <c r="P824">
        <f>_xlfn.XLOOKUP(D824, Products!A:A, Products!E:E)</f>
        <v>2270</v>
      </c>
    </row>
    <row r="825" spans="1:16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 t="shared" si="12"/>
        <v>Bengaluru</v>
      </c>
      <c r="M825" t="str">
        <f>_xlfn.XLOOKUP(D825, Products!A:A, Products!C:C)</f>
        <v>Home</v>
      </c>
      <c r="N825" t="str">
        <f>_xlfn.XLOOKUP(E825, Sales_Reps!A:A, Sales_Reps!C:C)</f>
        <v>East</v>
      </c>
      <c r="O825">
        <f>_xlfn.XLOOKUP(D825, Products!A:A, Products!D:D)</f>
        <v>2549</v>
      </c>
      <c r="P825">
        <f>_xlfn.XLOOKUP(D825, Products!A:A, Products!E:E)</f>
        <v>5490</v>
      </c>
    </row>
    <row r="826" spans="1:16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 t="shared" si="12"/>
        <v>Pune</v>
      </c>
      <c r="M826" t="str">
        <f>_xlfn.XLOOKUP(D826, Products!A:A, Products!C:C)</f>
        <v>Electronics</v>
      </c>
      <c r="N826" t="str">
        <f>_xlfn.XLOOKUP(E826, Sales_Reps!A:A, Sales_Reps!C:C)</f>
        <v>South</v>
      </c>
      <c r="O826">
        <f>_xlfn.XLOOKUP(D826, Products!A:A, Products!D:D)</f>
        <v>1559</v>
      </c>
      <c r="P826">
        <f>_xlfn.XLOOKUP(D826, Products!A:A, Products!E:E)</f>
        <v>3870</v>
      </c>
    </row>
    <row r="827" spans="1:16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 t="shared" si="12"/>
        <v>Hyderabad</v>
      </c>
      <c r="M827" t="str">
        <f>_xlfn.XLOOKUP(D827, Products!A:A, Products!C:C)</f>
        <v>Beauty</v>
      </c>
      <c r="N827" t="str">
        <f>_xlfn.XLOOKUP(E827, Sales_Reps!A:A, Sales_Reps!C:C)</f>
        <v>West</v>
      </c>
      <c r="O827">
        <f>_xlfn.XLOOKUP(D827, Products!A:A, Products!D:D)</f>
        <v>675</v>
      </c>
      <c r="P827">
        <f>_xlfn.XLOOKUP(D827, Products!A:A, Products!E:E)</f>
        <v>960</v>
      </c>
    </row>
    <row r="828" spans="1:16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 t="shared" si="12"/>
        <v>Mumbai</v>
      </c>
      <c r="M828" t="str">
        <f>_xlfn.XLOOKUP(D828, Products!A:A, Products!C:C)</f>
        <v>Beauty</v>
      </c>
      <c r="N828" t="str">
        <f>_xlfn.XLOOKUP(E828, Sales_Reps!A:A, Sales_Reps!C:C)</f>
        <v>North</v>
      </c>
      <c r="O828">
        <f>_xlfn.XLOOKUP(D828, Products!A:A, Products!D:D)</f>
        <v>2768</v>
      </c>
      <c r="P828">
        <f>_xlfn.XLOOKUP(D828, Products!A:A, Products!E:E)</f>
        <v>4880</v>
      </c>
    </row>
    <row r="829" spans="1:16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 t="shared" si="12"/>
        <v>Mumbai</v>
      </c>
      <c r="M829" t="str">
        <f>_xlfn.XLOOKUP(D829, Products!A:A, Products!C:C)</f>
        <v>Sports</v>
      </c>
      <c r="N829" t="str">
        <f>_xlfn.XLOOKUP(E829, Sales_Reps!A:A, Sales_Reps!C:C)</f>
        <v>North</v>
      </c>
      <c r="O829">
        <f>_xlfn.XLOOKUP(D829, Products!A:A, Products!D:D)</f>
        <v>974</v>
      </c>
      <c r="P829">
        <f>_xlfn.XLOOKUP(D829, Products!A:A, Products!E:E)</f>
        <v>2400</v>
      </c>
    </row>
    <row r="830" spans="1:16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 t="shared" si="12"/>
        <v>Pune</v>
      </c>
      <c r="M830" t="str">
        <f>_xlfn.XLOOKUP(D830, Products!A:A, Products!C:C)</f>
        <v>Apparel</v>
      </c>
      <c r="N830" t="str">
        <f>_xlfn.XLOOKUP(E830, Sales_Reps!A:A, Sales_Reps!C:C)</f>
        <v>South</v>
      </c>
      <c r="O830">
        <f>_xlfn.XLOOKUP(D830, Products!A:A, Products!D:D)</f>
        <v>396</v>
      </c>
      <c r="P830">
        <f>_xlfn.XLOOKUP(D830, Products!A:A, Products!E:E)</f>
        <v>620</v>
      </c>
    </row>
    <row r="831" spans="1:16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 t="shared" si="12"/>
        <v>Pune</v>
      </c>
      <c r="M831" t="str">
        <f>_xlfn.XLOOKUP(D831, Products!A:A, Products!C:C)</f>
        <v>Home</v>
      </c>
      <c r="N831" t="str">
        <f>_xlfn.XLOOKUP(E831, Sales_Reps!A:A, Sales_Reps!C:C)</f>
        <v>South</v>
      </c>
      <c r="O831">
        <f>_xlfn.XLOOKUP(D831, Products!A:A, Products!D:D)</f>
        <v>1850</v>
      </c>
      <c r="P831">
        <f>_xlfn.XLOOKUP(D831, Products!A:A, Products!E:E)</f>
        <v>4610</v>
      </c>
    </row>
    <row r="832" spans="1:16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 t="shared" si="12"/>
        <v>Chennai</v>
      </c>
      <c r="M832" t="str">
        <f>_xlfn.XLOOKUP(D832, Products!A:A, Products!C:C)</f>
        <v>Home</v>
      </c>
      <c r="N832" t="str">
        <f>_xlfn.XLOOKUP(E832, Sales_Reps!A:A, Sales_Reps!C:C)</f>
        <v>South</v>
      </c>
      <c r="O832">
        <f>_xlfn.XLOOKUP(D832, Products!A:A, Products!D:D)</f>
        <v>1850</v>
      </c>
      <c r="P832">
        <f>_xlfn.XLOOKUP(D832, Products!A:A, Products!E:E)</f>
        <v>4610</v>
      </c>
    </row>
    <row r="833" spans="1:16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 t="shared" si="12"/>
        <v>Hyderabad</v>
      </c>
      <c r="M833" t="str">
        <f>_xlfn.XLOOKUP(D833, Products!A:A, Products!C:C)</f>
        <v>Grocery</v>
      </c>
      <c r="N833" t="str">
        <f>_xlfn.XLOOKUP(E833, Sales_Reps!A:A, Sales_Reps!C:C)</f>
        <v>West</v>
      </c>
      <c r="O833">
        <f>_xlfn.XLOOKUP(D833, Products!A:A, Products!D:D)</f>
        <v>434</v>
      </c>
      <c r="P833">
        <f>_xlfn.XLOOKUP(D833, Products!A:A, Products!E:E)</f>
        <v>970</v>
      </c>
    </row>
    <row r="834" spans="1:16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 t="shared" si="12"/>
        <v>Chennai</v>
      </c>
      <c r="M834" t="str">
        <f>_xlfn.XLOOKUP(D834, Products!A:A, Products!C:C)</f>
        <v>Electronics</v>
      </c>
      <c r="N834" t="str">
        <f>_xlfn.XLOOKUP(E834, Sales_Reps!A:A, Sales_Reps!C:C)</f>
        <v>West</v>
      </c>
      <c r="O834">
        <f>_xlfn.XLOOKUP(D834, Products!A:A, Products!D:D)</f>
        <v>861</v>
      </c>
      <c r="P834">
        <f>_xlfn.XLOOKUP(D834, Products!A:A, Products!E:E)</f>
        <v>1430</v>
      </c>
    </row>
    <row r="835" spans="1:16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 t="shared" ref="L835:L898" si="13">PROPER(TRIM(K835))</f>
        <v>Delhi</v>
      </c>
      <c r="M835" t="str">
        <f>_xlfn.XLOOKUP(D835, Products!A:A, Products!C:C)</f>
        <v>Grocery</v>
      </c>
      <c r="N835" t="str">
        <f>_xlfn.XLOOKUP(E835, Sales_Reps!A:A, Sales_Reps!C:C)</f>
        <v>South</v>
      </c>
      <c r="O835">
        <f>_xlfn.XLOOKUP(D835, Products!A:A, Products!D:D)</f>
        <v>2436</v>
      </c>
      <c r="P835">
        <f>_xlfn.XLOOKUP(D835, Products!A:A, Products!E:E)</f>
        <v>3780</v>
      </c>
    </row>
    <row r="836" spans="1:16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 t="shared" si="13"/>
        <v>Hyderabad</v>
      </c>
      <c r="M836" t="str">
        <f>_xlfn.XLOOKUP(D836, Products!A:A, Products!C:C)</f>
        <v>Beauty</v>
      </c>
      <c r="N836" t="str">
        <f>_xlfn.XLOOKUP(E836, Sales_Reps!A:A, Sales_Reps!C:C)</f>
        <v>East</v>
      </c>
      <c r="O836">
        <f>_xlfn.XLOOKUP(D836, Products!A:A, Products!D:D)</f>
        <v>647</v>
      </c>
      <c r="P836">
        <f>_xlfn.XLOOKUP(D836, Products!A:A, Products!E:E)</f>
        <v>1540</v>
      </c>
    </row>
    <row r="837" spans="1:16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 t="shared" si="13"/>
        <v>Pune</v>
      </c>
      <c r="M837" t="str">
        <f>_xlfn.XLOOKUP(D837, Products!A:A, Products!C:C)</f>
        <v>Home</v>
      </c>
      <c r="N837" t="str">
        <f>_xlfn.XLOOKUP(E837, Sales_Reps!A:A, Sales_Reps!C:C)</f>
        <v>East</v>
      </c>
      <c r="O837">
        <f>_xlfn.XLOOKUP(D837, Products!A:A, Products!D:D)</f>
        <v>519</v>
      </c>
      <c r="P837">
        <f>_xlfn.XLOOKUP(D837, Products!A:A, Products!E:E)</f>
        <v>1080</v>
      </c>
    </row>
    <row r="838" spans="1:16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 t="shared" si="13"/>
        <v>Pune</v>
      </c>
      <c r="M838" t="str">
        <f>_xlfn.XLOOKUP(D838, Products!A:A, Products!C:C)</f>
        <v>Sports</v>
      </c>
      <c r="N838" t="str">
        <f>_xlfn.XLOOKUP(E838, Sales_Reps!A:A, Sales_Reps!C:C)</f>
        <v>North</v>
      </c>
      <c r="O838">
        <f>_xlfn.XLOOKUP(D838, Products!A:A, Products!D:D)</f>
        <v>974</v>
      </c>
      <c r="P838">
        <f>_xlfn.XLOOKUP(D838, Products!A:A, Products!E:E)</f>
        <v>2400</v>
      </c>
    </row>
    <row r="839" spans="1:16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 t="shared" si="13"/>
        <v>Bengaluru</v>
      </c>
      <c r="M839" t="str">
        <f>_xlfn.XLOOKUP(D839, Products!A:A, Products!C:C)</f>
        <v>Home</v>
      </c>
      <c r="N839" t="str">
        <f>_xlfn.XLOOKUP(E839, Sales_Reps!A:A, Sales_Reps!C:C)</f>
        <v>East</v>
      </c>
      <c r="O839">
        <f>_xlfn.XLOOKUP(D839, Products!A:A, Products!D:D)</f>
        <v>519</v>
      </c>
      <c r="P839">
        <f>_xlfn.XLOOKUP(D839, Products!A:A, Products!E:E)</f>
        <v>1080</v>
      </c>
    </row>
    <row r="840" spans="1:16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 t="shared" si="13"/>
        <v>Chennai</v>
      </c>
      <c r="M840" t="str">
        <f>_xlfn.XLOOKUP(D840, Products!A:A, Products!C:C)</f>
        <v>Grocery</v>
      </c>
      <c r="N840" t="str">
        <f>_xlfn.XLOOKUP(E840, Sales_Reps!A:A, Sales_Reps!C:C)</f>
        <v>West</v>
      </c>
      <c r="O840">
        <f>_xlfn.XLOOKUP(D840, Products!A:A, Products!D:D)</f>
        <v>1203</v>
      </c>
      <c r="P840">
        <f>_xlfn.XLOOKUP(D840, Products!A:A, Products!E:E)</f>
        <v>2270</v>
      </c>
    </row>
    <row r="841" spans="1:16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 t="shared" si="13"/>
        <v>Mumbai</v>
      </c>
      <c r="M841" t="str">
        <f>_xlfn.XLOOKUP(D841, Products!A:A, Products!C:C)</f>
        <v>Grocery</v>
      </c>
      <c r="N841" t="str">
        <f>_xlfn.XLOOKUP(E841, Sales_Reps!A:A, Sales_Reps!C:C)</f>
        <v>West</v>
      </c>
      <c r="O841">
        <f>_xlfn.XLOOKUP(D841, Products!A:A, Products!D:D)</f>
        <v>2214</v>
      </c>
      <c r="P841">
        <f>_xlfn.XLOOKUP(D841, Products!A:A, Products!E:E)</f>
        <v>3660</v>
      </c>
    </row>
    <row r="842" spans="1:16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 t="shared" si="13"/>
        <v>Delhi</v>
      </c>
      <c r="M842" t="str">
        <f>_xlfn.XLOOKUP(D842, Products!A:A, Products!C:C)</f>
        <v>Home</v>
      </c>
      <c r="N842" t="str">
        <f>_xlfn.XLOOKUP(E842, Sales_Reps!A:A, Sales_Reps!C:C)</f>
        <v>North</v>
      </c>
      <c r="O842">
        <f>_xlfn.XLOOKUP(D842, Products!A:A, Products!D:D)</f>
        <v>1556</v>
      </c>
      <c r="P842">
        <f>_xlfn.XLOOKUP(D842, Products!A:A, Products!E:E)</f>
        <v>3250</v>
      </c>
    </row>
    <row r="843" spans="1:16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 t="shared" si="13"/>
        <v>Pune</v>
      </c>
      <c r="M843" t="str">
        <f>_xlfn.XLOOKUP(D843, Products!A:A, Products!C:C)</f>
        <v>Beauty</v>
      </c>
      <c r="N843" t="str">
        <f>_xlfn.XLOOKUP(E843, Sales_Reps!A:A, Sales_Reps!C:C)</f>
        <v>South</v>
      </c>
      <c r="O843">
        <f>_xlfn.XLOOKUP(D843, Products!A:A, Products!D:D)</f>
        <v>1222</v>
      </c>
      <c r="P843">
        <f>_xlfn.XLOOKUP(D843, Products!A:A, Products!E:E)</f>
        <v>1650</v>
      </c>
    </row>
    <row r="844" spans="1:16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 t="shared" si="13"/>
        <v>Hyderabad</v>
      </c>
      <c r="M844" t="str">
        <f>_xlfn.XLOOKUP(D844, Products!A:A, Products!C:C)</f>
        <v>Home</v>
      </c>
      <c r="N844" t="str">
        <f>_xlfn.XLOOKUP(E844, Sales_Reps!A:A, Sales_Reps!C:C)</f>
        <v>North</v>
      </c>
      <c r="O844">
        <f>_xlfn.XLOOKUP(D844, Products!A:A, Products!D:D)</f>
        <v>2459</v>
      </c>
      <c r="P844">
        <f>_xlfn.XLOOKUP(D844, Products!A:A, Products!E:E)</f>
        <v>5080</v>
      </c>
    </row>
    <row r="845" spans="1:16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 t="shared" si="13"/>
        <v>Bengaluru</v>
      </c>
      <c r="M845" t="str">
        <f>_xlfn.XLOOKUP(D845, Products!A:A, Products!C:C)</f>
        <v>Sports</v>
      </c>
      <c r="N845" t="str">
        <f>_xlfn.XLOOKUP(E845, Sales_Reps!A:A, Sales_Reps!C:C)</f>
        <v>West</v>
      </c>
      <c r="O845">
        <f>_xlfn.XLOOKUP(D845, Products!A:A, Products!D:D)</f>
        <v>2467</v>
      </c>
      <c r="P845">
        <f>_xlfn.XLOOKUP(D845, Products!A:A, Products!E:E)</f>
        <v>3450</v>
      </c>
    </row>
    <row r="846" spans="1:16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 t="shared" si="13"/>
        <v>Chennai</v>
      </c>
      <c r="M846" t="str">
        <f>_xlfn.XLOOKUP(D846, Products!A:A, Products!C:C)</f>
        <v>Beauty</v>
      </c>
      <c r="N846" t="str">
        <f>_xlfn.XLOOKUP(E846, Sales_Reps!A:A, Sales_Reps!C:C)</f>
        <v>East</v>
      </c>
      <c r="O846">
        <f>_xlfn.XLOOKUP(D846, Products!A:A, Products!D:D)</f>
        <v>1728</v>
      </c>
      <c r="P846">
        <f>_xlfn.XLOOKUP(D846, Products!A:A, Products!E:E)</f>
        <v>3350</v>
      </c>
    </row>
    <row r="847" spans="1:16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 t="shared" si="13"/>
        <v>Hyderabad</v>
      </c>
      <c r="M847" t="str">
        <f>_xlfn.XLOOKUP(D847, Products!A:A, Products!C:C)</f>
        <v>Grocery</v>
      </c>
      <c r="N847" t="str">
        <f>_xlfn.XLOOKUP(E847, Sales_Reps!A:A, Sales_Reps!C:C)</f>
        <v>West</v>
      </c>
      <c r="O847">
        <f>_xlfn.XLOOKUP(D847, Products!A:A, Products!D:D)</f>
        <v>1010</v>
      </c>
      <c r="P847">
        <f>_xlfn.XLOOKUP(D847, Products!A:A, Products!E:E)</f>
        <v>2210</v>
      </c>
    </row>
    <row r="848" spans="1:16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 t="shared" si="13"/>
        <v>Delhi</v>
      </c>
      <c r="M848" t="str">
        <f>_xlfn.XLOOKUP(D848, Products!A:A, Products!C:C)</f>
        <v>Beauty</v>
      </c>
      <c r="N848" t="str">
        <f>_xlfn.XLOOKUP(E848, Sales_Reps!A:A, Sales_Reps!C:C)</f>
        <v>North</v>
      </c>
      <c r="O848">
        <f>_xlfn.XLOOKUP(D848, Products!A:A, Products!D:D)</f>
        <v>2768</v>
      </c>
      <c r="P848">
        <f>_xlfn.XLOOKUP(D848, Products!A:A, Products!E:E)</f>
        <v>4880</v>
      </c>
    </row>
    <row r="849" spans="1:16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 t="shared" si="13"/>
        <v>Chennai</v>
      </c>
      <c r="M849" t="str">
        <f>_xlfn.XLOOKUP(D849, Products!A:A, Products!C:C)</f>
        <v>Sports</v>
      </c>
      <c r="N849" t="str">
        <f>_xlfn.XLOOKUP(E849, Sales_Reps!A:A, Sales_Reps!C:C)</f>
        <v>North</v>
      </c>
      <c r="O849">
        <f>_xlfn.XLOOKUP(D849, Products!A:A, Products!D:D)</f>
        <v>2028</v>
      </c>
      <c r="P849">
        <f>_xlfn.XLOOKUP(D849, Products!A:A, Products!E:E)</f>
        <v>2860</v>
      </c>
    </row>
    <row r="850" spans="1:16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 t="shared" si="13"/>
        <v>Pune</v>
      </c>
      <c r="M850" t="str">
        <f>_xlfn.XLOOKUP(D850, Products!A:A, Products!C:C)</f>
        <v>Grocery</v>
      </c>
      <c r="N850" t="str">
        <f>_xlfn.XLOOKUP(E850, Sales_Reps!A:A, Sales_Reps!C:C)</f>
        <v>North</v>
      </c>
      <c r="O850">
        <f>_xlfn.XLOOKUP(D850, Products!A:A, Products!D:D)</f>
        <v>434</v>
      </c>
      <c r="P850">
        <f>_xlfn.XLOOKUP(D850, Products!A:A, Products!E:E)</f>
        <v>970</v>
      </c>
    </row>
    <row r="851" spans="1:16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 t="shared" si="13"/>
        <v>Pune</v>
      </c>
      <c r="M851" t="str">
        <f>_xlfn.XLOOKUP(D851, Products!A:A, Products!C:C)</f>
        <v>Grocery</v>
      </c>
      <c r="N851" t="str">
        <f>_xlfn.XLOOKUP(E851, Sales_Reps!A:A, Sales_Reps!C:C)</f>
        <v>North</v>
      </c>
      <c r="O851">
        <f>_xlfn.XLOOKUP(D851, Products!A:A, Products!D:D)</f>
        <v>1412</v>
      </c>
      <c r="P851">
        <f>_xlfn.XLOOKUP(D851, Products!A:A, Products!E:E)</f>
        <v>2270</v>
      </c>
    </row>
    <row r="852" spans="1:16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 t="shared" si="13"/>
        <v>Chennai</v>
      </c>
      <c r="M852" t="str">
        <f>_xlfn.XLOOKUP(D852, Products!A:A, Products!C:C)</f>
        <v>Apparel</v>
      </c>
      <c r="N852" t="str">
        <f>_xlfn.XLOOKUP(E852, Sales_Reps!A:A, Sales_Reps!C:C)</f>
        <v>South</v>
      </c>
      <c r="O852">
        <f>_xlfn.XLOOKUP(D852, Products!A:A, Products!D:D)</f>
        <v>2629</v>
      </c>
      <c r="P852">
        <f>_xlfn.XLOOKUP(D852, Products!A:A, Products!E:E)</f>
        <v>3560</v>
      </c>
    </row>
    <row r="853" spans="1:16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 t="shared" si="13"/>
        <v>Chennai</v>
      </c>
      <c r="M853" t="str">
        <f>_xlfn.XLOOKUP(D853, Products!A:A, Products!C:C)</f>
        <v>Sports</v>
      </c>
      <c r="N853" t="str">
        <f>_xlfn.XLOOKUP(E853, Sales_Reps!A:A, Sales_Reps!C:C)</f>
        <v>South</v>
      </c>
      <c r="O853">
        <f>_xlfn.XLOOKUP(D853, Products!A:A, Products!D:D)</f>
        <v>2265</v>
      </c>
      <c r="P853">
        <f>_xlfn.XLOOKUP(D853, Products!A:A, Products!E:E)</f>
        <v>5410</v>
      </c>
    </row>
    <row r="854" spans="1:16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 t="shared" si="13"/>
        <v>Bengaluru</v>
      </c>
      <c r="M854" t="str">
        <f>_xlfn.XLOOKUP(D854, Products!A:A, Products!C:C)</f>
        <v>Apparel</v>
      </c>
      <c r="N854" t="str">
        <f>_xlfn.XLOOKUP(E854, Sales_Reps!A:A, Sales_Reps!C:C)</f>
        <v>North</v>
      </c>
      <c r="O854">
        <f>_xlfn.XLOOKUP(D854, Products!A:A, Products!D:D)</f>
        <v>1173</v>
      </c>
      <c r="P854">
        <f>_xlfn.XLOOKUP(D854, Products!A:A, Products!E:E)</f>
        <v>2480</v>
      </c>
    </row>
    <row r="855" spans="1:16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 t="shared" si="13"/>
        <v>Delhi</v>
      </c>
      <c r="M855" t="str">
        <f>_xlfn.XLOOKUP(D855, Products!A:A, Products!C:C)</f>
        <v>Apparel</v>
      </c>
      <c r="N855" t="str">
        <f>_xlfn.XLOOKUP(E855, Sales_Reps!A:A, Sales_Reps!C:C)</f>
        <v>South</v>
      </c>
      <c r="O855">
        <f>_xlfn.XLOOKUP(D855, Products!A:A, Products!D:D)</f>
        <v>391</v>
      </c>
      <c r="P855">
        <f>_xlfn.XLOOKUP(D855, Products!A:A, Products!E:E)</f>
        <v>820</v>
      </c>
    </row>
    <row r="856" spans="1:16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 t="shared" si="13"/>
        <v>Bengaluru</v>
      </c>
      <c r="M856" t="str">
        <f>_xlfn.XLOOKUP(D856, Products!A:A, Products!C:C)</f>
        <v>Electronics</v>
      </c>
      <c r="N856" t="str">
        <f>_xlfn.XLOOKUP(E856, Sales_Reps!A:A, Sales_Reps!C:C)</f>
        <v>South</v>
      </c>
      <c r="O856">
        <f>_xlfn.XLOOKUP(D856, Products!A:A, Products!D:D)</f>
        <v>2405</v>
      </c>
      <c r="P856">
        <f>_xlfn.XLOOKUP(D856, Products!A:A, Products!E:E)</f>
        <v>5330</v>
      </c>
    </row>
    <row r="857" spans="1:16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 t="shared" si="13"/>
        <v>Hyderabad</v>
      </c>
      <c r="M857" t="str">
        <f>_xlfn.XLOOKUP(D857, Products!A:A, Products!C:C)</f>
        <v>Beauty</v>
      </c>
      <c r="N857" t="str">
        <f>_xlfn.XLOOKUP(E857, Sales_Reps!A:A, Sales_Reps!C:C)</f>
        <v>North</v>
      </c>
      <c r="O857">
        <f>_xlfn.XLOOKUP(D857, Products!A:A, Products!D:D)</f>
        <v>2420</v>
      </c>
      <c r="P857">
        <f>_xlfn.XLOOKUP(D857, Products!A:A, Products!E:E)</f>
        <v>3450</v>
      </c>
    </row>
    <row r="858" spans="1:16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 t="shared" si="13"/>
        <v>Chennai</v>
      </c>
      <c r="M858" t="str">
        <f>_xlfn.XLOOKUP(D858, Products!A:A, Products!C:C)</f>
        <v>Beauty</v>
      </c>
      <c r="N858" t="str">
        <f>_xlfn.XLOOKUP(E858, Sales_Reps!A:A, Sales_Reps!C:C)</f>
        <v>East</v>
      </c>
      <c r="O858">
        <f>_xlfn.XLOOKUP(D858, Products!A:A, Products!D:D)</f>
        <v>675</v>
      </c>
      <c r="P858">
        <f>_xlfn.XLOOKUP(D858, Products!A:A, Products!E:E)</f>
        <v>960</v>
      </c>
    </row>
    <row r="859" spans="1:16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 t="shared" si="13"/>
        <v>Hyderabad</v>
      </c>
      <c r="M859" t="str">
        <f>_xlfn.XLOOKUP(D859, Products!A:A, Products!C:C)</f>
        <v>Apparel</v>
      </c>
      <c r="N859" t="str">
        <f>_xlfn.XLOOKUP(E859, Sales_Reps!A:A, Sales_Reps!C:C)</f>
        <v>North</v>
      </c>
      <c r="O859">
        <f>_xlfn.XLOOKUP(D859, Products!A:A, Products!D:D)</f>
        <v>1748</v>
      </c>
      <c r="P859">
        <f>_xlfn.XLOOKUP(D859, Products!A:A, Products!E:E)</f>
        <v>3450</v>
      </c>
    </row>
    <row r="860" spans="1:16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 t="shared" si="13"/>
        <v>Pune</v>
      </c>
      <c r="M860" t="str">
        <f>_xlfn.XLOOKUP(D860, Products!A:A, Products!C:C)</f>
        <v>Electronics</v>
      </c>
      <c r="N860" t="str">
        <f>_xlfn.XLOOKUP(E860, Sales_Reps!A:A, Sales_Reps!C:C)</f>
        <v>North</v>
      </c>
      <c r="O860">
        <f>_xlfn.XLOOKUP(D860, Products!A:A, Products!D:D)</f>
        <v>517</v>
      </c>
      <c r="P860">
        <f>_xlfn.XLOOKUP(D860, Products!A:A, Products!E:E)</f>
        <v>1220</v>
      </c>
    </row>
    <row r="861" spans="1:16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 t="shared" si="13"/>
        <v>Pune</v>
      </c>
      <c r="M861" t="str">
        <f>_xlfn.XLOOKUP(D861, Products!A:A, Products!C:C)</f>
        <v>Electronics</v>
      </c>
      <c r="N861" t="str">
        <f>_xlfn.XLOOKUP(E861, Sales_Reps!A:A, Sales_Reps!C:C)</f>
        <v>North</v>
      </c>
      <c r="O861">
        <f>_xlfn.XLOOKUP(D861, Products!A:A, Products!D:D)</f>
        <v>2405</v>
      </c>
      <c r="P861">
        <f>_xlfn.XLOOKUP(D861, Products!A:A, Products!E:E)</f>
        <v>5330</v>
      </c>
    </row>
    <row r="862" spans="1:16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 t="shared" si="13"/>
        <v>Bengaluru</v>
      </c>
      <c r="M862" t="str">
        <f>_xlfn.XLOOKUP(D862, Products!A:A, Products!C:C)</f>
        <v>Electronics</v>
      </c>
      <c r="N862" t="str">
        <f>_xlfn.XLOOKUP(E862, Sales_Reps!A:A, Sales_Reps!C:C)</f>
        <v>West</v>
      </c>
      <c r="O862">
        <f>_xlfn.XLOOKUP(D862, Products!A:A, Products!D:D)</f>
        <v>1665</v>
      </c>
      <c r="P862">
        <f>_xlfn.XLOOKUP(D862, Products!A:A, Products!E:E)</f>
        <v>3570</v>
      </c>
    </row>
    <row r="863" spans="1:16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 t="shared" si="13"/>
        <v>Mumbai</v>
      </c>
      <c r="M863" t="str">
        <f>_xlfn.XLOOKUP(D863, Products!A:A, Products!C:C)</f>
        <v>Grocery</v>
      </c>
      <c r="N863" t="str">
        <f>_xlfn.XLOOKUP(E863, Sales_Reps!A:A, Sales_Reps!C:C)</f>
        <v>West</v>
      </c>
      <c r="O863">
        <f>_xlfn.XLOOKUP(D863, Products!A:A, Products!D:D)</f>
        <v>1010</v>
      </c>
      <c r="P863">
        <f>_xlfn.XLOOKUP(D863, Products!A:A, Products!E:E)</f>
        <v>2210</v>
      </c>
    </row>
    <row r="864" spans="1:16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 t="shared" si="13"/>
        <v>Pune</v>
      </c>
      <c r="M864" t="str">
        <f>_xlfn.XLOOKUP(D864, Products!A:A, Products!C:C)</f>
        <v>Sports</v>
      </c>
      <c r="N864" t="str">
        <f>_xlfn.XLOOKUP(E864, Sales_Reps!A:A, Sales_Reps!C:C)</f>
        <v>West</v>
      </c>
      <c r="O864">
        <f>_xlfn.XLOOKUP(D864, Products!A:A, Products!D:D)</f>
        <v>1860</v>
      </c>
      <c r="P864">
        <f>_xlfn.XLOOKUP(D864, Products!A:A, Products!E:E)</f>
        <v>3780</v>
      </c>
    </row>
    <row r="865" spans="1:16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 t="shared" si="13"/>
        <v>Mumbai</v>
      </c>
      <c r="M865" t="str">
        <f>_xlfn.XLOOKUP(D865, Products!A:A, Products!C:C)</f>
        <v>Electronics</v>
      </c>
      <c r="N865" t="str">
        <f>_xlfn.XLOOKUP(E865, Sales_Reps!A:A, Sales_Reps!C:C)</f>
        <v>North</v>
      </c>
      <c r="O865">
        <f>_xlfn.XLOOKUP(D865, Products!A:A, Products!D:D)</f>
        <v>1149</v>
      </c>
      <c r="P865">
        <f>_xlfn.XLOOKUP(D865, Products!A:A, Products!E:E)</f>
        <v>2640</v>
      </c>
    </row>
    <row r="866" spans="1:16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 t="shared" si="13"/>
        <v>Bengaluru</v>
      </c>
      <c r="M866" t="str">
        <f>_xlfn.XLOOKUP(D866, Products!A:A, Products!C:C)</f>
        <v>Electronics</v>
      </c>
      <c r="N866" t="str">
        <f>_xlfn.XLOOKUP(E866, Sales_Reps!A:A, Sales_Reps!C:C)</f>
        <v>West</v>
      </c>
      <c r="O866">
        <f>_xlfn.XLOOKUP(D866, Products!A:A, Products!D:D)</f>
        <v>128</v>
      </c>
      <c r="P866">
        <f>_xlfn.XLOOKUP(D866, Products!A:A, Products!E:E)</f>
        <v>300</v>
      </c>
    </row>
    <row r="867" spans="1:16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 t="shared" si="13"/>
        <v>Hyderabad</v>
      </c>
      <c r="M867" t="str">
        <f>_xlfn.XLOOKUP(D867, Products!A:A, Products!C:C)</f>
        <v>Sports</v>
      </c>
      <c r="N867" t="str">
        <f>_xlfn.XLOOKUP(E867, Sales_Reps!A:A, Sales_Reps!C:C)</f>
        <v>South</v>
      </c>
      <c r="O867">
        <f>_xlfn.XLOOKUP(D867, Products!A:A, Products!D:D)</f>
        <v>974</v>
      </c>
      <c r="P867">
        <f>_xlfn.XLOOKUP(D867, Products!A:A, Products!E:E)</f>
        <v>2400</v>
      </c>
    </row>
    <row r="868" spans="1:16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 t="shared" si="13"/>
        <v>Hyderabad</v>
      </c>
      <c r="M868" t="str">
        <f>_xlfn.XLOOKUP(D868, Products!A:A, Products!C:C)</f>
        <v>Home</v>
      </c>
      <c r="N868" t="str">
        <f>_xlfn.XLOOKUP(E868, Sales_Reps!A:A, Sales_Reps!C:C)</f>
        <v>West</v>
      </c>
      <c r="O868">
        <f>_xlfn.XLOOKUP(D868, Products!A:A, Products!D:D)</f>
        <v>519</v>
      </c>
      <c r="P868">
        <f>_xlfn.XLOOKUP(D868, Products!A:A, Products!E:E)</f>
        <v>1080</v>
      </c>
    </row>
    <row r="869" spans="1:16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 t="shared" si="13"/>
        <v>Delhi</v>
      </c>
      <c r="M869" t="str">
        <f>_xlfn.XLOOKUP(D869, Products!A:A, Products!C:C)</f>
        <v>Home</v>
      </c>
      <c r="N869" t="str">
        <f>_xlfn.XLOOKUP(E869, Sales_Reps!A:A, Sales_Reps!C:C)</f>
        <v>North</v>
      </c>
      <c r="O869">
        <f>_xlfn.XLOOKUP(D869, Products!A:A, Products!D:D)</f>
        <v>1556</v>
      </c>
      <c r="P869">
        <f>_xlfn.XLOOKUP(D869, Products!A:A, Products!E:E)</f>
        <v>3250</v>
      </c>
    </row>
    <row r="870" spans="1:16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 t="shared" si="13"/>
        <v>Bengaluru</v>
      </c>
      <c r="M870" t="str">
        <f>_xlfn.XLOOKUP(D870, Products!A:A, Products!C:C)</f>
        <v>Home</v>
      </c>
      <c r="N870" t="str">
        <f>_xlfn.XLOOKUP(E870, Sales_Reps!A:A, Sales_Reps!C:C)</f>
        <v>East</v>
      </c>
      <c r="O870">
        <f>_xlfn.XLOOKUP(D870, Products!A:A, Products!D:D)</f>
        <v>288</v>
      </c>
      <c r="P870">
        <f>_xlfn.XLOOKUP(D870, Products!A:A, Products!E:E)</f>
        <v>370</v>
      </c>
    </row>
    <row r="871" spans="1:16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 t="shared" si="13"/>
        <v>Pune</v>
      </c>
      <c r="M871" t="str">
        <f>_xlfn.XLOOKUP(D871, Products!A:A, Products!C:C)</f>
        <v>Home</v>
      </c>
      <c r="N871" t="str">
        <f>_xlfn.XLOOKUP(E871, Sales_Reps!A:A, Sales_Reps!C:C)</f>
        <v>West</v>
      </c>
      <c r="O871">
        <f>_xlfn.XLOOKUP(D871, Products!A:A, Products!D:D)</f>
        <v>2549</v>
      </c>
      <c r="P871">
        <f>_xlfn.XLOOKUP(D871, Products!A:A, Products!E:E)</f>
        <v>5490</v>
      </c>
    </row>
    <row r="872" spans="1:16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 t="shared" si="13"/>
        <v>Mumbai</v>
      </c>
      <c r="M872" t="str">
        <f>_xlfn.XLOOKUP(D872, Products!A:A, Products!C:C)</f>
        <v>Electronics</v>
      </c>
      <c r="N872" t="str">
        <f>_xlfn.XLOOKUP(E872, Sales_Reps!A:A, Sales_Reps!C:C)</f>
        <v>West</v>
      </c>
      <c r="O872">
        <f>_xlfn.XLOOKUP(D872, Products!A:A, Products!D:D)</f>
        <v>2865</v>
      </c>
      <c r="P872">
        <f>_xlfn.XLOOKUP(D872, Products!A:A, Products!E:E)</f>
        <v>3970</v>
      </c>
    </row>
    <row r="873" spans="1:16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 t="shared" si="13"/>
        <v>Hyderabad</v>
      </c>
      <c r="M873" t="str">
        <f>_xlfn.XLOOKUP(D873, Products!A:A, Products!C:C)</f>
        <v>Electronics</v>
      </c>
      <c r="N873" t="str">
        <f>_xlfn.XLOOKUP(E873, Sales_Reps!A:A, Sales_Reps!C:C)</f>
        <v>North</v>
      </c>
      <c r="O873">
        <f>_xlfn.XLOOKUP(D873, Products!A:A, Products!D:D)</f>
        <v>517</v>
      </c>
      <c r="P873">
        <f>_xlfn.XLOOKUP(D873, Products!A:A, Products!E:E)</f>
        <v>1220</v>
      </c>
    </row>
    <row r="874" spans="1:16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 t="shared" si="13"/>
        <v>Hyderabad</v>
      </c>
      <c r="M874" t="str">
        <f>_xlfn.XLOOKUP(D874, Products!A:A, Products!C:C)</f>
        <v>Apparel</v>
      </c>
      <c r="N874" t="str">
        <f>_xlfn.XLOOKUP(E874, Sales_Reps!A:A, Sales_Reps!C:C)</f>
        <v>West</v>
      </c>
      <c r="O874">
        <f>_xlfn.XLOOKUP(D874, Products!A:A, Products!D:D)</f>
        <v>1886</v>
      </c>
      <c r="P874">
        <f>_xlfn.XLOOKUP(D874, Products!A:A, Products!E:E)</f>
        <v>3160</v>
      </c>
    </row>
    <row r="875" spans="1:16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 t="shared" si="13"/>
        <v>Mumbai</v>
      </c>
      <c r="M875" t="str">
        <f>_xlfn.XLOOKUP(D875, Products!A:A, Products!C:C)</f>
        <v>Electronics</v>
      </c>
      <c r="N875" t="str">
        <f>_xlfn.XLOOKUP(E875, Sales_Reps!A:A, Sales_Reps!C:C)</f>
        <v>North</v>
      </c>
      <c r="O875">
        <f>_xlfn.XLOOKUP(D875, Products!A:A, Products!D:D)</f>
        <v>128</v>
      </c>
      <c r="P875">
        <f>_xlfn.XLOOKUP(D875, Products!A:A, Products!E:E)</f>
        <v>300</v>
      </c>
    </row>
    <row r="876" spans="1:16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 t="shared" si="13"/>
        <v>Chennai</v>
      </c>
      <c r="M876" t="str">
        <f>_xlfn.XLOOKUP(D876, Products!A:A, Products!C:C)</f>
        <v>Beauty</v>
      </c>
      <c r="N876" t="str">
        <f>_xlfn.XLOOKUP(E876, Sales_Reps!A:A, Sales_Reps!C:C)</f>
        <v>West</v>
      </c>
      <c r="O876">
        <f>_xlfn.XLOOKUP(D876, Products!A:A, Products!D:D)</f>
        <v>2420</v>
      </c>
      <c r="P876">
        <f>_xlfn.XLOOKUP(D876, Products!A:A, Products!E:E)</f>
        <v>3450</v>
      </c>
    </row>
    <row r="877" spans="1:16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 t="shared" si="13"/>
        <v>Chennai</v>
      </c>
      <c r="M877" t="str">
        <f>_xlfn.XLOOKUP(D877, Products!A:A, Products!C:C)</f>
        <v>Apparel</v>
      </c>
      <c r="N877" t="str">
        <f>_xlfn.XLOOKUP(E877, Sales_Reps!A:A, Sales_Reps!C:C)</f>
        <v>West</v>
      </c>
      <c r="O877">
        <f>_xlfn.XLOOKUP(D877, Products!A:A, Products!D:D)</f>
        <v>2509</v>
      </c>
      <c r="P877">
        <f>_xlfn.XLOOKUP(D877, Products!A:A, Products!E:E)</f>
        <v>3620</v>
      </c>
    </row>
    <row r="878" spans="1:16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 t="shared" si="13"/>
        <v>Mumbai</v>
      </c>
      <c r="M878" t="str">
        <f>_xlfn.XLOOKUP(D878, Products!A:A, Products!C:C)</f>
        <v>Grocery</v>
      </c>
      <c r="N878" t="str">
        <f>_xlfn.XLOOKUP(E878, Sales_Reps!A:A, Sales_Reps!C:C)</f>
        <v>South</v>
      </c>
      <c r="O878">
        <f>_xlfn.XLOOKUP(D878, Products!A:A, Products!D:D)</f>
        <v>1203</v>
      </c>
      <c r="P878">
        <f>_xlfn.XLOOKUP(D878, Products!A:A, Products!E:E)</f>
        <v>2270</v>
      </c>
    </row>
    <row r="879" spans="1:16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 t="shared" si="13"/>
        <v>Mumbai</v>
      </c>
      <c r="M879" t="str">
        <f>_xlfn.XLOOKUP(D879, Products!A:A, Products!C:C)</f>
        <v>Apparel</v>
      </c>
      <c r="N879" t="str">
        <f>_xlfn.XLOOKUP(E879, Sales_Reps!A:A, Sales_Reps!C:C)</f>
        <v>West</v>
      </c>
      <c r="O879">
        <f>_xlfn.XLOOKUP(D879, Products!A:A, Products!D:D)</f>
        <v>1962</v>
      </c>
      <c r="P879">
        <f>_xlfn.XLOOKUP(D879, Products!A:A, Products!E:E)</f>
        <v>2720</v>
      </c>
    </row>
    <row r="880" spans="1:16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 t="shared" si="13"/>
        <v>Chennai</v>
      </c>
      <c r="M880" t="str">
        <f>_xlfn.XLOOKUP(D880, Products!A:A, Products!C:C)</f>
        <v>Grocery</v>
      </c>
      <c r="N880" t="str">
        <f>_xlfn.XLOOKUP(E880, Sales_Reps!A:A, Sales_Reps!C:C)</f>
        <v>East</v>
      </c>
      <c r="O880">
        <f>_xlfn.XLOOKUP(D880, Products!A:A, Products!D:D)</f>
        <v>2436</v>
      </c>
      <c r="P880">
        <f>_xlfn.XLOOKUP(D880, Products!A:A, Products!E:E)</f>
        <v>3780</v>
      </c>
    </row>
    <row r="881" spans="1:16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 t="shared" si="13"/>
        <v>Chennai</v>
      </c>
      <c r="M881" t="str">
        <f>_xlfn.XLOOKUP(D881, Products!A:A, Products!C:C)</f>
        <v>Grocery</v>
      </c>
      <c r="N881" t="str">
        <f>_xlfn.XLOOKUP(E881, Sales_Reps!A:A, Sales_Reps!C:C)</f>
        <v>South</v>
      </c>
      <c r="O881">
        <f>_xlfn.XLOOKUP(D881, Products!A:A, Products!D:D)</f>
        <v>2911</v>
      </c>
      <c r="P881">
        <f>_xlfn.XLOOKUP(D881, Products!A:A, Products!E:E)</f>
        <v>4060</v>
      </c>
    </row>
    <row r="882" spans="1:16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 t="shared" si="13"/>
        <v>Delhi</v>
      </c>
      <c r="M882" t="str">
        <f>_xlfn.XLOOKUP(D882, Products!A:A, Products!C:C)</f>
        <v>Grocery</v>
      </c>
      <c r="N882" t="str">
        <f>_xlfn.XLOOKUP(E882, Sales_Reps!A:A, Sales_Reps!C:C)</f>
        <v>South</v>
      </c>
      <c r="O882">
        <f>_xlfn.XLOOKUP(D882, Products!A:A, Products!D:D)</f>
        <v>1435</v>
      </c>
      <c r="P882">
        <f>_xlfn.XLOOKUP(D882, Products!A:A, Products!E:E)</f>
        <v>2760</v>
      </c>
    </row>
    <row r="883" spans="1:16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 t="shared" si="13"/>
        <v>Chennai</v>
      </c>
      <c r="M883" t="str">
        <f>_xlfn.XLOOKUP(D883, Products!A:A, Products!C:C)</f>
        <v>Home</v>
      </c>
      <c r="N883" t="str">
        <f>_xlfn.XLOOKUP(E883, Sales_Reps!A:A, Sales_Reps!C:C)</f>
        <v>East</v>
      </c>
      <c r="O883">
        <f>_xlfn.XLOOKUP(D883, Products!A:A, Products!D:D)</f>
        <v>519</v>
      </c>
      <c r="P883">
        <f>_xlfn.XLOOKUP(D883, Products!A:A, Products!E:E)</f>
        <v>1080</v>
      </c>
    </row>
    <row r="884" spans="1:16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 t="shared" si="13"/>
        <v>Mumbai</v>
      </c>
      <c r="M884" t="str">
        <f>_xlfn.XLOOKUP(D884, Products!A:A, Products!C:C)</f>
        <v>Home</v>
      </c>
      <c r="N884" t="str">
        <f>_xlfn.XLOOKUP(E884, Sales_Reps!A:A, Sales_Reps!C:C)</f>
        <v>East</v>
      </c>
      <c r="O884">
        <f>_xlfn.XLOOKUP(D884, Products!A:A, Products!D:D)</f>
        <v>2459</v>
      </c>
      <c r="P884">
        <f>_xlfn.XLOOKUP(D884, Products!A:A, Products!E:E)</f>
        <v>5080</v>
      </c>
    </row>
    <row r="885" spans="1:16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 t="shared" si="13"/>
        <v>Pune</v>
      </c>
      <c r="M885" t="str">
        <f>_xlfn.XLOOKUP(D885, Products!A:A, Products!C:C)</f>
        <v>Beauty</v>
      </c>
      <c r="N885" t="str">
        <f>_xlfn.XLOOKUP(E885, Sales_Reps!A:A, Sales_Reps!C:C)</f>
        <v>West</v>
      </c>
      <c r="O885">
        <f>_xlfn.XLOOKUP(D885, Products!A:A, Products!D:D)</f>
        <v>2768</v>
      </c>
      <c r="P885">
        <f>_xlfn.XLOOKUP(D885, Products!A:A, Products!E:E)</f>
        <v>4880</v>
      </c>
    </row>
    <row r="886" spans="1:16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 t="shared" si="13"/>
        <v>Mumbai</v>
      </c>
      <c r="M886" t="str">
        <f>_xlfn.XLOOKUP(D886, Products!A:A, Products!C:C)</f>
        <v>Grocery</v>
      </c>
      <c r="N886" t="str">
        <f>_xlfn.XLOOKUP(E886, Sales_Reps!A:A, Sales_Reps!C:C)</f>
        <v>West</v>
      </c>
      <c r="O886">
        <f>_xlfn.XLOOKUP(D886, Products!A:A, Products!D:D)</f>
        <v>1412</v>
      </c>
      <c r="P886">
        <f>_xlfn.XLOOKUP(D886, Products!A:A, Products!E:E)</f>
        <v>2270</v>
      </c>
    </row>
    <row r="887" spans="1:16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 t="shared" si="13"/>
        <v>Delhi</v>
      </c>
      <c r="M887" t="str">
        <f>_xlfn.XLOOKUP(D887, Products!A:A, Products!C:C)</f>
        <v>Electronics</v>
      </c>
      <c r="N887" t="str">
        <f>_xlfn.XLOOKUP(E887, Sales_Reps!A:A, Sales_Reps!C:C)</f>
        <v>East</v>
      </c>
      <c r="O887">
        <f>_xlfn.XLOOKUP(D887, Products!A:A, Products!D:D)</f>
        <v>2865</v>
      </c>
      <c r="P887">
        <f>_xlfn.XLOOKUP(D887, Products!A:A, Products!E:E)</f>
        <v>3970</v>
      </c>
    </row>
    <row r="888" spans="1:16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 t="shared" si="13"/>
        <v>Mumbai</v>
      </c>
      <c r="M888" t="str">
        <f>_xlfn.XLOOKUP(D888, Products!A:A, Products!C:C)</f>
        <v>Beauty</v>
      </c>
      <c r="N888" t="str">
        <f>_xlfn.XLOOKUP(E888, Sales_Reps!A:A, Sales_Reps!C:C)</f>
        <v>North</v>
      </c>
      <c r="O888">
        <f>_xlfn.XLOOKUP(D888, Products!A:A, Products!D:D)</f>
        <v>2237</v>
      </c>
      <c r="P888">
        <f>_xlfn.XLOOKUP(D888, Products!A:A, Products!E:E)</f>
        <v>5100</v>
      </c>
    </row>
    <row r="889" spans="1:16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 t="shared" si="13"/>
        <v>Delhi</v>
      </c>
      <c r="M889" t="str">
        <f>_xlfn.XLOOKUP(D889, Products!A:A, Products!C:C)</f>
        <v>Sports</v>
      </c>
      <c r="N889" t="str">
        <f>_xlfn.XLOOKUP(E889, Sales_Reps!A:A, Sales_Reps!C:C)</f>
        <v>North</v>
      </c>
      <c r="O889">
        <f>_xlfn.XLOOKUP(D889, Products!A:A, Products!D:D)</f>
        <v>147</v>
      </c>
      <c r="P889">
        <f>_xlfn.XLOOKUP(D889, Products!A:A, Products!E:E)</f>
        <v>190</v>
      </c>
    </row>
    <row r="890" spans="1:16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 t="shared" si="13"/>
        <v>Mumbai</v>
      </c>
      <c r="M890" t="str">
        <f>_xlfn.XLOOKUP(D890, Products!A:A, Products!C:C)</f>
        <v>Beauty</v>
      </c>
      <c r="N890" t="str">
        <f>_xlfn.XLOOKUP(E890, Sales_Reps!A:A, Sales_Reps!C:C)</f>
        <v>West</v>
      </c>
      <c r="O890">
        <f>_xlfn.XLOOKUP(D890, Products!A:A, Products!D:D)</f>
        <v>2617</v>
      </c>
      <c r="P890">
        <f>_xlfn.XLOOKUP(D890, Products!A:A, Products!E:E)</f>
        <v>6080</v>
      </c>
    </row>
    <row r="891" spans="1:16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 t="shared" si="13"/>
        <v>Mumbai</v>
      </c>
      <c r="M891" t="str">
        <f>_xlfn.XLOOKUP(D891, Products!A:A, Products!C:C)</f>
        <v>Sports</v>
      </c>
      <c r="N891" t="str">
        <f>_xlfn.XLOOKUP(E891, Sales_Reps!A:A, Sales_Reps!C:C)</f>
        <v>East</v>
      </c>
      <c r="O891">
        <f>_xlfn.XLOOKUP(D891, Products!A:A, Products!D:D)</f>
        <v>705</v>
      </c>
      <c r="P891">
        <f>_xlfn.XLOOKUP(D891, Products!A:A, Products!E:E)</f>
        <v>960</v>
      </c>
    </row>
    <row r="892" spans="1:16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 t="shared" si="13"/>
        <v>Delhi</v>
      </c>
      <c r="M892" t="str">
        <f>_xlfn.XLOOKUP(D892, Products!A:A, Products!C:C)</f>
        <v>Beauty</v>
      </c>
      <c r="N892" t="str">
        <f>_xlfn.XLOOKUP(E892, Sales_Reps!A:A, Sales_Reps!C:C)</f>
        <v>North</v>
      </c>
      <c r="O892">
        <f>_xlfn.XLOOKUP(D892, Products!A:A, Products!D:D)</f>
        <v>647</v>
      </c>
      <c r="P892">
        <f>_xlfn.XLOOKUP(D892, Products!A:A, Products!E:E)</f>
        <v>1540</v>
      </c>
    </row>
    <row r="893" spans="1:16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 t="shared" si="13"/>
        <v>Delhi</v>
      </c>
      <c r="M893" t="str">
        <f>_xlfn.XLOOKUP(D893, Products!A:A, Products!C:C)</f>
        <v>Electronics</v>
      </c>
      <c r="N893" t="str">
        <f>_xlfn.XLOOKUP(E893, Sales_Reps!A:A, Sales_Reps!C:C)</f>
        <v>South</v>
      </c>
      <c r="O893">
        <f>_xlfn.XLOOKUP(D893, Products!A:A, Products!D:D)</f>
        <v>128</v>
      </c>
      <c r="P893">
        <f>_xlfn.XLOOKUP(D893, Products!A:A, Products!E:E)</f>
        <v>300</v>
      </c>
    </row>
    <row r="894" spans="1:16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 t="shared" si="13"/>
        <v>Hyderabad</v>
      </c>
      <c r="M894" t="str">
        <f>_xlfn.XLOOKUP(D894, Products!A:A, Products!C:C)</f>
        <v>Beauty</v>
      </c>
      <c r="N894" t="str">
        <f>_xlfn.XLOOKUP(E894, Sales_Reps!A:A, Sales_Reps!C:C)</f>
        <v>South</v>
      </c>
      <c r="O894">
        <f>_xlfn.XLOOKUP(D894, Products!A:A, Products!D:D)</f>
        <v>2768</v>
      </c>
      <c r="P894">
        <f>_xlfn.XLOOKUP(D894, Products!A:A, Products!E:E)</f>
        <v>4880</v>
      </c>
    </row>
    <row r="895" spans="1:16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 t="shared" si="13"/>
        <v>Bengaluru</v>
      </c>
      <c r="M895" t="str">
        <f>_xlfn.XLOOKUP(D895, Products!A:A, Products!C:C)</f>
        <v>Home</v>
      </c>
      <c r="N895" t="str">
        <f>_xlfn.XLOOKUP(E895, Sales_Reps!A:A, Sales_Reps!C:C)</f>
        <v>North</v>
      </c>
      <c r="O895">
        <f>_xlfn.XLOOKUP(D895, Products!A:A, Products!D:D)</f>
        <v>288</v>
      </c>
      <c r="P895">
        <f>_xlfn.XLOOKUP(D895, Products!A:A, Products!E:E)</f>
        <v>370</v>
      </c>
    </row>
    <row r="896" spans="1:16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 t="shared" si="13"/>
        <v>Bengaluru</v>
      </c>
      <c r="M896" t="str">
        <f>_xlfn.XLOOKUP(D896, Products!A:A, Products!C:C)</f>
        <v>Home</v>
      </c>
      <c r="N896" t="str">
        <f>_xlfn.XLOOKUP(E896, Sales_Reps!A:A, Sales_Reps!C:C)</f>
        <v>North</v>
      </c>
      <c r="O896">
        <f>_xlfn.XLOOKUP(D896, Products!A:A, Products!D:D)</f>
        <v>1850</v>
      </c>
      <c r="P896">
        <f>_xlfn.XLOOKUP(D896, Products!A:A, Products!E:E)</f>
        <v>4610</v>
      </c>
    </row>
    <row r="897" spans="1:16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 t="shared" si="13"/>
        <v>Mumbai</v>
      </c>
      <c r="M897" t="str">
        <f>_xlfn.XLOOKUP(D897, Products!A:A, Products!C:C)</f>
        <v>Electronics</v>
      </c>
      <c r="N897" t="str">
        <f>_xlfn.XLOOKUP(E897, Sales_Reps!A:A, Sales_Reps!C:C)</f>
        <v>South</v>
      </c>
      <c r="O897">
        <f>_xlfn.XLOOKUP(D897, Products!A:A, Products!D:D)</f>
        <v>1052</v>
      </c>
      <c r="P897">
        <f>_xlfn.XLOOKUP(D897, Products!A:A, Products!E:E)</f>
        <v>2600</v>
      </c>
    </row>
    <row r="898" spans="1:16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 t="shared" si="13"/>
        <v>Pune</v>
      </c>
      <c r="M898" t="str">
        <f>_xlfn.XLOOKUP(D898, Products!A:A, Products!C:C)</f>
        <v>Electronics</v>
      </c>
      <c r="N898" t="str">
        <f>_xlfn.XLOOKUP(E898, Sales_Reps!A:A, Sales_Reps!C:C)</f>
        <v>West</v>
      </c>
      <c r="O898">
        <f>_xlfn.XLOOKUP(D898, Products!A:A, Products!D:D)</f>
        <v>517</v>
      </c>
      <c r="P898">
        <f>_xlfn.XLOOKUP(D898, Products!A:A, Products!E:E)</f>
        <v>1220</v>
      </c>
    </row>
    <row r="899" spans="1:16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 t="shared" ref="L899:L962" si="14">PROPER(TRIM(K899))</f>
        <v>Chennai</v>
      </c>
      <c r="M899" t="str">
        <f>_xlfn.XLOOKUP(D899, Products!A:A, Products!C:C)</f>
        <v>Electronics</v>
      </c>
      <c r="N899" t="str">
        <f>_xlfn.XLOOKUP(E899, Sales_Reps!A:A, Sales_Reps!C:C)</f>
        <v>South</v>
      </c>
      <c r="O899">
        <f>_xlfn.XLOOKUP(D899, Products!A:A, Products!D:D)</f>
        <v>861</v>
      </c>
      <c r="P899">
        <f>_xlfn.XLOOKUP(D899, Products!A:A, Products!E:E)</f>
        <v>1430</v>
      </c>
    </row>
    <row r="900" spans="1:16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 t="shared" si="14"/>
        <v>Chennai</v>
      </c>
      <c r="M900" t="str">
        <f>_xlfn.XLOOKUP(D900, Products!A:A, Products!C:C)</f>
        <v>Beauty</v>
      </c>
      <c r="N900" t="str">
        <f>_xlfn.XLOOKUP(E900, Sales_Reps!A:A, Sales_Reps!C:C)</f>
        <v>West</v>
      </c>
      <c r="O900">
        <f>_xlfn.XLOOKUP(D900, Products!A:A, Products!D:D)</f>
        <v>2768</v>
      </c>
      <c r="P900">
        <f>_xlfn.XLOOKUP(D900, Products!A:A, Products!E:E)</f>
        <v>4880</v>
      </c>
    </row>
    <row r="901" spans="1:16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 t="shared" si="14"/>
        <v>Hyderabad</v>
      </c>
      <c r="M901" t="str">
        <f>_xlfn.XLOOKUP(D901, Products!A:A, Products!C:C)</f>
        <v>Beauty</v>
      </c>
      <c r="N901" t="str">
        <f>_xlfn.XLOOKUP(E901, Sales_Reps!A:A, Sales_Reps!C:C)</f>
        <v>West</v>
      </c>
      <c r="O901">
        <f>_xlfn.XLOOKUP(D901, Products!A:A, Products!D:D)</f>
        <v>2617</v>
      </c>
      <c r="P901">
        <f>_xlfn.XLOOKUP(D901, Products!A:A, Products!E:E)</f>
        <v>6080</v>
      </c>
    </row>
    <row r="902" spans="1:16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 t="shared" si="14"/>
        <v>Chennai</v>
      </c>
      <c r="M902" t="str">
        <f>_xlfn.XLOOKUP(D902, Products!A:A, Products!C:C)</f>
        <v>Beauty</v>
      </c>
      <c r="N902" t="str">
        <f>_xlfn.XLOOKUP(E902, Sales_Reps!A:A, Sales_Reps!C:C)</f>
        <v>South</v>
      </c>
      <c r="O902">
        <f>_xlfn.XLOOKUP(D902, Products!A:A, Products!D:D)</f>
        <v>1626</v>
      </c>
      <c r="P902">
        <f>_xlfn.XLOOKUP(D902, Products!A:A, Products!E:E)</f>
        <v>3020</v>
      </c>
    </row>
    <row r="903" spans="1:16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 t="shared" si="14"/>
        <v>Bengaluru</v>
      </c>
      <c r="M903" t="str">
        <f>_xlfn.XLOOKUP(D903, Products!A:A, Products!C:C)</f>
        <v>Apparel</v>
      </c>
      <c r="N903" t="str">
        <f>_xlfn.XLOOKUP(E903, Sales_Reps!A:A, Sales_Reps!C:C)</f>
        <v>South</v>
      </c>
      <c r="O903">
        <f>_xlfn.XLOOKUP(D903, Products!A:A, Products!D:D)</f>
        <v>1962</v>
      </c>
      <c r="P903">
        <f>_xlfn.XLOOKUP(D903, Products!A:A, Products!E:E)</f>
        <v>2720</v>
      </c>
    </row>
    <row r="904" spans="1:16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 t="shared" si="14"/>
        <v>Chennai</v>
      </c>
      <c r="M904" t="str">
        <f>_xlfn.XLOOKUP(D904, Products!A:A, Products!C:C)</f>
        <v>Electronics</v>
      </c>
      <c r="N904" t="str">
        <f>_xlfn.XLOOKUP(E904, Sales_Reps!A:A, Sales_Reps!C:C)</f>
        <v>West</v>
      </c>
      <c r="O904">
        <f>_xlfn.XLOOKUP(D904, Products!A:A, Products!D:D)</f>
        <v>1665</v>
      </c>
      <c r="P904">
        <f>_xlfn.XLOOKUP(D904, Products!A:A, Products!E:E)</f>
        <v>3570</v>
      </c>
    </row>
    <row r="905" spans="1:16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 t="shared" si="14"/>
        <v>Mumbai</v>
      </c>
      <c r="M905" t="str">
        <f>_xlfn.XLOOKUP(D905, Products!A:A, Products!C:C)</f>
        <v>Home</v>
      </c>
      <c r="N905" t="str">
        <f>_xlfn.XLOOKUP(E905, Sales_Reps!A:A, Sales_Reps!C:C)</f>
        <v>South</v>
      </c>
      <c r="O905">
        <f>_xlfn.XLOOKUP(D905, Products!A:A, Products!D:D)</f>
        <v>519</v>
      </c>
      <c r="P905">
        <f>_xlfn.XLOOKUP(D905, Products!A:A, Products!E:E)</f>
        <v>1080</v>
      </c>
    </row>
    <row r="906" spans="1:16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 t="shared" si="14"/>
        <v>Bengaluru</v>
      </c>
      <c r="M906" t="str">
        <f>_xlfn.XLOOKUP(D906, Products!A:A, Products!C:C)</f>
        <v>Home</v>
      </c>
      <c r="N906" t="str">
        <f>_xlfn.XLOOKUP(E906, Sales_Reps!A:A, Sales_Reps!C:C)</f>
        <v>South</v>
      </c>
      <c r="O906">
        <f>_xlfn.XLOOKUP(D906, Products!A:A, Products!D:D)</f>
        <v>464</v>
      </c>
      <c r="P906">
        <f>_xlfn.XLOOKUP(D906, Products!A:A, Products!E:E)</f>
        <v>1090</v>
      </c>
    </row>
    <row r="907" spans="1:16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 t="shared" si="14"/>
        <v>Chennai</v>
      </c>
      <c r="M907" t="str">
        <f>_xlfn.XLOOKUP(D907, Products!A:A, Products!C:C)</f>
        <v>Apparel</v>
      </c>
      <c r="N907" t="str">
        <f>_xlfn.XLOOKUP(E907, Sales_Reps!A:A, Sales_Reps!C:C)</f>
        <v>West</v>
      </c>
      <c r="O907">
        <f>_xlfn.XLOOKUP(D907, Products!A:A, Products!D:D)</f>
        <v>2629</v>
      </c>
      <c r="P907">
        <f>_xlfn.XLOOKUP(D907, Products!A:A, Products!E:E)</f>
        <v>3560</v>
      </c>
    </row>
    <row r="908" spans="1:16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 t="shared" si="14"/>
        <v>Mumbai</v>
      </c>
      <c r="M908" t="str">
        <f>_xlfn.XLOOKUP(D908, Products!A:A, Products!C:C)</f>
        <v>Sports</v>
      </c>
      <c r="N908" t="str">
        <f>_xlfn.XLOOKUP(E908, Sales_Reps!A:A, Sales_Reps!C:C)</f>
        <v>East</v>
      </c>
      <c r="O908">
        <f>_xlfn.XLOOKUP(D908, Products!A:A, Products!D:D)</f>
        <v>147</v>
      </c>
      <c r="P908">
        <f>_xlfn.XLOOKUP(D908, Products!A:A, Products!E:E)</f>
        <v>190</v>
      </c>
    </row>
    <row r="909" spans="1:16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 t="shared" si="14"/>
        <v>Chennai</v>
      </c>
      <c r="M909" t="str">
        <f>_xlfn.XLOOKUP(D909, Products!A:A, Products!C:C)</f>
        <v>Grocery</v>
      </c>
      <c r="N909" t="str">
        <f>_xlfn.XLOOKUP(E909, Sales_Reps!A:A, Sales_Reps!C:C)</f>
        <v>West</v>
      </c>
      <c r="O909">
        <f>_xlfn.XLOOKUP(D909, Products!A:A, Products!D:D)</f>
        <v>2911</v>
      </c>
      <c r="P909">
        <f>_xlfn.XLOOKUP(D909, Products!A:A, Products!E:E)</f>
        <v>4060</v>
      </c>
    </row>
    <row r="910" spans="1:16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 t="shared" si="14"/>
        <v>Pune</v>
      </c>
      <c r="M910" t="str">
        <f>_xlfn.XLOOKUP(D910, Products!A:A, Products!C:C)</f>
        <v>Home</v>
      </c>
      <c r="N910" t="str">
        <f>_xlfn.XLOOKUP(E910, Sales_Reps!A:A, Sales_Reps!C:C)</f>
        <v>East</v>
      </c>
      <c r="O910">
        <f>_xlfn.XLOOKUP(D910, Products!A:A, Products!D:D)</f>
        <v>1850</v>
      </c>
      <c r="P910">
        <f>_xlfn.XLOOKUP(D910, Products!A:A, Products!E:E)</f>
        <v>4610</v>
      </c>
    </row>
    <row r="911" spans="1:16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 t="shared" si="14"/>
        <v>Chennai</v>
      </c>
      <c r="M911" t="str">
        <f>_xlfn.XLOOKUP(D911, Products!A:A, Products!C:C)</f>
        <v>Grocery</v>
      </c>
      <c r="N911" t="str">
        <f>_xlfn.XLOOKUP(E911, Sales_Reps!A:A, Sales_Reps!C:C)</f>
        <v>East</v>
      </c>
      <c r="O911">
        <f>_xlfn.XLOOKUP(D911, Products!A:A, Products!D:D)</f>
        <v>2027</v>
      </c>
      <c r="P911">
        <f>_xlfn.XLOOKUP(D911, Products!A:A, Products!E:E)</f>
        <v>4070</v>
      </c>
    </row>
    <row r="912" spans="1:16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 t="shared" si="14"/>
        <v>Hyderabad</v>
      </c>
      <c r="M912" t="str">
        <f>_xlfn.XLOOKUP(D912, Products!A:A, Products!C:C)</f>
        <v>Apparel</v>
      </c>
      <c r="N912" t="str">
        <f>_xlfn.XLOOKUP(E912, Sales_Reps!A:A, Sales_Reps!C:C)</f>
        <v>North</v>
      </c>
      <c r="O912">
        <f>_xlfn.XLOOKUP(D912, Products!A:A, Products!D:D)</f>
        <v>2509</v>
      </c>
      <c r="P912">
        <f>_xlfn.XLOOKUP(D912, Products!A:A, Products!E:E)</f>
        <v>3620</v>
      </c>
    </row>
    <row r="913" spans="1:16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 t="shared" si="14"/>
        <v>Chennai</v>
      </c>
      <c r="M913" t="str">
        <f>_xlfn.XLOOKUP(D913, Products!A:A, Products!C:C)</f>
        <v>Electronics</v>
      </c>
      <c r="N913" t="str">
        <f>_xlfn.XLOOKUP(E913, Sales_Reps!A:A, Sales_Reps!C:C)</f>
        <v>West</v>
      </c>
      <c r="O913">
        <f>_xlfn.XLOOKUP(D913, Products!A:A, Products!D:D)</f>
        <v>2865</v>
      </c>
      <c r="P913">
        <f>_xlfn.XLOOKUP(D913, Products!A:A, Products!E:E)</f>
        <v>3970</v>
      </c>
    </row>
    <row r="914" spans="1:16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 t="shared" si="14"/>
        <v>Bengaluru</v>
      </c>
      <c r="M914" t="str">
        <f>_xlfn.XLOOKUP(D914, Products!A:A, Products!C:C)</f>
        <v>Grocery</v>
      </c>
      <c r="N914" t="str">
        <f>_xlfn.XLOOKUP(E914, Sales_Reps!A:A, Sales_Reps!C:C)</f>
        <v>West</v>
      </c>
      <c r="O914">
        <f>_xlfn.XLOOKUP(D914, Products!A:A, Products!D:D)</f>
        <v>434</v>
      </c>
      <c r="P914">
        <f>_xlfn.XLOOKUP(D914, Products!A:A, Products!E:E)</f>
        <v>970</v>
      </c>
    </row>
    <row r="915" spans="1:16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 t="shared" si="14"/>
        <v>Hyderabad</v>
      </c>
      <c r="M915" t="str">
        <f>_xlfn.XLOOKUP(D915, Products!A:A, Products!C:C)</f>
        <v>Sports</v>
      </c>
      <c r="N915" t="str">
        <f>_xlfn.XLOOKUP(E915, Sales_Reps!A:A, Sales_Reps!C:C)</f>
        <v>East</v>
      </c>
      <c r="O915">
        <f>_xlfn.XLOOKUP(D915, Products!A:A, Products!D:D)</f>
        <v>705</v>
      </c>
      <c r="P915">
        <f>_xlfn.XLOOKUP(D915, Products!A:A, Products!E:E)</f>
        <v>960</v>
      </c>
    </row>
    <row r="916" spans="1:16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 t="shared" si="14"/>
        <v>Mumbai</v>
      </c>
      <c r="M916" t="str">
        <f>_xlfn.XLOOKUP(D916, Products!A:A, Products!C:C)</f>
        <v>Electronics</v>
      </c>
      <c r="N916" t="str">
        <f>_xlfn.XLOOKUP(E916, Sales_Reps!A:A, Sales_Reps!C:C)</f>
        <v>South</v>
      </c>
      <c r="O916">
        <f>_xlfn.XLOOKUP(D916, Products!A:A, Products!D:D)</f>
        <v>128</v>
      </c>
      <c r="P916">
        <f>_xlfn.XLOOKUP(D916, Products!A:A, Products!E:E)</f>
        <v>300</v>
      </c>
    </row>
    <row r="917" spans="1:16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 t="shared" si="14"/>
        <v>Hyderabad</v>
      </c>
      <c r="M917" t="str">
        <f>_xlfn.XLOOKUP(D917, Products!A:A, Products!C:C)</f>
        <v>Electronics</v>
      </c>
      <c r="N917" t="str">
        <f>_xlfn.XLOOKUP(E917, Sales_Reps!A:A, Sales_Reps!C:C)</f>
        <v>South</v>
      </c>
      <c r="O917">
        <f>_xlfn.XLOOKUP(D917, Products!A:A, Products!D:D)</f>
        <v>1052</v>
      </c>
      <c r="P917">
        <f>_xlfn.XLOOKUP(D917, Products!A:A, Products!E:E)</f>
        <v>2600</v>
      </c>
    </row>
    <row r="918" spans="1:16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 t="shared" si="14"/>
        <v>Pune</v>
      </c>
      <c r="M918" t="str">
        <f>_xlfn.XLOOKUP(D918, Products!A:A, Products!C:C)</f>
        <v>Home</v>
      </c>
      <c r="N918" t="str">
        <f>_xlfn.XLOOKUP(E918, Sales_Reps!A:A, Sales_Reps!C:C)</f>
        <v>North</v>
      </c>
      <c r="O918">
        <f>_xlfn.XLOOKUP(D918, Products!A:A, Products!D:D)</f>
        <v>288</v>
      </c>
      <c r="P918">
        <f>_xlfn.XLOOKUP(D918, Products!A:A, Products!E:E)</f>
        <v>370</v>
      </c>
    </row>
    <row r="919" spans="1:16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 t="shared" si="14"/>
        <v>Chennai</v>
      </c>
      <c r="M919" t="str">
        <f>_xlfn.XLOOKUP(D919, Products!A:A, Products!C:C)</f>
        <v>Beauty</v>
      </c>
      <c r="N919" t="str">
        <f>_xlfn.XLOOKUP(E919, Sales_Reps!A:A, Sales_Reps!C:C)</f>
        <v>West</v>
      </c>
      <c r="O919">
        <f>_xlfn.XLOOKUP(D919, Products!A:A, Products!D:D)</f>
        <v>2420</v>
      </c>
      <c r="P919">
        <f>_xlfn.XLOOKUP(D919, Products!A:A, Products!E:E)</f>
        <v>3450</v>
      </c>
    </row>
    <row r="920" spans="1:16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 t="shared" si="14"/>
        <v>Delhi</v>
      </c>
      <c r="M920" t="str">
        <f>_xlfn.XLOOKUP(D920, Products!A:A, Products!C:C)</f>
        <v>Apparel</v>
      </c>
      <c r="N920" t="str">
        <f>_xlfn.XLOOKUP(E920, Sales_Reps!A:A, Sales_Reps!C:C)</f>
        <v>East</v>
      </c>
      <c r="O920">
        <f>_xlfn.XLOOKUP(D920, Products!A:A, Products!D:D)</f>
        <v>1173</v>
      </c>
      <c r="P920">
        <f>_xlfn.XLOOKUP(D920, Products!A:A, Products!E:E)</f>
        <v>2480</v>
      </c>
    </row>
    <row r="921" spans="1:16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 t="shared" si="14"/>
        <v>Mumbai</v>
      </c>
      <c r="M921" t="str">
        <f>_xlfn.XLOOKUP(D921, Products!A:A, Products!C:C)</f>
        <v>Grocery</v>
      </c>
      <c r="N921" t="str">
        <f>_xlfn.XLOOKUP(E921, Sales_Reps!A:A, Sales_Reps!C:C)</f>
        <v>East</v>
      </c>
      <c r="O921">
        <f>_xlfn.XLOOKUP(D921, Products!A:A, Products!D:D)</f>
        <v>2214</v>
      </c>
      <c r="P921">
        <f>_xlfn.XLOOKUP(D921, Products!A:A, Products!E:E)</f>
        <v>3660</v>
      </c>
    </row>
    <row r="922" spans="1:16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 t="shared" si="14"/>
        <v>Chennai</v>
      </c>
      <c r="M922" t="str">
        <f>_xlfn.XLOOKUP(D922, Products!A:A, Products!C:C)</f>
        <v>Beauty</v>
      </c>
      <c r="N922" t="str">
        <f>_xlfn.XLOOKUP(E922, Sales_Reps!A:A, Sales_Reps!C:C)</f>
        <v>East</v>
      </c>
      <c r="O922">
        <f>_xlfn.XLOOKUP(D922, Products!A:A, Products!D:D)</f>
        <v>1222</v>
      </c>
      <c r="P922">
        <f>_xlfn.XLOOKUP(D922, Products!A:A, Products!E:E)</f>
        <v>1650</v>
      </c>
    </row>
    <row r="923" spans="1:16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 t="shared" si="14"/>
        <v>Hyderabad</v>
      </c>
      <c r="M923" t="str">
        <f>_xlfn.XLOOKUP(D923, Products!A:A, Products!C:C)</f>
        <v>Sports</v>
      </c>
      <c r="N923" t="str">
        <f>_xlfn.XLOOKUP(E923, Sales_Reps!A:A, Sales_Reps!C:C)</f>
        <v>West</v>
      </c>
      <c r="O923">
        <f>_xlfn.XLOOKUP(D923, Products!A:A, Products!D:D)</f>
        <v>147</v>
      </c>
      <c r="P923">
        <f>_xlfn.XLOOKUP(D923, Products!A:A, Products!E:E)</f>
        <v>190</v>
      </c>
    </row>
    <row r="924" spans="1:16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 t="shared" si="14"/>
        <v>Pune</v>
      </c>
      <c r="M924" t="str">
        <f>_xlfn.XLOOKUP(D924, Products!A:A, Products!C:C)</f>
        <v>Grocery</v>
      </c>
      <c r="N924" t="str">
        <f>_xlfn.XLOOKUP(E924, Sales_Reps!A:A, Sales_Reps!C:C)</f>
        <v>North</v>
      </c>
      <c r="O924">
        <f>_xlfn.XLOOKUP(D924, Products!A:A, Products!D:D)</f>
        <v>1412</v>
      </c>
      <c r="P924">
        <f>_xlfn.XLOOKUP(D924, Products!A:A, Products!E:E)</f>
        <v>2270</v>
      </c>
    </row>
    <row r="925" spans="1:16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 t="shared" si="14"/>
        <v>Bengaluru</v>
      </c>
      <c r="M925" t="str">
        <f>_xlfn.XLOOKUP(D925, Products!A:A, Products!C:C)</f>
        <v>Grocery</v>
      </c>
      <c r="N925" t="str">
        <f>_xlfn.XLOOKUP(E925, Sales_Reps!A:A, Sales_Reps!C:C)</f>
        <v>South</v>
      </c>
      <c r="O925">
        <f>_xlfn.XLOOKUP(D925, Products!A:A, Products!D:D)</f>
        <v>1203</v>
      </c>
      <c r="P925">
        <f>_xlfn.XLOOKUP(D925, Products!A:A, Products!E:E)</f>
        <v>2270</v>
      </c>
    </row>
    <row r="926" spans="1:16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 t="shared" si="14"/>
        <v>Mumbai</v>
      </c>
      <c r="M926" t="str">
        <f>_xlfn.XLOOKUP(D926, Products!A:A, Products!C:C)</f>
        <v>Apparel</v>
      </c>
      <c r="N926" t="str">
        <f>_xlfn.XLOOKUP(E926, Sales_Reps!A:A, Sales_Reps!C:C)</f>
        <v>East</v>
      </c>
      <c r="O926">
        <f>_xlfn.XLOOKUP(D926, Products!A:A, Products!D:D)</f>
        <v>1748</v>
      </c>
      <c r="P926">
        <f>_xlfn.XLOOKUP(D926, Products!A:A, Products!E:E)</f>
        <v>3450</v>
      </c>
    </row>
    <row r="927" spans="1:16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 t="shared" si="14"/>
        <v>Mumbai</v>
      </c>
      <c r="M927" t="str">
        <f>_xlfn.XLOOKUP(D927, Products!A:A, Products!C:C)</f>
        <v>Beauty</v>
      </c>
      <c r="N927" t="str">
        <f>_xlfn.XLOOKUP(E927, Sales_Reps!A:A, Sales_Reps!C:C)</f>
        <v>West</v>
      </c>
      <c r="O927">
        <f>_xlfn.XLOOKUP(D927, Products!A:A, Products!D:D)</f>
        <v>1626</v>
      </c>
      <c r="P927">
        <f>_xlfn.XLOOKUP(D927, Products!A:A, Products!E:E)</f>
        <v>3020</v>
      </c>
    </row>
    <row r="928" spans="1:16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 t="shared" si="14"/>
        <v>Bengaluru</v>
      </c>
      <c r="M928" t="str">
        <f>_xlfn.XLOOKUP(D928, Products!A:A, Products!C:C)</f>
        <v>Home</v>
      </c>
      <c r="N928" t="str">
        <f>_xlfn.XLOOKUP(E928, Sales_Reps!A:A, Sales_Reps!C:C)</f>
        <v>South</v>
      </c>
      <c r="O928">
        <f>_xlfn.XLOOKUP(D928, Products!A:A, Products!D:D)</f>
        <v>1143</v>
      </c>
      <c r="P928">
        <f>_xlfn.XLOOKUP(D928, Products!A:A, Products!E:E)</f>
        <v>2030</v>
      </c>
    </row>
    <row r="929" spans="1:16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 t="shared" si="14"/>
        <v>Chennai</v>
      </c>
      <c r="M929" t="str">
        <f>_xlfn.XLOOKUP(D929, Products!A:A, Products!C:C)</f>
        <v>Apparel</v>
      </c>
      <c r="N929" t="str">
        <f>_xlfn.XLOOKUP(E929, Sales_Reps!A:A, Sales_Reps!C:C)</f>
        <v>South</v>
      </c>
      <c r="O929">
        <f>_xlfn.XLOOKUP(D929, Products!A:A, Products!D:D)</f>
        <v>1748</v>
      </c>
      <c r="P929">
        <f>_xlfn.XLOOKUP(D929, Products!A:A, Products!E:E)</f>
        <v>3450</v>
      </c>
    </row>
    <row r="930" spans="1:16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 t="shared" si="14"/>
        <v>Mumbai</v>
      </c>
      <c r="M930" t="str">
        <f>_xlfn.XLOOKUP(D930, Products!A:A, Products!C:C)</f>
        <v>Beauty</v>
      </c>
      <c r="N930" t="str">
        <f>_xlfn.XLOOKUP(E930, Sales_Reps!A:A, Sales_Reps!C:C)</f>
        <v>West</v>
      </c>
      <c r="O930">
        <f>_xlfn.XLOOKUP(D930, Products!A:A, Products!D:D)</f>
        <v>675</v>
      </c>
      <c r="P930">
        <f>_xlfn.XLOOKUP(D930, Products!A:A, Products!E:E)</f>
        <v>960</v>
      </c>
    </row>
    <row r="931" spans="1:16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 t="shared" si="14"/>
        <v>Delhi</v>
      </c>
      <c r="M931" t="str">
        <f>_xlfn.XLOOKUP(D931, Products!A:A, Products!C:C)</f>
        <v>Electronics</v>
      </c>
      <c r="N931" t="str">
        <f>_xlfn.XLOOKUP(E931, Sales_Reps!A:A, Sales_Reps!C:C)</f>
        <v>North</v>
      </c>
      <c r="O931">
        <f>_xlfn.XLOOKUP(D931, Products!A:A, Products!D:D)</f>
        <v>2865</v>
      </c>
      <c r="P931">
        <f>_xlfn.XLOOKUP(D931, Products!A:A, Products!E:E)</f>
        <v>3970</v>
      </c>
    </row>
    <row r="932" spans="1:16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 t="shared" si="14"/>
        <v>Hyderabad</v>
      </c>
      <c r="M932" t="str">
        <f>_xlfn.XLOOKUP(D932, Products!A:A, Products!C:C)</f>
        <v>Sports</v>
      </c>
      <c r="N932" t="str">
        <f>_xlfn.XLOOKUP(E932, Sales_Reps!A:A, Sales_Reps!C:C)</f>
        <v>West</v>
      </c>
      <c r="O932">
        <f>_xlfn.XLOOKUP(D932, Products!A:A, Products!D:D)</f>
        <v>2265</v>
      </c>
      <c r="P932">
        <f>_xlfn.XLOOKUP(D932, Products!A:A, Products!E:E)</f>
        <v>5410</v>
      </c>
    </row>
    <row r="933" spans="1:16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 t="shared" si="14"/>
        <v>Pune</v>
      </c>
      <c r="M933" t="str">
        <f>_xlfn.XLOOKUP(D933, Products!A:A, Products!C:C)</f>
        <v>Electronics</v>
      </c>
      <c r="N933" t="str">
        <f>_xlfn.XLOOKUP(E933, Sales_Reps!A:A, Sales_Reps!C:C)</f>
        <v>North</v>
      </c>
      <c r="O933">
        <f>_xlfn.XLOOKUP(D933, Products!A:A, Products!D:D)</f>
        <v>1665</v>
      </c>
      <c r="P933">
        <f>_xlfn.XLOOKUP(D933, Products!A:A, Products!E:E)</f>
        <v>3570</v>
      </c>
    </row>
    <row r="934" spans="1:16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 t="shared" si="14"/>
        <v>Mumbai</v>
      </c>
      <c r="M934" t="str">
        <f>_xlfn.XLOOKUP(D934, Products!A:A, Products!C:C)</f>
        <v>Electronics</v>
      </c>
      <c r="N934" t="str">
        <f>_xlfn.XLOOKUP(E934, Sales_Reps!A:A, Sales_Reps!C:C)</f>
        <v>South</v>
      </c>
      <c r="O934">
        <f>_xlfn.XLOOKUP(D934, Products!A:A, Products!D:D)</f>
        <v>1052</v>
      </c>
      <c r="P934">
        <f>_xlfn.XLOOKUP(D934, Products!A:A, Products!E:E)</f>
        <v>2600</v>
      </c>
    </row>
    <row r="935" spans="1:16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 t="shared" si="14"/>
        <v>Delhi</v>
      </c>
      <c r="M935" t="str">
        <f>_xlfn.XLOOKUP(D935, Products!A:A, Products!C:C)</f>
        <v>Sports</v>
      </c>
      <c r="N935" t="str">
        <f>_xlfn.XLOOKUP(E935, Sales_Reps!A:A, Sales_Reps!C:C)</f>
        <v>West</v>
      </c>
      <c r="O935">
        <f>_xlfn.XLOOKUP(D935, Products!A:A, Products!D:D)</f>
        <v>302</v>
      </c>
      <c r="P935">
        <f>_xlfn.XLOOKUP(D935, Products!A:A, Products!E:E)</f>
        <v>470</v>
      </c>
    </row>
    <row r="936" spans="1:16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 t="shared" si="14"/>
        <v>Bengaluru</v>
      </c>
      <c r="M936" t="str">
        <f>_xlfn.XLOOKUP(D936, Products!A:A, Products!C:C)</f>
        <v>Sports</v>
      </c>
      <c r="N936" t="str">
        <f>_xlfn.XLOOKUP(E936, Sales_Reps!A:A, Sales_Reps!C:C)</f>
        <v>West</v>
      </c>
      <c r="O936">
        <f>_xlfn.XLOOKUP(D936, Products!A:A, Products!D:D)</f>
        <v>302</v>
      </c>
      <c r="P936">
        <f>_xlfn.XLOOKUP(D936, Products!A:A, Products!E:E)</f>
        <v>470</v>
      </c>
    </row>
    <row r="937" spans="1:16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 t="shared" si="14"/>
        <v>Chennai</v>
      </c>
      <c r="M937" t="str">
        <f>_xlfn.XLOOKUP(D937, Products!A:A, Products!C:C)</f>
        <v>Sports</v>
      </c>
      <c r="N937" t="str">
        <f>_xlfn.XLOOKUP(E937, Sales_Reps!A:A, Sales_Reps!C:C)</f>
        <v>North</v>
      </c>
      <c r="O937">
        <f>_xlfn.XLOOKUP(D937, Products!A:A, Products!D:D)</f>
        <v>1860</v>
      </c>
      <c r="P937">
        <f>_xlfn.XLOOKUP(D937, Products!A:A, Products!E:E)</f>
        <v>3780</v>
      </c>
    </row>
    <row r="938" spans="1:16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 t="shared" si="14"/>
        <v>Pune</v>
      </c>
      <c r="M938" t="str">
        <f>_xlfn.XLOOKUP(D938, Products!A:A, Products!C:C)</f>
        <v>Sports</v>
      </c>
      <c r="N938" t="str">
        <f>_xlfn.XLOOKUP(E938, Sales_Reps!A:A, Sales_Reps!C:C)</f>
        <v>East</v>
      </c>
      <c r="O938">
        <f>_xlfn.XLOOKUP(D938, Products!A:A, Products!D:D)</f>
        <v>2827</v>
      </c>
      <c r="P938">
        <f>_xlfn.XLOOKUP(D938, Products!A:A, Products!E:E)</f>
        <v>6940</v>
      </c>
    </row>
    <row r="939" spans="1:16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 t="shared" si="14"/>
        <v>Pune</v>
      </c>
      <c r="M939" t="str">
        <f>_xlfn.XLOOKUP(D939, Products!A:A, Products!C:C)</f>
        <v>Electronics</v>
      </c>
      <c r="N939" t="str">
        <f>_xlfn.XLOOKUP(E939, Sales_Reps!A:A, Sales_Reps!C:C)</f>
        <v>West</v>
      </c>
      <c r="O939">
        <f>_xlfn.XLOOKUP(D939, Products!A:A, Products!D:D)</f>
        <v>1559</v>
      </c>
      <c r="P939">
        <f>_xlfn.XLOOKUP(D939, Products!A:A, Products!E:E)</f>
        <v>3870</v>
      </c>
    </row>
    <row r="940" spans="1:16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 t="shared" si="14"/>
        <v>Bengaluru</v>
      </c>
      <c r="M940" t="str">
        <f>_xlfn.XLOOKUP(D940, Products!A:A, Products!C:C)</f>
        <v>Sports</v>
      </c>
      <c r="N940" t="str">
        <f>_xlfn.XLOOKUP(E940, Sales_Reps!A:A, Sales_Reps!C:C)</f>
        <v>South</v>
      </c>
      <c r="O940">
        <f>_xlfn.XLOOKUP(D940, Products!A:A, Products!D:D)</f>
        <v>2265</v>
      </c>
      <c r="P940">
        <f>_xlfn.XLOOKUP(D940, Products!A:A, Products!E:E)</f>
        <v>5410</v>
      </c>
    </row>
    <row r="941" spans="1:16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 t="shared" si="14"/>
        <v>Pune</v>
      </c>
      <c r="M941" t="str">
        <f>_xlfn.XLOOKUP(D941, Products!A:A, Products!C:C)</f>
        <v>Electronics</v>
      </c>
      <c r="N941" t="str">
        <f>_xlfn.XLOOKUP(E941, Sales_Reps!A:A, Sales_Reps!C:C)</f>
        <v>West</v>
      </c>
      <c r="O941">
        <f>_xlfn.XLOOKUP(D941, Products!A:A, Products!D:D)</f>
        <v>2865</v>
      </c>
      <c r="P941">
        <f>_xlfn.XLOOKUP(D941, Products!A:A, Products!E:E)</f>
        <v>3970</v>
      </c>
    </row>
    <row r="942" spans="1:16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 t="shared" si="14"/>
        <v>Mumbai</v>
      </c>
      <c r="M942" t="str">
        <f>_xlfn.XLOOKUP(D942, Products!A:A, Products!C:C)</f>
        <v>Sports</v>
      </c>
      <c r="N942" t="str">
        <f>_xlfn.XLOOKUP(E942, Sales_Reps!A:A, Sales_Reps!C:C)</f>
        <v>North</v>
      </c>
      <c r="O942">
        <f>_xlfn.XLOOKUP(D942, Products!A:A, Products!D:D)</f>
        <v>2827</v>
      </c>
      <c r="P942">
        <f>_xlfn.XLOOKUP(D942, Products!A:A, Products!E:E)</f>
        <v>6940</v>
      </c>
    </row>
    <row r="943" spans="1:16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 t="shared" si="14"/>
        <v>Bengaluru</v>
      </c>
      <c r="M943" t="str">
        <f>_xlfn.XLOOKUP(D943, Products!A:A, Products!C:C)</f>
        <v>Apparel</v>
      </c>
      <c r="N943" t="str">
        <f>_xlfn.XLOOKUP(E943, Sales_Reps!A:A, Sales_Reps!C:C)</f>
        <v>North</v>
      </c>
      <c r="O943">
        <f>_xlfn.XLOOKUP(D943, Products!A:A, Products!D:D)</f>
        <v>1886</v>
      </c>
      <c r="P943">
        <f>_xlfn.XLOOKUP(D943, Products!A:A, Products!E:E)</f>
        <v>3160</v>
      </c>
    </row>
    <row r="944" spans="1:16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 t="shared" si="14"/>
        <v>Bengaluru</v>
      </c>
      <c r="M944" t="str">
        <f>_xlfn.XLOOKUP(D944, Products!A:A, Products!C:C)</f>
        <v>Apparel</v>
      </c>
      <c r="N944" t="str">
        <f>_xlfn.XLOOKUP(E944, Sales_Reps!A:A, Sales_Reps!C:C)</f>
        <v>West</v>
      </c>
      <c r="O944">
        <f>_xlfn.XLOOKUP(D944, Products!A:A, Products!D:D)</f>
        <v>391</v>
      </c>
      <c r="P944">
        <f>_xlfn.XLOOKUP(D944, Products!A:A, Products!E:E)</f>
        <v>820</v>
      </c>
    </row>
    <row r="945" spans="1:16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 t="shared" si="14"/>
        <v>Bengaluru</v>
      </c>
      <c r="M945" t="str">
        <f>_xlfn.XLOOKUP(D945, Products!A:A, Products!C:C)</f>
        <v>Beauty</v>
      </c>
      <c r="N945" t="str">
        <f>_xlfn.XLOOKUP(E945, Sales_Reps!A:A, Sales_Reps!C:C)</f>
        <v>West</v>
      </c>
      <c r="O945">
        <f>_xlfn.XLOOKUP(D945, Products!A:A, Products!D:D)</f>
        <v>647</v>
      </c>
      <c r="P945">
        <f>_xlfn.XLOOKUP(D945, Products!A:A, Products!E:E)</f>
        <v>1540</v>
      </c>
    </row>
    <row r="946" spans="1:16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 t="shared" si="14"/>
        <v>Bengaluru</v>
      </c>
      <c r="M946" t="str">
        <f>_xlfn.XLOOKUP(D946, Products!A:A, Products!C:C)</f>
        <v>Electronics</v>
      </c>
      <c r="N946" t="str">
        <f>_xlfn.XLOOKUP(E946, Sales_Reps!A:A, Sales_Reps!C:C)</f>
        <v>North</v>
      </c>
      <c r="O946">
        <f>_xlfn.XLOOKUP(D946, Products!A:A, Products!D:D)</f>
        <v>1559</v>
      </c>
      <c r="P946">
        <f>_xlfn.XLOOKUP(D946, Products!A:A, Products!E:E)</f>
        <v>3870</v>
      </c>
    </row>
    <row r="947" spans="1:16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 t="shared" si="14"/>
        <v>Mumbai</v>
      </c>
      <c r="M947" t="str">
        <f>_xlfn.XLOOKUP(D947, Products!A:A, Products!C:C)</f>
        <v>Electronics</v>
      </c>
      <c r="N947" t="str">
        <f>_xlfn.XLOOKUP(E947, Sales_Reps!A:A, Sales_Reps!C:C)</f>
        <v>North</v>
      </c>
      <c r="O947">
        <f>_xlfn.XLOOKUP(D947, Products!A:A, Products!D:D)</f>
        <v>1259</v>
      </c>
      <c r="P947">
        <f>_xlfn.XLOOKUP(D947, Products!A:A, Products!E:E)</f>
        <v>2660</v>
      </c>
    </row>
    <row r="948" spans="1:16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 t="shared" si="14"/>
        <v>Chennai</v>
      </c>
      <c r="M948" t="str">
        <f>_xlfn.XLOOKUP(D948, Products!A:A, Products!C:C)</f>
        <v>Electronics</v>
      </c>
      <c r="N948" t="str">
        <f>_xlfn.XLOOKUP(E948, Sales_Reps!A:A, Sales_Reps!C:C)</f>
        <v>South</v>
      </c>
      <c r="O948">
        <f>_xlfn.XLOOKUP(D948, Products!A:A, Products!D:D)</f>
        <v>1665</v>
      </c>
      <c r="P948">
        <f>_xlfn.XLOOKUP(D948, Products!A:A, Products!E:E)</f>
        <v>3570</v>
      </c>
    </row>
    <row r="949" spans="1:16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 t="shared" si="14"/>
        <v>Chennai</v>
      </c>
      <c r="M949" t="str">
        <f>_xlfn.XLOOKUP(D949, Products!A:A, Products!C:C)</f>
        <v>Home</v>
      </c>
      <c r="N949" t="str">
        <f>_xlfn.XLOOKUP(E949, Sales_Reps!A:A, Sales_Reps!C:C)</f>
        <v>North</v>
      </c>
      <c r="O949">
        <f>_xlfn.XLOOKUP(D949, Products!A:A, Products!D:D)</f>
        <v>1143</v>
      </c>
      <c r="P949">
        <f>_xlfn.XLOOKUP(D949, Products!A:A, Products!E:E)</f>
        <v>2030</v>
      </c>
    </row>
    <row r="950" spans="1:16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 t="shared" si="14"/>
        <v>Hyderabad</v>
      </c>
      <c r="M950" t="str">
        <f>_xlfn.XLOOKUP(D950, Products!A:A, Products!C:C)</f>
        <v>Apparel</v>
      </c>
      <c r="N950" t="str">
        <f>_xlfn.XLOOKUP(E950, Sales_Reps!A:A, Sales_Reps!C:C)</f>
        <v>South</v>
      </c>
      <c r="O950">
        <f>_xlfn.XLOOKUP(D950, Products!A:A, Products!D:D)</f>
        <v>1886</v>
      </c>
      <c r="P950">
        <f>_xlfn.XLOOKUP(D950, Products!A:A, Products!E:E)</f>
        <v>3160</v>
      </c>
    </row>
    <row r="951" spans="1:16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 t="shared" si="14"/>
        <v>Delhi</v>
      </c>
      <c r="M951" t="str">
        <f>_xlfn.XLOOKUP(D951, Products!A:A, Products!C:C)</f>
        <v>Home</v>
      </c>
      <c r="N951" t="str">
        <f>_xlfn.XLOOKUP(E951, Sales_Reps!A:A, Sales_Reps!C:C)</f>
        <v>South</v>
      </c>
      <c r="O951">
        <f>_xlfn.XLOOKUP(D951, Products!A:A, Products!D:D)</f>
        <v>2459</v>
      </c>
      <c r="P951">
        <f>_xlfn.XLOOKUP(D951, Products!A:A, Products!E:E)</f>
        <v>5080</v>
      </c>
    </row>
    <row r="952" spans="1:16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 t="shared" si="14"/>
        <v>Pune</v>
      </c>
      <c r="M952" t="str">
        <f>_xlfn.XLOOKUP(D952, Products!A:A, Products!C:C)</f>
        <v>Beauty</v>
      </c>
      <c r="N952" t="str">
        <f>_xlfn.XLOOKUP(E952, Sales_Reps!A:A, Sales_Reps!C:C)</f>
        <v>South</v>
      </c>
      <c r="O952">
        <f>_xlfn.XLOOKUP(D952, Products!A:A, Products!D:D)</f>
        <v>2420</v>
      </c>
      <c r="P952">
        <f>_xlfn.XLOOKUP(D952, Products!A:A, Products!E:E)</f>
        <v>3450</v>
      </c>
    </row>
    <row r="953" spans="1:16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 t="shared" si="14"/>
        <v>Mumbai</v>
      </c>
      <c r="M953" t="str">
        <f>_xlfn.XLOOKUP(D953, Products!A:A, Products!C:C)</f>
        <v>Sports</v>
      </c>
      <c r="N953" t="str">
        <f>_xlfn.XLOOKUP(E953, Sales_Reps!A:A, Sales_Reps!C:C)</f>
        <v>South</v>
      </c>
      <c r="O953">
        <f>_xlfn.XLOOKUP(D953, Products!A:A, Products!D:D)</f>
        <v>2467</v>
      </c>
      <c r="P953">
        <f>_xlfn.XLOOKUP(D953, Products!A:A, Products!E:E)</f>
        <v>3450</v>
      </c>
    </row>
    <row r="954" spans="1:16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 t="shared" si="14"/>
        <v>Hyderabad</v>
      </c>
      <c r="M954" t="str">
        <f>_xlfn.XLOOKUP(D954, Products!A:A, Products!C:C)</f>
        <v>Electronics</v>
      </c>
      <c r="N954" t="str">
        <f>_xlfn.XLOOKUP(E954, Sales_Reps!A:A, Sales_Reps!C:C)</f>
        <v>West</v>
      </c>
      <c r="O954">
        <f>_xlfn.XLOOKUP(D954, Products!A:A, Products!D:D)</f>
        <v>2405</v>
      </c>
      <c r="P954">
        <f>_xlfn.XLOOKUP(D954, Products!A:A, Products!E:E)</f>
        <v>5330</v>
      </c>
    </row>
    <row r="955" spans="1:16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 t="shared" si="14"/>
        <v>Mumbai</v>
      </c>
      <c r="M955" t="str">
        <f>_xlfn.XLOOKUP(D955, Products!A:A, Products!C:C)</f>
        <v>Grocery</v>
      </c>
      <c r="N955" t="str">
        <f>_xlfn.XLOOKUP(E955, Sales_Reps!A:A, Sales_Reps!C:C)</f>
        <v>North</v>
      </c>
      <c r="O955">
        <f>_xlfn.XLOOKUP(D955, Products!A:A, Products!D:D)</f>
        <v>1010</v>
      </c>
      <c r="P955">
        <f>_xlfn.XLOOKUP(D955, Products!A:A, Products!E:E)</f>
        <v>2210</v>
      </c>
    </row>
    <row r="956" spans="1:16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 t="shared" si="14"/>
        <v>Mumbai</v>
      </c>
      <c r="M956" t="str">
        <f>_xlfn.XLOOKUP(D956, Products!A:A, Products!C:C)</f>
        <v>Home</v>
      </c>
      <c r="N956" t="str">
        <f>_xlfn.XLOOKUP(E956, Sales_Reps!A:A, Sales_Reps!C:C)</f>
        <v>West</v>
      </c>
      <c r="O956">
        <f>_xlfn.XLOOKUP(D956, Products!A:A, Products!D:D)</f>
        <v>519</v>
      </c>
      <c r="P956">
        <f>_xlfn.XLOOKUP(D956, Products!A:A, Products!E:E)</f>
        <v>1080</v>
      </c>
    </row>
    <row r="957" spans="1:16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 t="shared" si="14"/>
        <v>Bengaluru</v>
      </c>
      <c r="M957" t="str">
        <f>_xlfn.XLOOKUP(D957, Products!A:A, Products!C:C)</f>
        <v>Apparel</v>
      </c>
      <c r="N957" t="str">
        <f>_xlfn.XLOOKUP(E957, Sales_Reps!A:A, Sales_Reps!C:C)</f>
        <v>South</v>
      </c>
      <c r="O957">
        <f>_xlfn.XLOOKUP(D957, Products!A:A, Products!D:D)</f>
        <v>2509</v>
      </c>
      <c r="P957">
        <f>_xlfn.XLOOKUP(D957, Products!A:A, Products!E:E)</f>
        <v>3620</v>
      </c>
    </row>
    <row r="958" spans="1:16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 t="shared" si="14"/>
        <v>Mumbai</v>
      </c>
      <c r="M958" t="str">
        <f>_xlfn.XLOOKUP(D958, Products!A:A, Products!C:C)</f>
        <v>Apparel</v>
      </c>
      <c r="N958" t="str">
        <f>_xlfn.XLOOKUP(E958, Sales_Reps!A:A, Sales_Reps!C:C)</f>
        <v>South</v>
      </c>
      <c r="O958">
        <f>_xlfn.XLOOKUP(D958, Products!A:A, Products!D:D)</f>
        <v>2629</v>
      </c>
      <c r="P958">
        <f>_xlfn.XLOOKUP(D958, Products!A:A, Products!E:E)</f>
        <v>3560</v>
      </c>
    </row>
    <row r="959" spans="1:16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 t="shared" si="14"/>
        <v>Chennai</v>
      </c>
      <c r="M959" t="str">
        <f>_xlfn.XLOOKUP(D959, Products!A:A, Products!C:C)</f>
        <v>Home</v>
      </c>
      <c r="N959" t="str">
        <f>_xlfn.XLOOKUP(E959, Sales_Reps!A:A, Sales_Reps!C:C)</f>
        <v>West</v>
      </c>
      <c r="O959">
        <f>_xlfn.XLOOKUP(D959, Products!A:A, Products!D:D)</f>
        <v>1143</v>
      </c>
      <c r="P959">
        <f>_xlfn.XLOOKUP(D959, Products!A:A, Products!E:E)</f>
        <v>2030</v>
      </c>
    </row>
    <row r="960" spans="1:16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 t="shared" si="14"/>
        <v>Chennai</v>
      </c>
      <c r="M960" t="str">
        <f>_xlfn.XLOOKUP(D960, Products!A:A, Products!C:C)</f>
        <v>Beauty</v>
      </c>
      <c r="N960" t="str">
        <f>_xlfn.XLOOKUP(E960, Sales_Reps!A:A, Sales_Reps!C:C)</f>
        <v>South</v>
      </c>
      <c r="O960">
        <f>_xlfn.XLOOKUP(D960, Products!A:A, Products!D:D)</f>
        <v>1222</v>
      </c>
      <c r="P960">
        <f>_xlfn.XLOOKUP(D960, Products!A:A, Products!E:E)</f>
        <v>1650</v>
      </c>
    </row>
    <row r="961" spans="1:16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 t="shared" si="14"/>
        <v>Hyderabad</v>
      </c>
      <c r="M961" t="str">
        <f>_xlfn.XLOOKUP(D961, Products!A:A, Products!C:C)</f>
        <v>Grocery</v>
      </c>
      <c r="N961" t="str">
        <f>_xlfn.XLOOKUP(E961, Sales_Reps!A:A, Sales_Reps!C:C)</f>
        <v>East</v>
      </c>
      <c r="O961">
        <f>_xlfn.XLOOKUP(D961, Products!A:A, Products!D:D)</f>
        <v>1435</v>
      </c>
      <c r="P961">
        <f>_xlfn.XLOOKUP(D961, Products!A:A, Products!E:E)</f>
        <v>2760</v>
      </c>
    </row>
    <row r="962" spans="1:16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 t="shared" si="14"/>
        <v>Delhi</v>
      </c>
      <c r="M962" t="str">
        <f>_xlfn.XLOOKUP(D962, Products!A:A, Products!C:C)</f>
        <v>Electronics</v>
      </c>
      <c r="N962" t="str">
        <f>_xlfn.XLOOKUP(E962, Sales_Reps!A:A, Sales_Reps!C:C)</f>
        <v>South</v>
      </c>
      <c r="O962">
        <f>_xlfn.XLOOKUP(D962, Products!A:A, Products!D:D)</f>
        <v>2865</v>
      </c>
      <c r="P962">
        <f>_xlfn.XLOOKUP(D962, Products!A:A, Products!E:E)</f>
        <v>3970</v>
      </c>
    </row>
    <row r="963" spans="1:16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 t="shared" ref="L963:L1026" si="15">PROPER(TRIM(K963))</f>
        <v>Pune</v>
      </c>
      <c r="M963" t="str">
        <f>_xlfn.XLOOKUP(D963, Products!A:A, Products!C:C)</f>
        <v>Beauty</v>
      </c>
      <c r="N963" t="str">
        <f>_xlfn.XLOOKUP(E963, Sales_Reps!A:A, Sales_Reps!C:C)</f>
        <v>South</v>
      </c>
      <c r="O963">
        <f>_xlfn.XLOOKUP(D963, Products!A:A, Products!D:D)</f>
        <v>2617</v>
      </c>
      <c r="P963">
        <f>_xlfn.XLOOKUP(D963, Products!A:A, Products!E:E)</f>
        <v>6080</v>
      </c>
    </row>
    <row r="964" spans="1:16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 t="shared" si="15"/>
        <v>Pune</v>
      </c>
      <c r="M964" t="str">
        <f>_xlfn.XLOOKUP(D964, Products!A:A, Products!C:C)</f>
        <v>Grocery</v>
      </c>
      <c r="N964" t="str">
        <f>_xlfn.XLOOKUP(E964, Sales_Reps!A:A, Sales_Reps!C:C)</f>
        <v>North</v>
      </c>
      <c r="O964">
        <f>_xlfn.XLOOKUP(D964, Products!A:A, Products!D:D)</f>
        <v>1203</v>
      </c>
      <c r="P964">
        <f>_xlfn.XLOOKUP(D964, Products!A:A, Products!E:E)</f>
        <v>2270</v>
      </c>
    </row>
    <row r="965" spans="1:16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 t="shared" si="15"/>
        <v>Pune</v>
      </c>
      <c r="M965" t="str">
        <f>_xlfn.XLOOKUP(D965, Products!A:A, Products!C:C)</f>
        <v>Electronics</v>
      </c>
      <c r="N965" t="str">
        <f>_xlfn.XLOOKUP(E965, Sales_Reps!A:A, Sales_Reps!C:C)</f>
        <v>North</v>
      </c>
      <c r="O965">
        <f>_xlfn.XLOOKUP(D965, Products!A:A, Products!D:D)</f>
        <v>2865</v>
      </c>
      <c r="P965">
        <f>_xlfn.XLOOKUP(D965, Products!A:A, Products!E:E)</f>
        <v>3970</v>
      </c>
    </row>
    <row r="966" spans="1:16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 t="shared" si="15"/>
        <v>Chennai</v>
      </c>
      <c r="M966" t="str">
        <f>_xlfn.XLOOKUP(D966, Products!A:A, Products!C:C)</f>
        <v>Beauty</v>
      </c>
      <c r="N966" t="str">
        <f>_xlfn.XLOOKUP(E966, Sales_Reps!A:A, Sales_Reps!C:C)</f>
        <v>South</v>
      </c>
      <c r="O966">
        <f>_xlfn.XLOOKUP(D966, Products!A:A, Products!D:D)</f>
        <v>2237</v>
      </c>
      <c r="P966">
        <f>_xlfn.XLOOKUP(D966, Products!A:A, Products!E:E)</f>
        <v>5100</v>
      </c>
    </row>
    <row r="967" spans="1:16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 t="shared" si="15"/>
        <v>Pune</v>
      </c>
      <c r="M967" t="str">
        <f>_xlfn.XLOOKUP(D967, Products!A:A, Products!C:C)</f>
        <v>Beauty</v>
      </c>
      <c r="N967" t="str">
        <f>_xlfn.XLOOKUP(E967, Sales_Reps!A:A, Sales_Reps!C:C)</f>
        <v>West</v>
      </c>
      <c r="O967">
        <f>_xlfn.XLOOKUP(D967, Products!A:A, Products!D:D)</f>
        <v>1626</v>
      </c>
      <c r="P967">
        <f>_xlfn.XLOOKUP(D967, Products!A:A, Products!E:E)</f>
        <v>3020</v>
      </c>
    </row>
    <row r="968" spans="1:16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 t="shared" si="15"/>
        <v>Mumbai</v>
      </c>
      <c r="M968" t="str">
        <f>_xlfn.XLOOKUP(D968, Products!A:A, Products!C:C)</f>
        <v>Sports</v>
      </c>
      <c r="N968" t="str">
        <f>_xlfn.XLOOKUP(E968, Sales_Reps!A:A, Sales_Reps!C:C)</f>
        <v>South</v>
      </c>
      <c r="O968">
        <f>_xlfn.XLOOKUP(D968, Products!A:A, Products!D:D)</f>
        <v>705</v>
      </c>
      <c r="P968">
        <f>_xlfn.XLOOKUP(D968, Products!A:A, Products!E:E)</f>
        <v>960</v>
      </c>
    </row>
    <row r="969" spans="1:16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 t="shared" si="15"/>
        <v>Mumbai</v>
      </c>
      <c r="M969" t="str">
        <f>_xlfn.XLOOKUP(D969, Products!A:A, Products!C:C)</f>
        <v>Apparel</v>
      </c>
      <c r="N969" t="str">
        <f>_xlfn.XLOOKUP(E969, Sales_Reps!A:A, Sales_Reps!C:C)</f>
        <v>North</v>
      </c>
      <c r="O969">
        <f>_xlfn.XLOOKUP(D969, Products!A:A, Products!D:D)</f>
        <v>1173</v>
      </c>
      <c r="P969">
        <f>_xlfn.XLOOKUP(D969, Products!A:A, Products!E:E)</f>
        <v>2480</v>
      </c>
    </row>
    <row r="970" spans="1:16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 t="shared" si="15"/>
        <v>Bengaluru</v>
      </c>
      <c r="M970" t="str">
        <f>_xlfn.XLOOKUP(D970, Products!A:A, Products!C:C)</f>
        <v>Grocery</v>
      </c>
      <c r="N970" t="str">
        <f>_xlfn.XLOOKUP(E970, Sales_Reps!A:A, Sales_Reps!C:C)</f>
        <v>South</v>
      </c>
      <c r="O970">
        <f>_xlfn.XLOOKUP(D970, Products!A:A, Products!D:D)</f>
        <v>434</v>
      </c>
      <c r="P970">
        <f>_xlfn.XLOOKUP(D970, Products!A:A, Products!E:E)</f>
        <v>970</v>
      </c>
    </row>
    <row r="971" spans="1:16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 t="shared" si="15"/>
        <v>Pune</v>
      </c>
      <c r="M971" t="str">
        <f>_xlfn.XLOOKUP(D971, Products!A:A, Products!C:C)</f>
        <v>Grocery</v>
      </c>
      <c r="N971" t="str">
        <f>_xlfn.XLOOKUP(E971, Sales_Reps!A:A, Sales_Reps!C:C)</f>
        <v>East</v>
      </c>
      <c r="O971">
        <f>_xlfn.XLOOKUP(D971, Products!A:A, Products!D:D)</f>
        <v>1182</v>
      </c>
      <c r="P971">
        <f>_xlfn.XLOOKUP(D971, Products!A:A, Products!E:E)</f>
        <v>2380</v>
      </c>
    </row>
    <row r="972" spans="1:16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 t="shared" si="15"/>
        <v>Hyderabad</v>
      </c>
      <c r="M972" t="str">
        <f>_xlfn.XLOOKUP(D972, Products!A:A, Products!C:C)</f>
        <v>Sports</v>
      </c>
      <c r="N972" t="str">
        <f>_xlfn.XLOOKUP(E972, Sales_Reps!A:A, Sales_Reps!C:C)</f>
        <v>North</v>
      </c>
      <c r="O972">
        <f>_xlfn.XLOOKUP(D972, Products!A:A, Products!D:D)</f>
        <v>2265</v>
      </c>
      <c r="P972">
        <f>_xlfn.XLOOKUP(D972, Products!A:A, Products!E:E)</f>
        <v>5410</v>
      </c>
    </row>
    <row r="973" spans="1:16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 t="shared" si="15"/>
        <v>Chennai</v>
      </c>
      <c r="M973" t="str">
        <f>_xlfn.XLOOKUP(D973, Products!A:A, Products!C:C)</f>
        <v>Home</v>
      </c>
      <c r="N973" t="str">
        <f>_xlfn.XLOOKUP(E973, Sales_Reps!A:A, Sales_Reps!C:C)</f>
        <v>East</v>
      </c>
      <c r="O973">
        <f>_xlfn.XLOOKUP(D973, Products!A:A, Products!D:D)</f>
        <v>2459</v>
      </c>
      <c r="P973">
        <f>_xlfn.XLOOKUP(D973, Products!A:A, Products!E:E)</f>
        <v>5080</v>
      </c>
    </row>
    <row r="974" spans="1:16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 t="shared" si="15"/>
        <v>Pune</v>
      </c>
      <c r="M974" t="str">
        <f>_xlfn.XLOOKUP(D974, Products!A:A, Products!C:C)</f>
        <v>Electronics</v>
      </c>
      <c r="N974" t="str">
        <f>_xlfn.XLOOKUP(E974, Sales_Reps!A:A, Sales_Reps!C:C)</f>
        <v>West</v>
      </c>
      <c r="O974">
        <f>_xlfn.XLOOKUP(D974, Products!A:A, Products!D:D)</f>
        <v>861</v>
      </c>
      <c r="P974">
        <f>_xlfn.XLOOKUP(D974, Products!A:A, Products!E:E)</f>
        <v>1430</v>
      </c>
    </row>
    <row r="975" spans="1:16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 t="shared" si="15"/>
        <v>Delhi</v>
      </c>
      <c r="M975" t="str">
        <f>_xlfn.XLOOKUP(D975, Products!A:A, Products!C:C)</f>
        <v>Home</v>
      </c>
      <c r="N975" t="str">
        <f>_xlfn.XLOOKUP(E975, Sales_Reps!A:A, Sales_Reps!C:C)</f>
        <v>South</v>
      </c>
      <c r="O975">
        <f>_xlfn.XLOOKUP(D975, Products!A:A, Products!D:D)</f>
        <v>329</v>
      </c>
      <c r="P975">
        <f>_xlfn.XLOOKUP(D975, Products!A:A, Products!E:E)</f>
        <v>660</v>
      </c>
    </row>
    <row r="976" spans="1:16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 t="shared" si="15"/>
        <v>Pune</v>
      </c>
      <c r="M976" t="str">
        <f>_xlfn.XLOOKUP(D976, Products!A:A, Products!C:C)</f>
        <v>Beauty</v>
      </c>
      <c r="N976" t="str">
        <f>_xlfn.XLOOKUP(E976, Sales_Reps!A:A, Sales_Reps!C:C)</f>
        <v>North</v>
      </c>
      <c r="O976">
        <f>_xlfn.XLOOKUP(D976, Products!A:A, Products!D:D)</f>
        <v>647</v>
      </c>
      <c r="P976">
        <f>_xlfn.XLOOKUP(D976, Products!A:A, Products!E:E)</f>
        <v>1540</v>
      </c>
    </row>
    <row r="977" spans="1:16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 t="shared" si="15"/>
        <v>Delhi</v>
      </c>
      <c r="M977" t="str">
        <f>_xlfn.XLOOKUP(D977, Products!A:A, Products!C:C)</f>
        <v>Grocery</v>
      </c>
      <c r="N977" t="str">
        <f>_xlfn.XLOOKUP(E977, Sales_Reps!A:A, Sales_Reps!C:C)</f>
        <v>North</v>
      </c>
      <c r="O977">
        <f>_xlfn.XLOOKUP(D977, Products!A:A, Products!D:D)</f>
        <v>1010</v>
      </c>
      <c r="P977">
        <f>_xlfn.XLOOKUP(D977, Products!A:A, Products!E:E)</f>
        <v>2210</v>
      </c>
    </row>
    <row r="978" spans="1:16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 t="shared" si="15"/>
        <v>Mumbai</v>
      </c>
      <c r="M978" t="str">
        <f>_xlfn.XLOOKUP(D978, Products!A:A, Products!C:C)</f>
        <v>Sports</v>
      </c>
      <c r="N978" t="str">
        <f>_xlfn.XLOOKUP(E978, Sales_Reps!A:A, Sales_Reps!C:C)</f>
        <v>East</v>
      </c>
      <c r="O978">
        <f>_xlfn.XLOOKUP(D978, Products!A:A, Products!D:D)</f>
        <v>705</v>
      </c>
      <c r="P978">
        <f>_xlfn.XLOOKUP(D978, Products!A:A, Products!E:E)</f>
        <v>960</v>
      </c>
    </row>
    <row r="979" spans="1:16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 t="shared" si="15"/>
        <v>Mumbai</v>
      </c>
      <c r="M979" t="str">
        <f>_xlfn.XLOOKUP(D979, Products!A:A, Products!C:C)</f>
        <v>Beauty</v>
      </c>
      <c r="N979" t="str">
        <f>_xlfn.XLOOKUP(E979, Sales_Reps!A:A, Sales_Reps!C:C)</f>
        <v>East</v>
      </c>
      <c r="O979">
        <f>_xlfn.XLOOKUP(D979, Products!A:A, Products!D:D)</f>
        <v>2420</v>
      </c>
      <c r="P979">
        <f>_xlfn.XLOOKUP(D979, Products!A:A, Products!E:E)</f>
        <v>3450</v>
      </c>
    </row>
    <row r="980" spans="1:16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 t="shared" si="15"/>
        <v>Mumbai</v>
      </c>
      <c r="M980" t="str">
        <f>_xlfn.XLOOKUP(D980, Products!A:A, Products!C:C)</f>
        <v>Home</v>
      </c>
      <c r="N980" t="str">
        <f>_xlfn.XLOOKUP(E980, Sales_Reps!A:A, Sales_Reps!C:C)</f>
        <v>North</v>
      </c>
      <c r="O980">
        <f>_xlfn.XLOOKUP(D980, Products!A:A, Products!D:D)</f>
        <v>1143</v>
      </c>
      <c r="P980">
        <f>_xlfn.XLOOKUP(D980, Products!A:A, Products!E:E)</f>
        <v>2030</v>
      </c>
    </row>
    <row r="981" spans="1:16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 t="shared" si="15"/>
        <v>Pune</v>
      </c>
      <c r="M981" t="str">
        <f>_xlfn.XLOOKUP(D981, Products!A:A, Products!C:C)</f>
        <v>Apparel</v>
      </c>
      <c r="N981" t="str">
        <f>_xlfn.XLOOKUP(E981, Sales_Reps!A:A, Sales_Reps!C:C)</f>
        <v>South</v>
      </c>
      <c r="O981">
        <f>_xlfn.XLOOKUP(D981, Products!A:A, Products!D:D)</f>
        <v>1748</v>
      </c>
      <c r="P981">
        <f>_xlfn.XLOOKUP(D981, Products!A:A, Products!E:E)</f>
        <v>3450</v>
      </c>
    </row>
    <row r="982" spans="1:16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 t="shared" si="15"/>
        <v>Pune</v>
      </c>
      <c r="M982" t="str">
        <f>_xlfn.XLOOKUP(D982, Products!A:A, Products!C:C)</f>
        <v>Grocery</v>
      </c>
      <c r="N982" t="str">
        <f>_xlfn.XLOOKUP(E982, Sales_Reps!A:A, Sales_Reps!C:C)</f>
        <v>South</v>
      </c>
      <c r="O982">
        <f>_xlfn.XLOOKUP(D982, Products!A:A, Products!D:D)</f>
        <v>2436</v>
      </c>
      <c r="P982">
        <f>_xlfn.XLOOKUP(D982, Products!A:A, Products!E:E)</f>
        <v>3780</v>
      </c>
    </row>
    <row r="983" spans="1:16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 t="shared" si="15"/>
        <v>Pune</v>
      </c>
      <c r="M983" t="str">
        <f>_xlfn.XLOOKUP(D983, Products!A:A, Products!C:C)</f>
        <v>Grocery</v>
      </c>
      <c r="N983" t="str">
        <f>_xlfn.XLOOKUP(E983, Sales_Reps!A:A, Sales_Reps!C:C)</f>
        <v>North</v>
      </c>
      <c r="O983">
        <f>_xlfn.XLOOKUP(D983, Products!A:A, Products!D:D)</f>
        <v>1435</v>
      </c>
      <c r="P983">
        <f>_xlfn.XLOOKUP(D983, Products!A:A, Products!E:E)</f>
        <v>2760</v>
      </c>
    </row>
    <row r="984" spans="1:16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 t="shared" si="15"/>
        <v>Pune</v>
      </c>
      <c r="M984" t="str">
        <f>_xlfn.XLOOKUP(D984, Products!A:A, Products!C:C)</f>
        <v>Beauty</v>
      </c>
      <c r="N984" t="str">
        <f>_xlfn.XLOOKUP(E984, Sales_Reps!A:A, Sales_Reps!C:C)</f>
        <v>West</v>
      </c>
      <c r="O984">
        <f>_xlfn.XLOOKUP(D984, Products!A:A, Products!D:D)</f>
        <v>647</v>
      </c>
      <c r="P984">
        <f>_xlfn.XLOOKUP(D984, Products!A:A, Products!E:E)</f>
        <v>1540</v>
      </c>
    </row>
    <row r="985" spans="1:16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 t="shared" si="15"/>
        <v>Bengaluru</v>
      </c>
      <c r="M985" t="str">
        <f>_xlfn.XLOOKUP(D985, Products!A:A, Products!C:C)</f>
        <v>Home</v>
      </c>
      <c r="N985" t="str">
        <f>_xlfn.XLOOKUP(E985, Sales_Reps!A:A, Sales_Reps!C:C)</f>
        <v>North</v>
      </c>
      <c r="O985">
        <f>_xlfn.XLOOKUP(D985, Products!A:A, Products!D:D)</f>
        <v>2135</v>
      </c>
      <c r="P985">
        <f>_xlfn.XLOOKUP(D985, Products!A:A, Products!E:E)</f>
        <v>3730</v>
      </c>
    </row>
    <row r="986" spans="1:16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 t="shared" si="15"/>
        <v>Bengaluru</v>
      </c>
      <c r="M986" t="str">
        <f>_xlfn.XLOOKUP(D986, Products!A:A, Products!C:C)</f>
        <v>Home</v>
      </c>
      <c r="N986" t="str">
        <f>_xlfn.XLOOKUP(E986, Sales_Reps!A:A, Sales_Reps!C:C)</f>
        <v>West</v>
      </c>
      <c r="O986">
        <f>_xlfn.XLOOKUP(D986, Products!A:A, Products!D:D)</f>
        <v>2135</v>
      </c>
      <c r="P986">
        <f>_xlfn.XLOOKUP(D986, Products!A:A, Products!E:E)</f>
        <v>3730</v>
      </c>
    </row>
    <row r="987" spans="1:16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 t="shared" si="15"/>
        <v>Pune</v>
      </c>
      <c r="M987" t="str">
        <f>_xlfn.XLOOKUP(D987, Products!A:A, Products!C:C)</f>
        <v>Apparel</v>
      </c>
      <c r="N987" t="str">
        <f>_xlfn.XLOOKUP(E987, Sales_Reps!A:A, Sales_Reps!C:C)</f>
        <v>South</v>
      </c>
      <c r="O987">
        <f>_xlfn.XLOOKUP(D987, Products!A:A, Products!D:D)</f>
        <v>1886</v>
      </c>
      <c r="P987">
        <f>_xlfn.XLOOKUP(D987, Products!A:A, Products!E:E)</f>
        <v>3160</v>
      </c>
    </row>
    <row r="988" spans="1:16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 t="shared" si="15"/>
        <v>Mumbai</v>
      </c>
      <c r="M988" t="str">
        <f>_xlfn.XLOOKUP(D988, Products!A:A, Products!C:C)</f>
        <v>Beauty</v>
      </c>
      <c r="N988" t="str">
        <f>_xlfn.XLOOKUP(E988, Sales_Reps!A:A, Sales_Reps!C:C)</f>
        <v>East</v>
      </c>
      <c r="O988">
        <f>_xlfn.XLOOKUP(D988, Products!A:A, Products!D:D)</f>
        <v>1219</v>
      </c>
      <c r="P988">
        <f>_xlfn.XLOOKUP(D988, Products!A:A, Products!E:E)</f>
        <v>2290</v>
      </c>
    </row>
    <row r="989" spans="1:16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 t="shared" si="15"/>
        <v>Pune</v>
      </c>
      <c r="M989" t="str">
        <f>_xlfn.XLOOKUP(D989, Products!A:A, Products!C:C)</f>
        <v>Electronics</v>
      </c>
      <c r="N989" t="str">
        <f>_xlfn.XLOOKUP(E989, Sales_Reps!A:A, Sales_Reps!C:C)</f>
        <v>South</v>
      </c>
      <c r="O989">
        <f>_xlfn.XLOOKUP(D989, Products!A:A, Products!D:D)</f>
        <v>1559</v>
      </c>
      <c r="P989">
        <f>_xlfn.XLOOKUP(D989, Products!A:A, Products!E:E)</f>
        <v>3870</v>
      </c>
    </row>
    <row r="990" spans="1:16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 t="shared" si="15"/>
        <v>Bengaluru</v>
      </c>
      <c r="M990" t="str">
        <f>_xlfn.XLOOKUP(D990, Products!A:A, Products!C:C)</f>
        <v>Electronics</v>
      </c>
      <c r="N990" t="str">
        <f>_xlfn.XLOOKUP(E990, Sales_Reps!A:A, Sales_Reps!C:C)</f>
        <v>North</v>
      </c>
      <c r="O990">
        <f>_xlfn.XLOOKUP(D990, Products!A:A, Products!D:D)</f>
        <v>1665</v>
      </c>
      <c r="P990">
        <f>_xlfn.XLOOKUP(D990, Products!A:A, Products!E:E)</f>
        <v>3570</v>
      </c>
    </row>
    <row r="991" spans="1:16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 t="shared" si="15"/>
        <v>Chennai</v>
      </c>
      <c r="M991" t="str">
        <f>_xlfn.XLOOKUP(D991, Products!A:A, Products!C:C)</f>
        <v>Sports</v>
      </c>
      <c r="N991" t="str">
        <f>_xlfn.XLOOKUP(E991, Sales_Reps!A:A, Sales_Reps!C:C)</f>
        <v>North</v>
      </c>
      <c r="O991">
        <f>_xlfn.XLOOKUP(D991, Products!A:A, Products!D:D)</f>
        <v>516</v>
      </c>
      <c r="P991">
        <f>_xlfn.XLOOKUP(D991, Products!A:A, Products!E:E)</f>
        <v>1010</v>
      </c>
    </row>
    <row r="992" spans="1:16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 t="shared" si="15"/>
        <v>Chennai</v>
      </c>
      <c r="M992" t="str">
        <f>_xlfn.XLOOKUP(D992, Products!A:A, Products!C:C)</f>
        <v>Beauty</v>
      </c>
      <c r="N992" t="str">
        <f>_xlfn.XLOOKUP(E992, Sales_Reps!A:A, Sales_Reps!C:C)</f>
        <v>North</v>
      </c>
      <c r="O992">
        <f>_xlfn.XLOOKUP(D992, Products!A:A, Products!D:D)</f>
        <v>1219</v>
      </c>
      <c r="P992">
        <f>_xlfn.XLOOKUP(D992, Products!A:A, Products!E:E)</f>
        <v>2290</v>
      </c>
    </row>
    <row r="993" spans="1:16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 t="shared" si="15"/>
        <v>Hyderabad</v>
      </c>
      <c r="M993" t="str">
        <f>_xlfn.XLOOKUP(D993, Products!A:A, Products!C:C)</f>
        <v>Home</v>
      </c>
      <c r="N993" t="str">
        <f>_xlfn.XLOOKUP(E993, Sales_Reps!A:A, Sales_Reps!C:C)</f>
        <v>East</v>
      </c>
      <c r="O993">
        <f>_xlfn.XLOOKUP(D993, Products!A:A, Products!D:D)</f>
        <v>1850</v>
      </c>
      <c r="P993">
        <f>_xlfn.XLOOKUP(D993, Products!A:A, Products!E:E)</f>
        <v>4610</v>
      </c>
    </row>
    <row r="994" spans="1:16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 t="shared" si="15"/>
        <v>Pune</v>
      </c>
      <c r="M994" t="str">
        <f>_xlfn.XLOOKUP(D994, Products!A:A, Products!C:C)</f>
        <v>Apparel</v>
      </c>
      <c r="N994" t="str">
        <f>_xlfn.XLOOKUP(E994, Sales_Reps!A:A, Sales_Reps!C:C)</f>
        <v>North</v>
      </c>
      <c r="O994">
        <f>_xlfn.XLOOKUP(D994, Products!A:A, Products!D:D)</f>
        <v>1075</v>
      </c>
      <c r="P994">
        <f>_xlfn.XLOOKUP(D994, Products!A:A, Products!E:E)</f>
        <v>2510</v>
      </c>
    </row>
    <row r="995" spans="1:16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 t="shared" si="15"/>
        <v>Mumbai</v>
      </c>
      <c r="M995" t="str">
        <f>_xlfn.XLOOKUP(D995, Products!A:A, Products!C:C)</f>
        <v>Beauty</v>
      </c>
      <c r="N995" t="str">
        <f>_xlfn.XLOOKUP(E995, Sales_Reps!A:A, Sales_Reps!C:C)</f>
        <v>South</v>
      </c>
      <c r="O995">
        <f>_xlfn.XLOOKUP(D995, Products!A:A, Products!D:D)</f>
        <v>1626</v>
      </c>
      <c r="P995">
        <f>_xlfn.XLOOKUP(D995, Products!A:A, Products!E:E)</f>
        <v>3020</v>
      </c>
    </row>
    <row r="996" spans="1:16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 t="shared" si="15"/>
        <v>Pune</v>
      </c>
      <c r="M996" t="str">
        <f>_xlfn.XLOOKUP(D996, Products!A:A, Products!C:C)</f>
        <v>Sports</v>
      </c>
      <c r="N996" t="str">
        <f>_xlfn.XLOOKUP(E996, Sales_Reps!A:A, Sales_Reps!C:C)</f>
        <v>South</v>
      </c>
      <c r="O996">
        <f>_xlfn.XLOOKUP(D996, Products!A:A, Products!D:D)</f>
        <v>147</v>
      </c>
      <c r="P996">
        <f>_xlfn.XLOOKUP(D996, Products!A:A, Products!E:E)</f>
        <v>190</v>
      </c>
    </row>
    <row r="997" spans="1:16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 t="shared" si="15"/>
        <v>Bengaluru</v>
      </c>
      <c r="M997" t="str">
        <f>_xlfn.XLOOKUP(D997, Products!A:A, Products!C:C)</f>
        <v>Home</v>
      </c>
      <c r="N997" t="str">
        <f>_xlfn.XLOOKUP(E997, Sales_Reps!A:A, Sales_Reps!C:C)</f>
        <v>North</v>
      </c>
      <c r="O997">
        <f>_xlfn.XLOOKUP(D997, Products!A:A, Products!D:D)</f>
        <v>1143</v>
      </c>
      <c r="P997">
        <f>_xlfn.XLOOKUP(D997, Products!A:A, Products!E:E)</f>
        <v>2030</v>
      </c>
    </row>
    <row r="998" spans="1:16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 t="shared" si="15"/>
        <v>Hyderabad</v>
      </c>
      <c r="M998" t="str">
        <f>_xlfn.XLOOKUP(D998, Products!A:A, Products!C:C)</f>
        <v>Home</v>
      </c>
      <c r="N998" t="str">
        <f>_xlfn.XLOOKUP(E998, Sales_Reps!A:A, Sales_Reps!C:C)</f>
        <v>South</v>
      </c>
      <c r="O998">
        <f>_xlfn.XLOOKUP(D998, Products!A:A, Products!D:D)</f>
        <v>1556</v>
      </c>
      <c r="P998">
        <f>_xlfn.XLOOKUP(D998, Products!A:A, Products!E:E)</f>
        <v>3250</v>
      </c>
    </row>
    <row r="999" spans="1:16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 t="shared" si="15"/>
        <v>Pune</v>
      </c>
      <c r="M999" t="str">
        <f>_xlfn.XLOOKUP(D999, Products!A:A, Products!C:C)</f>
        <v>Home</v>
      </c>
      <c r="N999" t="str">
        <f>_xlfn.XLOOKUP(E999, Sales_Reps!A:A, Sales_Reps!C:C)</f>
        <v>West</v>
      </c>
      <c r="O999">
        <f>_xlfn.XLOOKUP(D999, Products!A:A, Products!D:D)</f>
        <v>1143</v>
      </c>
      <c r="P999">
        <f>_xlfn.XLOOKUP(D999, Products!A:A, Products!E:E)</f>
        <v>2030</v>
      </c>
    </row>
    <row r="1000" spans="1:16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 t="shared" si="15"/>
        <v>Mumbai</v>
      </c>
      <c r="M1000" t="str">
        <f>_xlfn.XLOOKUP(D1000, Products!A:A, Products!C:C)</f>
        <v>Grocery</v>
      </c>
      <c r="N1000" t="str">
        <f>_xlfn.XLOOKUP(E1000, Sales_Reps!A:A, Sales_Reps!C:C)</f>
        <v>West</v>
      </c>
      <c r="O1000">
        <f>_xlfn.XLOOKUP(D1000, Products!A:A, Products!D:D)</f>
        <v>1182</v>
      </c>
      <c r="P1000">
        <f>_xlfn.XLOOKUP(D1000, Products!A:A, Products!E:E)</f>
        <v>2380</v>
      </c>
    </row>
    <row r="1001" spans="1:16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 t="shared" si="15"/>
        <v>Hyderabad</v>
      </c>
      <c r="M1001" t="str">
        <f>_xlfn.XLOOKUP(D1001, Products!A:A, Products!C:C)</f>
        <v>Apparel</v>
      </c>
      <c r="N1001" t="str">
        <f>_xlfn.XLOOKUP(E1001, Sales_Reps!A:A, Sales_Reps!C:C)</f>
        <v>West</v>
      </c>
      <c r="O1001">
        <f>_xlfn.XLOOKUP(D1001, Products!A:A, Products!D:D)</f>
        <v>1748</v>
      </c>
      <c r="P1001">
        <f>_xlfn.XLOOKUP(D1001, Products!A:A, Products!E:E)</f>
        <v>3450</v>
      </c>
    </row>
    <row r="1002" spans="1:16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 t="shared" si="15"/>
        <v>Hyderabad</v>
      </c>
      <c r="M1002" t="str">
        <f>_xlfn.XLOOKUP(D1002, Products!A:A, Products!C:C)</f>
        <v>Apparel</v>
      </c>
      <c r="N1002" t="str">
        <f>_xlfn.XLOOKUP(E1002, Sales_Reps!A:A, Sales_Reps!C:C)</f>
        <v>North</v>
      </c>
      <c r="O1002">
        <f>_xlfn.XLOOKUP(D1002, Products!A:A, Products!D:D)</f>
        <v>1886</v>
      </c>
      <c r="P1002">
        <f>_xlfn.XLOOKUP(D1002, Products!A:A, Products!E:E)</f>
        <v>3160</v>
      </c>
    </row>
    <row r="1003" spans="1:16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 t="shared" si="15"/>
        <v>Chennai</v>
      </c>
      <c r="M1003" t="str">
        <f>_xlfn.XLOOKUP(D1003, Products!A:A, Products!C:C)</f>
        <v>Home</v>
      </c>
      <c r="N1003" t="str">
        <f>_xlfn.XLOOKUP(E1003, Sales_Reps!A:A, Sales_Reps!C:C)</f>
        <v>West</v>
      </c>
      <c r="O1003">
        <f>_xlfn.XLOOKUP(D1003, Products!A:A, Products!D:D)</f>
        <v>2549</v>
      </c>
      <c r="P1003">
        <f>_xlfn.XLOOKUP(D1003, Products!A:A, Products!E:E)</f>
        <v>5490</v>
      </c>
    </row>
    <row r="1004" spans="1:16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 t="shared" si="15"/>
        <v>Chennai</v>
      </c>
      <c r="M1004" t="str">
        <f>_xlfn.XLOOKUP(D1004, Products!A:A, Products!C:C)</f>
        <v>Sports</v>
      </c>
      <c r="N1004" t="str">
        <f>_xlfn.XLOOKUP(E1004, Sales_Reps!A:A, Sales_Reps!C:C)</f>
        <v>North</v>
      </c>
      <c r="O1004">
        <f>_xlfn.XLOOKUP(D1004, Products!A:A, Products!D:D)</f>
        <v>2028</v>
      </c>
      <c r="P1004">
        <f>_xlfn.XLOOKUP(D1004, Products!A:A, Products!E:E)</f>
        <v>2860</v>
      </c>
    </row>
    <row r="1005" spans="1:16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 t="shared" si="15"/>
        <v>Bengaluru</v>
      </c>
      <c r="M1005" t="str">
        <f>_xlfn.XLOOKUP(D1005, Products!A:A, Products!C:C)</f>
        <v>Beauty</v>
      </c>
      <c r="N1005" t="str">
        <f>_xlfn.XLOOKUP(E1005, Sales_Reps!A:A, Sales_Reps!C:C)</f>
        <v>South</v>
      </c>
      <c r="O1005">
        <f>_xlfn.XLOOKUP(D1005, Products!A:A, Products!D:D)</f>
        <v>675</v>
      </c>
      <c r="P1005">
        <f>_xlfn.XLOOKUP(D1005, Products!A:A, Products!E:E)</f>
        <v>960</v>
      </c>
    </row>
    <row r="1006" spans="1:16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 t="shared" si="15"/>
        <v>Bengaluru</v>
      </c>
      <c r="M1006" t="str">
        <f>_xlfn.XLOOKUP(D1006, Products!A:A, Products!C:C)</f>
        <v>Home</v>
      </c>
      <c r="N1006" t="str">
        <f>_xlfn.XLOOKUP(E1006, Sales_Reps!A:A, Sales_Reps!C:C)</f>
        <v>North</v>
      </c>
      <c r="O1006">
        <f>_xlfn.XLOOKUP(D1006, Products!A:A, Products!D:D)</f>
        <v>519</v>
      </c>
      <c r="P1006">
        <f>_xlfn.XLOOKUP(D1006, Products!A:A, Products!E:E)</f>
        <v>1080</v>
      </c>
    </row>
    <row r="1007" spans="1:16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 t="shared" si="15"/>
        <v>Pune</v>
      </c>
      <c r="M1007" t="str">
        <f>_xlfn.XLOOKUP(D1007, Products!A:A, Products!C:C)</f>
        <v>Sports</v>
      </c>
      <c r="N1007" t="str">
        <f>_xlfn.XLOOKUP(E1007, Sales_Reps!A:A, Sales_Reps!C:C)</f>
        <v>North</v>
      </c>
      <c r="O1007">
        <f>_xlfn.XLOOKUP(D1007, Products!A:A, Products!D:D)</f>
        <v>2028</v>
      </c>
      <c r="P1007">
        <f>_xlfn.XLOOKUP(D1007, Products!A:A, Products!E:E)</f>
        <v>2860</v>
      </c>
    </row>
    <row r="1008" spans="1:16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 t="shared" si="15"/>
        <v>Chennai</v>
      </c>
      <c r="M1008" t="str">
        <f>_xlfn.XLOOKUP(D1008, Products!A:A, Products!C:C)</f>
        <v>Apparel</v>
      </c>
      <c r="N1008" t="str">
        <f>_xlfn.XLOOKUP(E1008, Sales_Reps!A:A, Sales_Reps!C:C)</f>
        <v>North</v>
      </c>
      <c r="O1008">
        <f>_xlfn.XLOOKUP(D1008, Products!A:A, Products!D:D)</f>
        <v>2611</v>
      </c>
      <c r="P1008">
        <f>_xlfn.XLOOKUP(D1008, Products!A:A, Products!E:E)</f>
        <v>3640</v>
      </c>
    </row>
    <row r="1009" spans="1:16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 t="shared" si="15"/>
        <v>Hyderabad</v>
      </c>
      <c r="M1009" t="str">
        <f>_xlfn.XLOOKUP(D1009, Products!A:A, Products!C:C)</f>
        <v>Apparel</v>
      </c>
      <c r="N1009" t="str">
        <f>_xlfn.XLOOKUP(E1009, Sales_Reps!A:A, Sales_Reps!C:C)</f>
        <v>East</v>
      </c>
      <c r="O1009">
        <f>_xlfn.XLOOKUP(D1009, Products!A:A, Products!D:D)</f>
        <v>1962</v>
      </c>
      <c r="P1009">
        <f>_xlfn.XLOOKUP(D1009, Products!A:A, Products!E:E)</f>
        <v>2720</v>
      </c>
    </row>
    <row r="1010" spans="1:16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 t="shared" si="15"/>
        <v>Hyderabad</v>
      </c>
      <c r="M1010" t="str">
        <f>_xlfn.XLOOKUP(D1010, Products!A:A, Products!C:C)</f>
        <v>Grocery</v>
      </c>
      <c r="N1010" t="str">
        <f>_xlfn.XLOOKUP(E1010, Sales_Reps!A:A, Sales_Reps!C:C)</f>
        <v>North</v>
      </c>
      <c r="O1010">
        <f>_xlfn.XLOOKUP(D1010, Products!A:A, Products!D:D)</f>
        <v>1203</v>
      </c>
      <c r="P1010">
        <f>_xlfn.XLOOKUP(D1010, Products!A:A, Products!E:E)</f>
        <v>2270</v>
      </c>
    </row>
    <row r="1011" spans="1:16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 t="shared" si="15"/>
        <v>Hyderabad</v>
      </c>
      <c r="M1011" t="str">
        <f>_xlfn.XLOOKUP(D1011, Products!A:A, Products!C:C)</f>
        <v>Electronics</v>
      </c>
      <c r="N1011" t="str">
        <f>_xlfn.XLOOKUP(E1011, Sales_Reps!A:A, Sales_Reps!C:C)</f>
        <v>West</v>
      </c>
      <c r="O1011">
        <f>_xlfn.XLOOKUP(D1011, Products!A:A, Products!D:D)</f>
        <v>517</v>
      </c>
      <c r="P1011">
        <f>_xlfn.XLOOKUP(D1011, Products!A:A, Products!E:E)</f>
        <v>1220</v>
      </c>
    </row>
    <row r="1012" spans="1:16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 t="shared" si="15"/>
        <v>Hyderabad</v>
      </c>
      <c r="M1012" t="str">
        <f>_xlfn.XLOOKUP(D1012, Products!A:A, Products!C:C)</f>
        <v>Electronics</v>
      </c>
      <c r="N1012" t="str">
        <f>_xlfn.XLOOKUP(E1012, Sales_Reps!A:A, Sales_Reps!C:C)</f>
        <v>South</v>
      </c>
      <c r="O1012">
        <f>_xlfn.XLOOKUP(D1012, Products!A:A, Products!D:D)</f>
        <v>1149</v>
      </c>
      <c r="P1012">
        <f>_xlfn.XLOOKUP(D1012, Products!A:A, Products!E:E)</f>
        <v>2640</v>
      </c>
    </row>
    <row r="1013" spans="1:16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 t="shared" si="15"/>
        <v>Bengaluru</v>
      </c>
      <c r="M1013" t="str">
        <f>_xlfn.XLOOKUP(D1013, Products!A:A, Products!C:C)</f>
        <v>Grocery</v>
      </c>
      <c r="N1013" t="str">
        <f>_xlfn.XLOOKUP(E1013, Sales_Reps!A:A, Sales_Reps!C:C)</f>
        <v>South</v>
      </c>
      <c r="O1013">
        <f>_xlfn.XLOOKUP(D1013, Products!A:A, Products!D:D)</f>
        <v>434</v>
      </c>
      <c r="P1013">
        <f>_xlfn.XLOOKUP(D1013, Products!A:A, Products!E:E)</f>
        <v>970</v>
      </c>
    </row>
    <row r="1014" spans="1:16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 t="shared" si="15"/>
        <v>Pune</v>
      </c>
      <c r="M1014" t="str">
        <f>_xlfn.XLOOKUP(D1014, Products!A:A, Products!C:C)</f>
        <v>Home</v>
      </c>
      <c r="N1014" t="str">
        <f>_xlfn.XLOOKUP(E1014, Sales_Reps!A:A, Sales_Reps!C:C)</f>
        <v>West</v>
      </c>
      <c r="O1014">
        <f>_xlfn.XLOOKUP(D1014, Products!A:A, Products!D:D)</f>
        <v>2135</v>
      </c>
      <c r="P1014">
        <f>_xlfn.XLOOKUP(D1014, Products!A:A, Products!E:E)</f>
        <v>3730</v>
      </c>
    </row>
    <row r="1015" spans="1:16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 t="shared" si="15"/>
        <v>Pune</v>
      </c>
      <c r="M1015" t="str">
        <f>_xlfn.XLOOKUP(D1015, Products!A:A, Products!C:C)</f>
        <v>Grocery</v>
      </c>
      <c r="N1015" t="str">
        <f>_xlfn.XLOOKUP(E1015, Sales_Reps!A:A, Sales_Reps!C:C)</f>
        <v>West</v>
      </c>
      <c r="O1015">
        <f>_xlfn.XLOOKUP(D1015, Products!A:A, Products!D:D)</f>
        <v>434</v>
      </c>
      <c r="P1015">
        <f>_xlfn.XLOOKUP(D1015, Products!A:A, Products!E:E)</f>
        <v>970</v>
      </c>
    </row>
    <row r="1016" spans="1:16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 t="shared" si="15"/>
        <v>Delhi</v>
      </c>
      <c r="M1016" t="str">
        <f>_xlfn.XLOOKUP(D1016, Products!A:A, Products!C:C)</f>
        <v>Electronics</v>
      </c>
      <c r="N1016" t="str">
        <f>_xlfn.XLOOKUP(E1016, Sales_Reps!A:A, Sales_Reps!C:C)</f>
        <v>East</v>
      </c>
      <c r="O1016">
        <f>_xlfn.XLOOKUP(D1016, Products!A:A, Products!D:D)</f>
        <v>1665</v>
      </c>
      <c r="P1016">
        <f>_xlfn.XLOOKUP(D1016, Products!A:A, Products!E:E)</f>
        <v>3570</v>
      </c>
    </row>
    <row r="1017" spans="1:16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 t="shared" si="15"/>
        <v>Chennai</v>
      </c>
      <c r="M1017" t="str">
        <f>_xlfn.XLOOKUP(D1017, Products!A:A, Products!C:C)</f>
        <v>Grocery</v>
      </c>
      <c r="N1017" t="str">
        <f>_xlfn.XLOOKUP(E1017, Sales_Reps!A:A, Sales_Reps!C:C)</f>
        <v>South</v>
      </c>
      <c r="O1017">
        <f>_xlfn.XLOOKUP(D1017, Products!A:A, Products!D:D)</f>
        <v>434</v>
      </c>
      <c r="P1017">
        <f>_xlfn.XLOOKUP(D1017, Products!A:A, Products!E:E)</f>
        <v>970</v>
      </c>
    </row>
    <row r="1018" spans="1:16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 t="shared" si="15"/>
        <v>Delhi</v>
      </c>
      <c r="M1018" t="str">
        <f>_xlfn.XLOOKUP(D1018, Products!A:A, Products!C:C)</f>
        <v>Sports</v>
      </c>
      <c r="N1018" t="str">
        <f>_xlfn.XLOOKUP(E1018, Sales_Reps!A:A, Sales_Reps!C:C)</f>
        <v>South</v>
      </c>
      <c r="O1018">
        <f>_xlfn.XLOOKUP(D1018, Products!A:A, Products!D:D)</f>
        <v>1860</v>
      </c>
      <c r="P1018">
        <f>_xlfn.XLOOKUP(D1018, Products!A:A, Products!E:E)</f>
        <v>3780</v>
      </c>
    </row>
    <row r="1019" spans="1:16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 t="shared" si="15"/>
        <v>Bengaluru</v>
      </c>
      <c r="M1019" t="str">
        <f>_xlfn.XLOOKUP(D1019, Products!A:A, Products!C:C)</f>
        <v>Sports</v>
      </c>
      <c r="N1019" t="str">
        <f>_xlfn.XLOOKUP(E1019, Sales_Reps!A:A, Sales_Reps!C:C)</f>
        <v>South</v>
      </c>
      <c r="O1019">
        <f>_xlfn.XLOOKUP(D1019, Products!A:A, Products!D:D)</f>
        <v>974</v>
      </c>
      <c r="P1019">
        <f>_xlfn.XLOOKUP(D1019, Products!A:A, Products!E:E)</f>
        <v>2400</v>
      </c>
    </row>
    <row r="1020" spans="1:16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 t="shared" si="15"/>
        <v>Delhi</v>
      </c>
      <c r="M1020" t="str">
        <f>_xlfn.XLOOKUP(D1020, Products!A:A, Products!C:C)</f>
        <v>Home</v>
      </c>
      <c r="N1020" t="str">
        <f>_xlfn.XLOOKUP(E1020, Sales_Reps!A:A, Sales_Reps!C:C)</f>
        <v>East</v>
      </c>
      <c r="O1020">
        <f>_xlfn.XLOOKUP(D1020, Products!A:A, Products!D:D)</f>
        <v>1556</v>
      </c>
      <c r="P1020">
        <f>_xlfn.XLOOKUP(D1020, Products!A:A, Products!E:E)</f>
        <v>3250</v>
      </c>
    </row>
    <row r="1021" spans="1:16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 t="shared" si="15"/>
        <v>Hyderabad</v>
      </c>
      <c r="M1021" t="str">
        <f>_xlfn.XLOOKUP(D1021, Products!A:A, Products!C:C)</f>
        <v>Grocery</v>
      </c>
      <c r="N1021" t="str">
        <f>_xlfn.XLOOKUP(E1021, Sales_Reps!A:A, Sales_Reps!C:C)</f>
        <v>South</v>
      </c>
      <c r="O1021">
        <f>_xlfn.XLOOKUP(D1021, Products!A:A, Products!D:D)</f>
        <v>1435</v>
      </c>
      <c r="P1021">
        <f>_xlfn.XLOOKUP(D1021, Products!A:A, Products!E:E)</f>
        <v>2760</v>
      </c>
    </row>
    <row r="1022" spans="1:16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 t="shared" si="15"/>
        <v>Bengaluru</v>
      </c>
      <c r="M1022" t="str">
        <f>_xlfn.XLOOKUP(D1022, Products!A:A, Products!C:C)</f>
        <v>Electronics</v>
      </c>
      <c r="N1022" t="str">
        <f>_xlfn.XLOOKUP(E1022, Sales_Reps!A:A, Sales_Reps!C:C)</f>
        <v>North</v>
      </c>
      <c r="O1022">
        <f>_xlfn.XLOOKUP(D1022, Products!A:A, Products!D:D)</f>
        <v>1665</v>
      </c>
      <c r="P1022">
        <f>_xlfn.XLOOKUP(D1022, Products!A:A, Products!E:E)</f>
        <v>3570</v>
      </c>
    </row>
    <row r="1023" spans="1:16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 t="shared" si="15"/>
        <v>Chennai</v>
      </c>
      <c r="M1023" t="str">
        <f>_xlfn.XLOOKUP(D1023, Products!A:A, Products!C:C)</f>
        <v>Grocery</v>
      </c>
      <c r="N1023" t="str">
        <f>_xlfn.XLOOKUP(E1023, Sales_Reps!A:A, Sales_Reps!C:C)</f>
        <v>South</v>
      </c>
      <c r="O1023">
        <f>_xlfn.XLOOKUP(D1023, Products!A:A, Products!D:D)</f>
        <v>2436</v>
      </c>
      <c r="P1023">
        <f>_xlfn.XLOOKUP(D1023, Products!A:A, Products!E:E)</f>
        <v>3780</v>
      </c>
    </row>
    <row r="1024" spans="1:16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 t="shared" si="15"/>
        <v>Chennai</v>
      </c>
      <c r="M1024" t="str">
        <f>_xlfn.XLOOKUP(D1024, Products!A:A, Products!C:C)</f>
        <v>Electronics</v>
      </c>
      <c r="N1024" t="str">
        <f>_xlfn.XLOOKUP(E1024, Sales_Reps!A:A, Sales_Reps!C:C)</f>
        <v>East</v>
      </c>
      <c r="O1024">
        <f>_xlfn.XLOOKUP(D1024, Products!A:A, Products!D:D)</f>
        <v>861</v>
      </c>
      <c r="P1024">
        <f>_xlfn.XLOOKUP(D1024, Products!A:A, Products!E:E)</f>
        <v>1430</v>
      </c>
    </row>
    <row r="1025" spans="1:16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 t="shared" si="15"/>
        <v>Hyderabad</v>
      </c>
      <c r="M1025" t="str">
        <f>_xlfn.XLOOKUP(D1025, Products!A:A, Products!C:C)</f>
        <v>Grocery</v>
      </c>
      <c r="N1025" t="str">
        <f>_xlfn.XLOOKUP(E1025, Sales_Reps!A:A, Sales_Reps!C:C)</f>
        <v>South</v>
      </c>
      <c r="O1025">
        <f>_xlfn.XLOOKUP(D1025, Products!A:A, Products!D:D)</f>
        <v>1412</v>
      </c>
      <c r="P1025">
        <f>_xlfn.XLOOKUP(D1025, Products!A:A, Products!E:E)</f>
        <v>2270</v>
      </c>
    </row>
    <row r="1026" spans="1:16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 t="shared" si="15"/>
        <v>Hyderabad</v>
      </c>
      <c r="M1026" t="str">
        <f>_xlfn.XLOOKUP(D1026, Products!A:A, Products!C:C)</f>
        <v>Sports</v>
      </c>
      <c r="N1026" t="str">
        <f>_xlfn.XLOOKUP(E1026, Sales_Reps!A:A, Sales_Reps!C:C)</f>
        <v>South</v>
      </c>
      <c r="O1026">
        <f>_xlfn.XLOOKUP(D1026, Products!A:A, Products!D:D)</f>
        <v>516</v>
      </c>
      <c r="P1026">
        <f>_xlfn.XLOOKUP(D1026, Products!A:A, Products!E:E)</f>
        <v>1010</v>
      </c>
    </row>
    <row r="1027" spans="1:16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 t="shared" ref="L1027:L1090" si="16">PROPER(TRIM(K1027))</f>
        <v>Hyderabad</v>
      </c>
      <c r="M1027" t="str">
        <f>_xlfn.XLOOKUP(D1027, Products!A:A, Products!C:C)</f>
        <v>Sports</v>
      </c>
      <c r="N1027" t="str">
        <f>_xlfn.XLOOKUP(E1027, Sales_Reps!A:A, Sales_Reps!C:C)</f>
        <v>South</v>
      </c>
      <c r="O1027">
        <f>_xlfn.XLOOKUP(D1027, Products!A:A, Products!D:D)</f>
        <v>2028</v>
      </c>
      <c r="P1027">
        <f>_xlfn.XLOOKUP(D1027, Products!A:A, Products!E:E)</f>
        <v>2860</v>
      </c>
    </row>
    <row r="1028" spans="1:16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 t="shared" si="16"/>
        <v>Chennai</v>
      </c>
      <c r="M1028" t="str">
        <f>_xlfn.XLOOKUP(D1028, Products!A:A, Products!C:C)</f>
        <v>Electronics</v>
      </c>
      <c r="N1028" t="str">
        <f>_xlfn.XLOOKUP(E1028, Sales_Reps!A:A, Sales_Reps!C:C)</f>
        <v>East</v>
      </c>
      <c r="O1028">
        <f>_xlfn.XLOOKUP(D1028, Products!A:A, Products!D:D)</f>
        <v>1052</v>
      </c>
      <c r="P1028">
        <f>_xlfn.XLOOKUP(D1028, Products!A:A, Products!E:E)</f>
        <v>2600</v>
      </c>
    </row>
    <row r="1029" spans="1:16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 t="shared" si="16"/>
        <v>Pune</v>
      </c>
      <c r="M1029" t="str">
        <f>_xlfn.XLOOKUP(D1029, Products!A:A, Products!C:C)</f>
        <v>Sports</v>
      </c>
      <c r="N1029" t="str">
        <f>_xlfn.XLOOKUP(E1029, Sales_Reps!A:A, Sales_Reps!C:C)</f>
        <v>West</v>
      </c>
      <c r="O1029">
        <f>_xlfn.XLOOKUP(D1029, Products!A:A, Products!D:D)</f>
        <v>302</v>
      </c>
      <c r="P1029">
        <f>_xlfn.XLOOKUP(D1029, Products!A:A, Products!E:E)</f>
        <v>470</v>
      </c>
    </row>
    <row r="1030" spans="1:16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 t="shared" si="16"/>
        <v>Hyderabad</v>
      </c>
      <c r="M1030" t="str">
        <f>_xlfn.XLOOKUP(D1030, Products!A:A, Products!C:C)</f>
        <v>Home</v>
      </c>
      <c r="N1030" t="str">
        <f>_xlfn.XLOOKUP(E1030, Sales_Reps!A:A, Sales_Reps!C:C)</f>
        <v>South</v>
      </c>
      <c r="O1030">
        <f>_xlfn.XLOOKUP(D1030, Products!A:A, Products!D:D)</f>
        <v>329</v>
      </c>
      <c r="P1030">
        <f>_xlfn.XLOOKUP(D1030, Products!A:A, Products!E:E)</f>
        <v>660</v>
      </c>
    </row>
    <row r="1031" spans="1:16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 t="shared" si="16"/>
        <v>Pune</v>
      </c>
      <c r="M1031" t="str">
        <f>_xlfn.XLOOKUP(D1031, Products!A:A, Products!C:C)</f>
        <v>Electronics</v>
      </c>
      <c r="N1031" t="str">
        <f>_xlfn.XLOOKUP(E1031, Sales_Reps!A:A, Sales_Reps!C:C)</f>
        <v>East</v>
      </c>
      <c r="O1031">
        <f>_xlfn.XLOOKUP(D1031, Products!A:A, Products!D:D)</f>
        <v>517</v>
      </c>
      <c r="P1031">
        <f>_xlfn.XLOOKUP(D1031, Products!A:A, Products!E:E)</f>
        <v>1220</v>
      </c>
    </row>
    <row r="1032" spans="1:16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 t="shared" si="16"/>
        <v>Delhi</v>
      </c>
      <c r="M1032" t="str">
        <f>_xlfn.XLOOKUP(D1032, Products!A:A, Products!C:C)</f>
        <v>Home</v>
      </c>
      <c r="N1032" t="str">
        <f>_xlfn.XLOOKUP(E1032, Sales_Reps!A:A, Sales_Reps!C:C)</f>
        <v>South</v>
      </c>
      <c r="O1032">
        <f>_xlfn.XLOOKUP(D1032, Products!A:A, Products!D:D)</f>
        <v>1556</v>
      </c>
      <c r="P1032">
        <f>_xlfn.XLOOKUP(D1032, Products!A:A, Products!E:E)</f>
        <v>3250</v>
      </c>
    </row>
    <row r="1033" spans="1:16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 t="shared" si="16"/>
        <v>Bengaluru</v>
      </c>
      <c r="M1033" t="str">
        <f>_xlfn.XLOOKUP(D1033, Products!A:A, Products!C:C)</f>
        <v>Apparel</v>
      </c>
      <c r="N1033" t="str">
        <f>_xlfn.XLOOKUP(E1033, Sales_Reps!A:A, Sales_Reps!C:C)</f>
        <v>East</v>
      </c>
      <c r="O1033">
        <f>_xlfn.XLOOKUP(D1033, Products!A:A, Products!D:D)</f>
        <v>396</v>
      </c>
      <c r="P1033">
        <f>_xlfn.XLOOKUP(D1033, Products!A:A, Products!E:E)</f>
        <v>620</v>
      </c>
    </row>
    <row r="1034" spans="1:16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 t="shared" si="16"/>
        <v>Chennai</v>
      </c>
      <c r="M1034" t="str">
        <f>_xlfn.XLOOKUP(D1034, Products!A:A, Products!C:C)</f>
        <v>Grocery</v>
      </c>
      <c r="N1034" t="str">
        <f>_xlfn.XLOOKUP(E1034, Sales_Reps!A:A, Sales_Reps!C:C)</f>
        <v>North</v>
      </c>
      <c r="O1034">
        <f>_xlfn.XLOOKUP(D1034, Products!A:A, Products!D:D)</f>
        <v>2027</v>
      </c>
      <c r="P1034">
        <f>_xlfn.XLOOKUP(D1034, Products!A:A, Products!E:E)</f>
        <v>4070</v>
      </c>
    </row>
    <row r="1035" spans="1:16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 t="shared" si="16"/>
        <v>Bengaluru</v>
      </c>
      <c r="M1035" t="str">
        <f>_xlfn.XLOOKUP(D1035, Products!A:A, Products!C:C)</f>
        <v>Apparel</v>
      </c>
      <c r="N1035" t="str">
        <f>_xlfn.XLOOKUP(E1035, Sales_Reps!A:A, Sales_Reps!C:C)</f>
        <v>North</v>
      </c>
      <c r="O1035">
        <f>_xlfn.XLOOKUP(D1035, Products!A:A, Products!D:D)</f>
        <v>1886</v>
      </c>
      <c r="P1035">
        <f>_xlfn.XLOOKUP(D1035, Products!A:A, Products!E:E)</f>
        <v>3160</v>
      </c>
    </row>
    <row r="1036" spans="1:16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 t="shared" si="16"/>
        <v>Chennai</v>
      </c>
      <c r="M1036" t="str">
        <f>_xlfn.XLOOKUP(D1036, Products!A:A, Products!C:C)</f>
        <v>Grocery</v>
      </c>
      <c r="N1036" t="str">
        <f>_xlfn.XLOOKUP(E1036, Sales_Reps!A:A, Sales_Reps!C:C)</f>
        <v>East</v>
      </c>
      <c r="O1036">
        <f>_xlfn.XLOOKUP(D1036, Products!A:A, Products!D:D)</f>
        <v>1010</v>
      </c>
      <c r="P1036">
        <f>_xlfn.XLOOKUP(D1036, Products!A:A, Products!E:E)</f>
        <v>2210</v>
      </c>
    </row>
    <row r="1037" spans="1:16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 t="shared" si="16"/>
        <v>Chennai</v>
      </c>
      <c r="M1037" t="str">
        <f>_xlfn.XLOOKUP(D1037, Products!A:A, Products!C:C)</f>
        <v>Sports</v>
      </c>
      <c r="N1037" t="str">
        <f>_xlfn.XLOOKUP(E1037, Sales_Reps!A:A, Sales_Reps!C:C)</f>
        <v>West</v>
      </c>
      <c r="O1037">
        <f>_xlfn.XLOOKUP(D1037, Products!A:A, Products!D:D)</f>
        <v>302</v>
      </c>
      <c r="P1037">
        <f>_xlfn.XLOOKUP(D1037, Products!A:A, Products!E:E)</f>
        <v>470</v>
      </c>
    </row>
    <row r="1038" spans="1:16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 t="shared" si="16"/>
        <v>Chennai</v>
      </c>
      <c r="M1038" t="str">
        <f>_xlfn.XLOOKUP(D1038, Products!A:A, Products!C:C)</f>
        <v>Home</v>
      </c>
      <c r="N1038" t="str">
        <f>_xlfn.XLOOKUP(E1038, Sales_Reps!A:A, Sales_Reps!C:C)</f>
        <v>East</v>
      </c>
      <c r="O1038">
        <f>_xlfn.XLOOKUP(D1038, Products!A:A, Products!D:D)</f>
        <v>288</v>
      </c>
      <c r="P1038">
        <f>_xlfn.XLOOKUP(D1038, Products!A:A, Products!E:E)</f>
        <v>370</v>
      </c>
    </row>
    <row r="1039" spans="1:16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 t="shared" si="16"/>
        <v>Mumbai</v>
      </c>
      <c r="M1039" t="str">
        <f>_xlfn.XLOOKUP(D1039, Products!A:A, Products!C:C)</f>
        <v>Sports</v>
      </c>
      <c r="N1039" t="str">
        <f>_xlfn.XLOOKUP(E1039, Sales_Reps!A:A, Sales_Reps!C:C)</f>
        <v>East</v>
      </c>
      <c r="O1039">
        <f>_xlfn.XLOOKUP(D1039, Products!A:A, Products!D:D)</f>
        <v>1860</v>
      </c>
      <c r="P1039">
        <f>_xlfn.XLOOKUP(D1039, Products!A:A, Products!E:E)</f>
        <v>3780</v>
      </c>
    </row>
    <row r="1040" spans="1:16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 t="shared" si="16"/>
        <v>Delhi</v>
      </c>
      <c r="M1040" t="str">
        <f>_xlfn.XLOOKUP(D1040, Products!A:A, Products!C:C)</f>
        <v>Sports</v>
      </c>
      <c r="N1040" t="str">
        <f>_xlfn.XLOOKUP(E1040, Sales_Reps!A:A, Sales_Reps!C:C)</f>
        <v>South</v>
      </c>
      <c r="O1040">
        <f>_xlfn.XLOOKUP(D1040, Products!A:A, Products!D:D)</f>
        <v>2827</v>
      </c>
      <c r="P1040">
        <f>_xlfn.XLOOKUP(D1040, Products!A:A, Products!E:E)</f>
        <v>6940</v>
      </c>
    </row>
    <row r="1041" spans="1:16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 t="shared" si="16"/>
        <v>Delhi</v>
      </c>
      <c r="M1041" t="str">
        <f>_xlfn.XLOOKUP(D1041, Products!A:A, Products!C:C)</f>
        <v>Home</v>
      </c>
      <c r="N1041" t="str">
        <f>_xlfn.XLOOKUP(E1041, Sales_Reps!A:A, Sales_Reps!C:C)</f>
        <v>East</v>
      </c>
      <c r="O1041">
        <f>_xlfn.XLOOKUP(D1041, Products!A:A, Products!D:D)</f>
        <v>2135</v>
      </c>
      <c r="P1041">
        <f>_xlfn.XLOOKUP(D1041, Products!A:A, Products!E:E)</f>
        <v>3730</v>
      </c>
    </row>
    <row r="1042" spans="1:16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 t="shared" si="16"/>
        <v>Mumbai</v>
      </c>
      <c r="M1042" t="str">
        <f>_xlfn.XLOOKUP(D1042, Products!A:A, Products!C:C)</f>
        <v>Home</v>
      </c>
      <c r="N1042" t="str">
        <f>_xlfn.XLOOKUP(E1042, Sales_Reps!A:A, Sales_Reps!C:C)</f>
        <v>West</v>
      </c>
      <c r="O1042">
        <f>_xlfn.XLOOKUP(D1042, Products!A:A, Products!D:D)</f>
        <v>2459</v>
      </c>
      <c r="P1042">
        <f>_xlfn.XLOOKUP(D1042, Products!A:A, Products!E:E)</f>
        <v>5080</v>
      </c>
    </row>
    <row r="1043" spans="1:16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 t="shared" si="16"/>
        <v>Hyderabad</v>
      </c>
      <c r="M1043" t="str">
        <f>_xlfn.XLOOKUP(D1043, Products!A:A, Products!C:C)</f>
        <v>Sports</v>
      </c>
      <c r="N1043" t="str">
        <f>_xlfn.XLOOKUP(E1043, Sales_Reps!A:A, Sales_Reps!C:C)</f>
        <v>North</v>
      </c>
      <c r="O1043">
        <f>_xlfn.XLOOKUP(D1043, Products!A:A, Products!D:D)</f>
        <v>2265</v>
      </c>
      <c r="P1043">
        <f>_xlfn.XLOOKUP(D1043, Products!A:A, Products!E:E)</f>
        <v>5410</v>
      </c>
    </row>
    <row r="1044" spans="1:16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 t="shared" si="16"/>
        <v>Delhi</v>
      </c>
      <c r="M1044" t="str">
        <f>_xlfn.XLOOKUP(D1044, Products!A:A, Products!C:C)</f>
        <v>Apparel</v>
      </c>
      <c r="N1044" t="str">
        <f>_xlfn.XLOOKUP(E1044, Sales_Reps!A:A, Sales_Reps!C:C)</f>
        <v>West</v>
      </c>
      <c r="O1044">
        <f>_xlfn.XLOOKUP(D1044, Products!A:A, Products!D:D)</f>
        <v>1962</v>
      </c>
      <c r="P1044">
        <f>_xlfn.XLOOKUP(D1044, Products!A:A, Products!E:E)</f>
        <v>2720</v>
      </c>
    </row>
    <row r="1045" spans="1:16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 t="shared" si="16"/>
        <v>Bengaluru</v>
      </c>
      <c r="M1045" t="str">
        <f>_xlfn.XLOOKUP(D1045, Products!A:A, Products!C:C)</f>
        <v>Electronics</v>
      </c>
      <c r="N1045" t="str">
        <f>_xlfn.XLOOKUP(E1045, Sales_Reps!A:A, Sales_Reps!C:C)</f>
        <v>South</v>
      </c>
      <c r="O1045">
        <f>_xlfn.XLOOKUP(D1045, Products!A:A, Products!D:D)</f>
        <v>517</v>
      </c>
      <c r="P1045">
        <f>_xlfn.XLOOKUP(D1045, Products!A:A, Products!E:E)</f>
        <v>1220</v>
      </c>
    </row>
    <row r="1046" spans="1:16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 t="shared" si="16"/>
        <v>Chennai</v>
      </c>
      <c r="M1046" t="str">
        <f>_xlfn.XLOOKUP(D1046, Products!A:A, Products!C:C)</f>
        <v>Beauty</v>
      </c>
      <c r="N1046" t="str">
        <f>_xlfn.XLOOKUP(E1046, Sales_Reps!A:A, Sales_Reps!C:C)</f>
        <v>North</v>
      </c>
      <c r="O1046">
        <f>_xlfn.XLOOKUP(D1046, Products!A:A, Products!D:D)</f>
        <v>2768</v>
      </c>
      <c r="P1046">
        <f>_xlfn.XLOOKUP(D1046, Products!A:A, Products!E:E)</f>
        <v>4880</v>
      </c>
    </row>
    <row r="1047" spans="1:16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 t="shared" si="16"/>
        <v>Mumbai</v>
      </c>
      <c r="M1047" t="str">
        <f>_xlfn.XLOOKUP(D1047, Products!A:A, Products!C:C)</f>
        <v>Grocery</v>
      </c>
      <c r="N1047" t="str">
        <f>_xlfn.XLOOKUP(E1047, Sales_Reps!A:A, Sales_Reps!C:C)</f>
        <v>East</v>
      </c>
      <c r="O1047">
        <f>_xlfn.XLOOKUP(D1047, Products!A:A, Products!D:D)</f>
        <v>1412</v>
      </c>
      <c r="P1047">
        <f>_xlfn.XLOOKUP(D1047, Products!A:A, Products!E:E)</f>
        <v>2270</v>
      </c>
    </row>
    <row r="1048" spans="1:16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 t="shared" si="16"/>
        <v>Pune</v>
      </c>
      <c r="M1048" t="str">
        <f>_xlfn.XLOOKUP(D1048, Products!A:A, Products!C:C)</f>
        <v>Grocery</v>
      </c>
      <c r="N1048" t="str">
        <f>_xlfn.XLOOKUP(E1048, Sales_Reps!A:A, Sales_Reps!C:C)</f>
        <v>North</v>
      </c>
      <c r="O1048">
        <f>_xlfn.XLOOKUP(D1048, Products!A:A, Products!D:D)</f>
        <v>434</v>
      </c>
      <c r="P1048">
        <f>_xlfn.XLOOKUP(D1048, Products!A:A, Products!E:E)</f>
        <v>970</v>
      </c>
    </row>
    <row r="1049" spans="1:16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 t="shared" si="16"/>
        <v>Delhi</v>
      </c>
      <c r="M1049" t="str">
        <f>_xlfn.XLOOKUP(D1049, Products!A:A, Products!C:C)</f>
        <v>Grocery</v>
      </c>
      <c r="N1049" t="str">
        <f>_xlfn.XLOOKUP(E1049, Sales_Reps!A:A, Sales_Reps!C:C)</f>
        <v>South</v>
      </c>
      <c r="O1049">
        <f>_xlfn.XLOOKUP(D1049, Products!A:A, Products!D:D)</f>
        <v>1182</v>
      </c>
      <c r="P1049">
        <f>_xlfn.XLOOKUP(D1049, Products!A:A, Products!E:E)</f>
        <v>2380</v>
      </c>
    </row>
    <row r="1050" spans="1:16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 t="shared" si="16"/>
        <v>Hyderabad</v>
      </c>
      <c r="M1050" t="str">
        <f>_xlfn.XLOOKUP(D1050, Products!A:A, Products!C:C)</f>
        <v>Apparel</v>
      </c>
      <c r="N1050" t="str">
        <f>_xlfn.XLOOKUP(E1050, Sales_Reps!A:A, Sales_Reps!C:C)</f>
        <v>South</v>
      </c>
      <c r="O1050">
        <f>_xlfn.XLOOKUP(D1050, Products!A:A, Products!D:D)</f>
        <v>2509</v>
      </c>
      <c r="P1050">
        <f>_xlfn.XLOOKUP(D1050, Products!A:A, Products!E:E)</f>
        <v>3620</v>
      </c>
    </row>
    <row r="1051" spans="1:16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 t="shared" si="16"/>
        <v>Delhi</v>
      </c>
      <c r="M1051" t="str">
        <f>_xlfn.XLOOKUP(D1051, Products!A:A, Products!C:C)</f>
        <v>Grocery</v>
      </c>
      <c r="N1051" t="str">
        <f>_xlfn.XLOOKUP(E1051, Sales_Reps!A:A, Sales_Reps!C:C)</f>
        <v>West</v>
      </c>
      <c r="O1051">
        <f>_xlfn.XLOOKUP(D1051, Products!A:A, Products!D:D)</f>
        <v>2027</v>
      </c>
      <c r="P1051">
        <f>_xlfn.XLOOKUP(D1051, Products!A:A, Products!E:E)</f>
        <v>4070</v>
      </c>
    </row>
    <row r="1052" spans="1:16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 t="shared" si="16"/>
        <v>Hyderabad</v>
      </c>
      <c r="M1052" t="str">
        <f>_xlfn.XLOOKUP(D1052, Products!A:A, Products!C:C)</f>
        <v>Beauty</v>
      </c>
      <c r="N1052" t="str">
        <f>_xlfn.XLOOKUP(E1052, Sales_Reps!A:A, Sales_Reps!C:C)</f>
        <v>West</v>
      </c>
      <c r="O1052">
        <f>_xlfn.XLOOKUP(D1052, Products!A:A, Products!D:D)</f>
        <v>2237</v>
      </c>
      <c r="P1052">
        <f>_xlfn.XLOOKUP(D1052, Products!A:A, Products!E:E)</f>
        <v>5100</v>
      </c>
    </row>
    <row r="1053" spans="1:16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 t="shared" si="16"/>
        <v>Mumbai</v>
      </c>
      <c r="M1053" t="str">
        <f>_xlfn.XLOOKUP(D1053, Products!A:A, Products!C:C)</f>
        <v>Beauty</v>
      </c>
      <c r="N1053" t="str">
        <f>_xlfn.XLOOKUP(E1053, Sales_Reps!A:A, Sales_Reps!C:C)</f>
        <v>East</v>
      </c>
      <c r="O1053">
        <f>_xlfn.XLOOKUP(D1053, Products!A:A, Products!D:D)</f>
        <v>1626</v>
      </c>
      <c r="P1053">
        <f>_xlfn.XLOOKUP(D1053, Products!A:A, Products!E:E)</f>
        <v>3020</v>
      </c>
    </row>
    <row r="1054" spans="1:16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 t="shared" si="16"/>
        <v>Pune</v>
      </c>
      <c r="M1054" t="str">
        <f>_xlfn.XLOOKUP(D1054, Products!A:A, Products!C:C)</f>
        <v>Beauty</v>
      </c>
      <c r="N1054" t="str">
        <f>_xlfn.XLOOKUP(E1054, Sales_Reps!A:A, Sales_Reps!C:C)</f>
        <v>North</v>
      </c>
      <c r="O1054">
        <f>_xlfn.XLOOKUP(D1054, Products!A:A, Products!D:D)</f>
        <v>675</v>
      </c>
      <c r="P1054">
        <f>_xlfn.XLOOKUP(D1054, Products!A:A, Products!E:E)</f>
        <v>960</v>
      </c>
    </row>
    <row r="1055" spans="1:16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 t="shared" si="16"/>
        <v>Chennai</v>
      </c>
      <c r="M1055" t="str">
        <f>_xlfn.XLOOKUP(D1055, Products!A:A, Products!C:C)</f>
        <v>Home</v>
      </c>
      <c r="N1055" t="str">
        <f>_xlfn.XLOOKUP(E1055, Sales_Reps!A:A, Sales_Reps!C:C)</f>
        <v>South</v>
      </c>
      <c r="O1055">
        <f>_xlfn.XLOOKUP(D1055, Products!A:A, Products!D:D)</f>
        <v>2459</v>
      </c>
      <c r="P1055">
        <f>_xlfn.XLOOKUP(D1055, Products!A:A, Products!E:E)</f>
        <v>5080</v>
      </c>
    </row>
    <row r="1056" spans="1:16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 t="shared" si="16"/>
        <v>Chennai</v>
      </c>
      <c r="M1056" t="str">
        <f>_xlfn.XLOOKUP(D1056, Products!A:A, Products!C:C)</f>
        <v>Beauty</v>
      </c>
      <c r="N1056" t="str">
        <f>_xlfn.XLOOKUP(E1056, Sales_Reps!A:A, Sales_Reps!C:C)</f>
        <v>South</v>
      </c>
      <c r="O1056">
        <f>_xlfn.XLOOKUP(D1056, Products!A:A, Products!D:D)</f>
        <v>2617</v>
      </c>
      <c r="P1056">
        <f>_xlfn.XLOOKUP(D1056, Products!A:A, Products!E:E)</f>
        <v>6080</v>
      </c>
    </row>
    <row r="1057" spans="1:16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 t="shared" si="16"/>
        <v>Hyderabad</v>
      </c>
      <c r="M1057" t="str">
        <f>_xlfn.XLOOKUP(D1057, Products!A:A, Products!C:C)</f>
        <v>Beauty</v>
      </c>
      <c r="N1057" t="str">
        <f>_xlfn.XLOOKUP(E1057, Sales_Reps!A:A, Sales_Reps!C:C)</f>
        <v>South</v>
      </c>
      <c r="O1057">
        <f>_xlfn.XLOOKUP(D1057, Products!A:A, Products!D:D)</f>
        <v>647</v>
      </c>
      <c r="P1057">
        <f>_xlfn.XLOOKUP(D1057, Products!A:A, Products!E:E)</f>
        <v>1540</v>
      </c>
    </row>
    <row r="1058" spans="1:16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 t="shared" si="16"/>
        <v>Bengaluru</v>
      </c>
      <c r="M1058" t="str">
        <f>_xlfn.XLOOKUP(D1058, Products!A:A, Products!C:C)</f>
        <v>Sports</v>
      </c>
      <c r="N1058" t="str">
        <f>_xlfn.XLOOKUP(E1058, Sales_Reps!A:A, Sales_Reps!C:C)</f>
        <v>West</v>
      </c>
      <c r="O1058">
        <f>_xlfn.XLOOKUP(D1058, Products!A:A, Products!D:D)</f>
        <v>516</v>
      </c>
      <c r="P1058">
        <f>_xlfn.XLOOKUP(D1058, Products!A:A, Products!E:E)</f>
        <v>1010</v>
      </c>
    </row>
    <row r="1059" spans="1:16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 t="shared" si="16"/>
        <v>Delhi</v>
      </c>
      <c r="M1059" t="str">
        <f>_xlfn.XLOOKUP(D1059, Products!A:A, Products!C:C)</f>
        <v>Beauty</v>
      </c>
      <c r="N1059" t="str">
        <f>_xlfn.XLOOKUP(E1059, Sales_Reps!A:A, Sales_Reps!C:C)</f>
        <v>West</v>
      </c>
      <c r="O1059">
        <f>_xlfn.XLOOKUP(D1059, Products!A:A, Products!D:D)</f>
        <v>675</v>
      </c>
      <c r="P1059">
        <f>_xlfn.XLOOKUP(D1059, Products!A:A, Products!E:E)</f>
        <v>960</v>
      </c>
    </row>
    <row r="1060" spans="1:16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 t="shared" si="16"/>
        <v>Bengaluru</v>
      </c>
      <c r="M1060" t="str">
        <f>_xlfn.XLOOKUP(D1060, Products!A:A, Products!C:C)</f>
        <v>Beauty</v>
      </c>
      <c r="N1060" t="str">
        <f>_xlfn.XLOOKUP(E1060, Sales_Reps!A:A, Sales_Reps!C:C)</f>
        <v>South</v>
      </c>
      <c r="O1060">
        <f>_xlfn.XLOOKUP(D1060, Products!A:A, Products!D:D)</f>
        <v>647</v>
      </c>
      <c r="P1060">
        <f>_xlfn.XLOOKUP(D1060, Products!A:A, Products!E:E)</f>
        <v>1540</v>
      </c>
    </row>
    <row r="1061" spans="1:16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 t="shared" si="16"/>
        <v>Delhi</v>
      </c>
      <c r="M1061" t="str">
        <f>_xlfn.XLOOKUP(D1061, Products!A:A, Products!C:C)</f>
        <v>Beauty</v>
      </c>
      <c r="N1061" t="str">
        <f>_xlfn.XLOOKUP(E1061, Sales_Reps!A:A, Sales_Reps!C:C)</f>
        <v>East</v>
      </c>
      <c r="O1061">
        <f>_xlfn.XLOOKUP(D1061, Products!A:A, Products!D:D)</f>
        <v>1728</v>
      </c>
      <c r="P1061">
        <f>_xlfn.XLOOKUP(D1061, Products!A:A, Products!E:E)</f>
        <v>3350</v>
      </c>
    </row>
    <row r="1062" spans="1:16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 t="shared" si="16"/>
        <v>Hyderabad</v>
      </c>
      <c r="M1062" t="str">
        <f>_xlfn.XLOOKUP(D1062, Products!A:A, Products!C:C)</f>
        <v>Sports</v>
      </c>
      <c r="N1062" t="str">
        <f>_xlfn.XLOOKUP(E1062, Sales_Reps!A:A, Sales_Reps!C:C)</f>
        <v>East</v>
      </c>
      <c r="O1062">
        <f>_xlfn.XLOOKUP(D1062, Products!A:A, Products!D:D)</f>
        <v>2467</v>
      </c>
      <c r="P1062">
        <f>_xlfn.XLOOKUP(D1062, Products!A:A, Products!E:E)</f>
        <v>3450</v>
      </c>
    </row>
    <row r="1063" spans="1:16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 t="shared" si="16"/>
        <v>Hyderabad</v>
      </c>
      <c r="M1063" t="str">
        <f>_xlfn.XLOOKUP(D1063, Products!A:A, Products!C:C)</f>
        <v>Sports</v>
      </c>
      <c r="N1063" t="str">
        <f>_xlfn.XLOOKUP(E1063, Sales_Reps!A:A, Sales_Reps!C:C)</f>
        <v>East</v>
      </c>
      <c r="O1063">
        <f>_xlfn.XLOOKUP(D1063, Products!A:A, Products!D:D)</f>
        <v>705</v>
      </c>
      <c r="P1063">
        <f>_xlfn.XLOOKUP(D1063, Products!A:A, Products!E:E)</f>
        <v>960</v>
      </c>
    </row>
    <row r="1064" spans="1:16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 t="shared" si="16"/>
        <v>Bengaluru</v>
      </c>
      <c r="M1064" t="str">
        <f>_xlfn.XLOOKUP(D1064, Products!A:A, Products!C:C)</f>
        <v>Apparel</v>
      </c>
      <c r="N1064" t="str">
        <f>_xlfn.XLOOKUP(E1064, Sales_Reps!A:A, Sales_Reps!C:C)</f>
        <v>South</v>
      </c>
      <c r="O1064">
        <f>_xlfn.XLOOKUP(D1064, Products!A:A, Products!D:D)</f>
        <v>2611</v>
      </c>
      <c r="P1064">
        <f>_xlfn.XLOOKUP(D1064, Products!A:A, Products!E:E)</f>
        <v>3640</v>
      </c>
    </row>
    <row r="1065" spans="1:16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 t="shared" si="16"/>
        <v>Bengaluru</v>
      </c>
      <c r="M1065" t="str">
        <f>_xlfn.XLOOKUP(D1065, Products!A:A, Products!C:C)</f>
        <v>Grocery</v>
      </c>
      <c r="N1065" t="str">
        <f>_xlfn.XLOOKUP(E1065, Sales_Reps!A:A, Sales_Reps!C:C)</f>
        <v>East</v>
      </c>
      <c r="O1065">
        <f>_xlfn.XLOOKUP(D1065, Products!A:A, Products!D:D)</f>
        <v>1010</v>
      </c>
      <c r="P1065">
        <f>_xlfn.XLOOKUP(D1065, Products!A:A, Products!E:E)</f>
        <v>2210</v>
      </c>
    </row>
    <row r="1066" spans="1:16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 t="shared" si="16"/>
        <v>Delhi</v>
      </c>
      <c r="M1066" t="str">
        <f>_xlfn.XLOOKUP(D1066, Products!A:A, Products!C:C)</f>
        <v>Home</v>
      </c>
      <c r="N1066" t="str">
        <f>_xlfn.XLOOKUP(E1066, Sales_Reps!A:A, Sales_Reps!C:C)</f>
        <v>North</v>
      </c>
      <c r="O1066">
        <f>_xlfn.XLOOKUP(D1066, Products!A:A, Products!D:D)</f>
        <v>2135</v>
      </c>
      <c r="P1066">
        <f>_xlfn.XLOOKUP(D1066, Products!A:A, Products!E:E)</f>
        <v>3730</v>
      </c>
    </row>
    <row r="1067" spans="1:16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 t="shared" si="16"/>
        <v>Pune</v>
      </c>
      <c r="M1067" t="str">
        <f>_xlfn.XLOOKUP(D1067, Products!A:A, Products!C:C)</f>
        <v>Sports</v>
      </c>
      <c r="N1067" t="str">
        <f>_xlfn.XLOOKUP(E1067, Sales_Reps!A:A, Sales_Reps!C:C)</f>
        <v>South</v>
      </c>
      <c r="O1067">
        <f>_xlfn.XLOOKUP(D1067, Products!A:A, Products!D:D)</f>
        <v>2265</v>
      </c>
      <c r="P1067">
        <f>_xlfn.XLOOKUP(D1067, Products!A:A, Products!E:E)</f>
        <v>5410</v>
      </c>
    </row>
    <row r="1068" spans="1:16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 t="shared" si="16"/>
        <v>Mumbai</v>
      </c>
      <c r="M1068" t="str">
        <f>_xlfn.XLOOKUP(D1068, Products!A:A, Products!C:C)</f>
        <v>Grocery</v>
      </c>
      <c r="N1068" t="str">
        <f>_xlfn.XLOOKUP(E1068, Sales_Reps!A:A, Sales_Reps!C:C)</f>
        <v>East</v>
      </c>
      <c r="O1068">
        <f>_xlfn.XLOOKUP(D1068, Products!A:A, Products!D:D)</f>
        <v>2436</v>
      </c>
      <c r="P1068">
        <f>_xlfn.XLOOKUP(D1068, Products!A:A, Products!E:E)</f>
        <v>3780</v>
      </c>
    </row>
    <row r="1069" spans="1:16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 t="shared" si="16"/>
        <v>Delhi</v>
      </c>
      <c r="M1069" t="str">
        <f>_xlfn.XLOOKUP(D1069, Products!A:A, Products!C:C)</f>
        <v>Home</v>
      </c>
      <c r="N1069" t="str">
        <f>_xlfn.XLOOKUP(E1069, Sales_Reps!A:A, Sales_Reps!C:C)</f>
        <v>South</v>
      </c>
      <c r="O1069">
        <f>_xlfn.XLOOKUP(D1069, Products!A:A, Products!D:D)</f>
        <v>1850</v>
      </c>
      <c r="P1069">
        <f>_xlfn.XLOOKUP(D1069, Products!A:A, Products!E:E)</f>
        <v>4610</v>
      </c>
    </row>
    <row r="1070" spans="1:16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 t="shared" si="16"/>
        <v>Chennai</v>
      </c>
      <c r="M1070" t="str">
        <f>_xlfn.XLOOKUP(D1070, Products!A:A, Products!C:C)</f>
        <v>Electronics</v>
      </c>
      <c r="N1070" t="str">
        <f>_xlfn.XLOOKUP(E1070, Sales_Reps!A:A, Sales_Reps!C:C)</f>
        <v>West</v>
      </c>
      <c r="O1070">
        <f>_xlfn.XLOOKUP(D1070, Products!A:A, Products!D:D)</f>
        <v>1149</v>
      </c>
      <c r="P1070">
        <f>_xlfn.XLOOKUP(D1070, Products!A:A, Products!E:E)</f>
        <v>2640</v>
      </c>
    </row>
    <row r="1071" spans="1:16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 t="shared" si="16"/>
        <v>Delhi</v>
      </c>
      <c r="M1071" t="str">
        <f>_xlfn.XLOOKUP(D1071, Products!A:A, Products!C:C)</f>
        <v>Apparel</v>
      </c>
      <c r="N1071" t="str">
        <f>_xlfn.XLOOKUP(E1071, Sales_Reps!A:A, Sales_Reps!C:C)</f>
        <v>South</v>
      </c>
      <c r="O1071">
        <f>_xlfn.XLOOKUP(D1071, Products!A:A, Products!D:D)</f>
        <v>2509</v>
      </c>
      <c r="P1071">
        <f>_xlfn.XLOOKUP(D1071, Products!A:A, Products!E:E)</f>
        <v>3620</v>
      </c>
    </row>
    <row r="1072" spans="1:16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 t="shared" si="16"/>
        <v>Delhi</v>
      </c>
      <c r="M1072" t="str">
        <f>_xlfn.XLOOKUP(D1072, Products!A:A, Products!C:C)</f>
        <v>Sports</v>
      </c>
      <c r="N1072" t="str">
        <f>_xlfn.XLOOKUP(E1072, Sales_Reps!A:A, Sales_Reps!C:C)</f>
        <v>East</v>
      </c>
      <c r="O1072">
        <f>_xlfn.XLOOKUP(D1072, Products!A:A, Products!D:D)</f>
        <v>302</v>
      </c>
      <c r="P1072">
        <f>_xlfn.XLOOKUP(D1072, Products!A:A, Products!E:E)</f>
        <v>470</v>
      </c>
    </row>
    <row r="1073" spans="1:16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 t="shared" si="16"/>
        <v>Delhi</v>
      </c>
      <c r="M1073" t="str">
        <f>_xlfn.XLOOKUP(D1073, Products!A:A, Products!C:C)</f>
        <v>Electronics</v>
      </c>
      <c r="N1073" t="str">
        <f>_xlfn.XLOOKUP(E1073, Sales_Reps!A:A, Sales_Reps!C:C)</f>
        <v>South</v>
      </c>
      <c r="O1073">
        <f>_xlfn.XLOOKUP(D1073, Products!A:A, Products!D:D)</f>
        <v>2405</v>
      </c>
      <c r="P1073">
        <f>_xlfn.XLOOKUP(D1073, Products!A:A, Products!E:E)</f>
        <v>5330</v>
      </c>
    </row>
    <row r="1074" spans="1:16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 t="shared" si="16"/>
        <v>Chennai</v>
      </c>
      <c r="M1074" t="str">
        <f>_xlfn.XLOOKUP(D1074, Products!A:A, Products!C:C)</f>
        <v>Beauty</v>
      </c>
      <c r="N1074" t="str">
        <f>_xlfn.XLOOKUP(E1074, Sales_Reps!A:A, Sales_Reps!C:C)</f>
        <v>South</v>
      </c>
      <c r="O1074">
        <f>_xlfn.XLOOKUP(D1074, Products!A:A, Products!D:D)</f>
        <v>2617</v>
      </c>
      <c r="P1074">
        <f>_xlfn.XLOOKUP(D1074, Products!A:A, Products!E:E)</f>
        <v>6080</v>
      </c>
    </row>
    <row r="1075" spans="1:16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 t="shared" si="16"/>
        <v>Hyderabad</v>
      </c>
      <c r="M1075" t="str">
        <f>_xlfn.XLOOKUP(D1075, Products!A:A, Products!C:C)</f>
        <v>Beauty</v>
      </c>
      <c r="N1075" t="str">
        <f>_xlfn.XLOOKUP(E1075, Sales_Reps!A:A, Sales_Reps!C:C)</f>
        <v>West</v>
      </c>
      <c r="O1075">
        <f>_xlfn.XLOOKUP(D1075, Products!A:A, Products!D:D)</f>
        <v>1728</v>
      </c>
      <c r="P1075">
        <f>_xlfn.XLOOKUP(D1075, Products!A:A, Products!E:E)</f>
        <v>3350</v>
      </c>
    </row>
    <row r="1076" spans="1:16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 t="shared" si="16"/>
        <v>Chennai</v>
      </c>
      <c r="M1076" t="str">
        <f>_xlfn.XLOOKUP(D1076, Products!A:A, Products!C:C)</f>
        <v>Sports</v>
      </c>
      <c r="N1076" t="str">
        <f>_xlfn.XLOOKUP(E1076, Sales_Reps!A:A, Sales_Reps!C:C)</f>
        <v>West</v>
      </c>
      <c r="O1076">
        <f>_xlfn.XLOOKUP(D1076, Products!A:A, Products!D:D)</f>
        <v>2827</v>
      </c>
      <c r="P1076">
        <f>_xlfn.XLOOKUP(D1076, Products!A:A, Products!E:E)</f>
        <v>6940</v>
      </c>
    </row>
    <row r="1077" spans="1:16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 t="shared" si="16"/>
        <v>Hyderabad</v>
      </c>
      <c r="M1077" t="str">
        <f>_xlfn.XLOOKUP(D1077, Products!A:A, Products!C:C)</f>
        <v>Home</v>
      </c>
      <c r="N1077" t="str">
        <f>_xlfn.XLOOKUP(E1077, Sales_Reps!A:A, Sales_Reps!C:C)</f>
        <v>North</v>
      </c>
      <c r="O1077">
        <f>_xlfn.XLOOKUP(D1077, Products!A:A, Products!D:D)</f>
        <v>288</v>
      </c>
      <c r="P1077">
        <f>_xlfn.XLOOKUP(D1077, Products!A:A, Products!E:E)</f>
        <v>370</v>
      </c>
    </row>
    <row r="1078" spans="1:16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 t="shared" si="16"/>
        <v>Bengaluru</v>
      </c>
      <c r="M1078" t="str">
        <f>_xlfn.XLOOKUP(D1078, Products!A:A, Products!C:C)</f>
        <v>Home</v>
      </c>
      <c r="N1078" t="str">
        <f>_xlfn.XLOOKUP(E1078, Sales_Reps!A:A, Sales_Reps!C:C)</f>
        <v>East</v>
      </c>
      <c r="O1078">
        <f>_xlfn.XLOOKUP(D1078, Products!A:A, Products!D:D)</f>
        <v>2549</v>
      </c>
      <c r="P1078">
        <f>_xlfn.XLOOKUP(D1078, Products!A:A, Products!E:E)</f>
        <v>5490</v>
      </c>
    </row>
    <row r="1079" spans="1:16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 t="shared" si="16"/>
        <v>Mumbai</v>
      </c>
      <c r="M1079" t="str">
        <f>_xlfn.XLOOKUP(D1079, Products!A:A, Products!C:C)</f>
        <v>Grocery</v>
      </c>
      <c r="N1079" t="str">
        <f>_xlfn.XLOOKUP(E1079, Sales_Reps!A:A, Sales_Reps!C:C)</f>
        <v>South</v>
      </c>
      <c r="O1079">
        <f>_xlfn.XLOOKUP(D1079, Products!A:A, Products!D:D)</f>
        <v>2214</v>
      </c>
      <c r="P1079">
        <f>_xlfn.XLOOKUP(D1079, Products!A:A, Products!E:E)</f>
        <v>3660</v>
      </c>
    </row>
    <row r="1080" spans="1:16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 t="shared" si="16"/>
        <v>Pune</v>
      </c>
      <c r="M1080" t="str">
        <f>_xlfn.XLOOKUP(D1080, Products!A:A, Products!C:C)</f>
        <v>Electronics</v>
      </c>
      <c r="N1080" t="str">
        <f>_xlfn.XLOOKUP(E1080, Sales_Reps!A:A, Sales_Reps!C:C)</f>
        <v>West</v>
      </c>
      <c r="O1080">
        <f>_xlfn.XLOOKUP(D1080, Products!A:A, Products!D:D)</f>
        <v>128</v>
      </c>
      <c r="P1080">
        <f>_xlfn.XLOOKUP(D1080, Products!A:A, Products!E:E)</f>
        <v>300</v>
      </c>
    </row>
    <row r="1081" spans="1:16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 t="shared" si="16"/>
        <v>Pune</v>
      </c>
      <c r="M1081" t="str">
        <f>_xlfn.XLOOKUP(D1081, Products!A:A, Products!C:C)</f>
        <v>Electronics</v>
      </c>
      <c r="N1081" t="str">
        <f>_xlfn.XLOOKUP(E1081, Sales_Reps!A:A, Sales_Reps!C:C)</f>
        <v>South</v>
      </c>
      <c r="O1081">
        <f>_xlfn.XLOOKUP(D1081, Products!A:A, Products!D:D)</f>
        <v>128</v>
      </c>
      <c r="P1081">
        <f>_xlfn.XLOOKUP(D1081, Products!A:A, Products!E:E)</f>
        <v>300</v>
      </c>
    </row>
    <row r="1082" spans="1:16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 t="shared" si="16"/>
        <v>Chennai</v>
      </c>
      <c r="M1082" t="str">
        <f>_xlfn.XLOOKUP(D1082, Products!A:A, Products!C:C)</f>
        <v>Beauty</v>
      </c>
      <c r="N1082" t="str">
        <f>_xlfn.XLOOKUP(E1082, Sales_Reps!A:A, Sales_Reps!C:C)</f>
        <v>South</v>
      </c>
      <c r="O1082">
        <f>_xlfn.XLOOKUP(D1082, Products!A:A, Products!D:D)</f>
        <v>675</v>
      </c>
      <c r="P1082">
        <f>_xlfn.XLOOKUP(D1082, Products!A:A, Products!E:E)</f>
        <v>960</v>
      </c>
    </row>
    <row r="1083" spans="1:16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 t="shared" si="16"/>
        <v>Mumbai</v>
      </c>
      <c r="M1083" t="str">
        <f>_xlfn.XLOOKUP(D1083, Products!A:A, Products!C:C)</f>
        <v>Grocery</v>
      </c>
      <c r="N1083" t="str">
        <f>_xlfn.XLOOKUP(E1083, Sales_Reps!A:A, Sales_Reps!C:C)</f>
        <v>West</v>
      </c>
      <c r="O1083">
        <f>_xlfn.XLOOKUP(D1083, Products!A:A, Products!D:D)</f>
        <v>1412</v>
      </c>
      <c r="P1083">
        <f>_xlfn.XLOOKUP(D1083, Products!A:A, Products!E:E)</f>
        <v>2270</v>
      </c>
    </row>
    <row r="1084" spans="1:16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 t="shared" si="16"/>
        <v>Bengaluru</v>
      </c>
      <c r="M1084" t="str">
        <f>_xlfn.XLOOKUP(D1084, Products!A:A, Products!C:C)</f>
        <v>Home</v>
      </c>
      <c r="N1084" t="str">
        <f>_xlfn.XLOOKUP(E1084, Sales_Reps!A:A, Sales_Reps!C:C)</f>
        <v>West</v>
      </c>
      <c r="O1084">
        <f>_xlfn.XLOOKUP(D1084, Products!A:A, Products!D:D)</f>
        <v>1143</v>
      </c>
      <c r="P1084">
        <f>_xlfn.XLOOKUP(D1084, Products!A:A, Products!E:E)</f>
        <v>2030</v>
      </c>
    </row>
    <row r="1085" spans="1:16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 t="shared" si="16"/>
        <v>Mumbai</v>
      </c>
      <c r="M1085" t="str">
        <f>_xlfn.XLOOKUP(D1085, Products!A:A, Products!C:C)</f>
        <v>Home</v>
      </c>
      <c r="N1085" t="str">
        <f>_xlfn.XLOOKUP(E1085, Sales_Reps!A:A, Sales_Reps!C:C)</f>
        <v>East</v>
      </c>
      <c r="O1085">
        <f>_xlfn.XLOOKUP(D1085, Products!A:A, Products!D:D)</f>
        <v>519</v>
      </c>
      <c r="P1085">
        <f>_xlfn.XLOOKUP(D1085, Products!A:A, Products!E:E)</f>
        <v>1080</v>
      </c>
    </row>
    <row r="1086" spans="1:16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 t="shared" si="16"/>
        <v>Pune</v>
      </c>
      <c r="M1086" t="str">
        <f>_xlfn.XLOOKUP(D1086, Products!A:A, Products!C:C)</f>
        <v>Sports</v>
      </c>
      <c r="N1086" t="str">
        <f>_xlfn.XLOOKUP(E1086, Sales_Reps!A:A, Sales_Reps!C:C)</f>
        <v>West</v>
      </c>
      <c r="O1086">
        <f>_xlfn.XLOOKUP(D1086, Products!A:A, Products!D:D)</f>
        <v>2028</v>
      </c>
      <c r="P1086">
        <f>_xlfn.XLOOKUP(D1086, Products!A:A, Products!E:E)</f>
        <v>2860</v>
      </c>
    </row>
    <row r="1087" spans="1:16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 t="shared" si="16"/>
        <v>Delhi</v>
      </c>
      <c r="M1087" t="str">
        <f>_xlfn.XLOOKUP(D1087, Products!A:A, Products!C:C)</f>
        <v>Grocery</v>
      </c>
      <c r="N1087" t="str">
        <f>_xlfn.XLOOKUP(E1087, Sales_Reps!A:A, Sales_Reps!C:C)</f>
        <v>South</v>
      </c>
      <c r="O1087">
        <f>_xlfn.XLOOKUP(D1087, Products!A:A, Products!D:D)</f>
        <v>1203</v>
      </c>
      <c r="P1087">
        <f>_xlfn.XLOOKUP(D1087, Products!A:A, Products!E:E)</f>
        <v>2270</v>
      </c>
    </row>
    <row r="1088" spans="1:16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 t="shared" si="16"/>
        <v>Delhi</v>
      </c>
      <c r="M1088" t="str">
        <f>_xlfn.XLOOKUP(D1088, Products!A:A, Products!C:C)</f>
        <v>Apparel</v>
      </c>
      <c r="N1088" t="str">
        <f>_xlfn.XLOOKUP(E1088, Sales_Reps!A:A, Sales_Reps!C:C)</f>
        <v>West</v>
      </c>
      <c r="O1088">
        <f>_xlfn.XLOOKUP(D1088, Products!A:A, Products!D:D)</f>
        <v>1962</v>
      </c>
      <c r="P1088">
        <f>_xlfn.XLOOKUP(D1088, Products!A:A, Products!E:E)</f>
        <v>2720</v>
      </c>
    </row>
    <row r="1089" spans="1:16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 t="shared" si="16"/>
        <v>Bengaluru</v>
      </c>
      <c r="M1089" t="str">
        <f>_xlfn.XLOOKUP(D1089, Products!A:A, Products!C:C)</f>
        <v>Electronics</v>
      </c>
      <c r="N1089" t="str">
        <f>_xlfn.XLOOKUP(E1089, Sales_Reps!A:A, Sales_Reps!C:C)</f>
        <v>North</v>
      </c>
      <c r="O1089">
        <f>_xlfn.XLOOKUP(D1089, Products!A:A, Products!D:D)</f>
        <v>1559</v>
      </c>
      <c r="P1089">
        <f>_xlfn.XLOOKUP(D1089, Products!A:A, Products!E:E)</f>
        <v>3870</v>
      </c>
    </row>
    <row r="1090" spans="1:16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 t="shared" si="16"/>
        <v>Hyderabad</v>
      </c>
      <c r="M1090" t="str">
        <f>_xlfn.XLOOKUP(D1090, Products!A:A, Products!C:C)</f>
        <v>Apparel</v>
      </c>
      <c r="N1090" t="str">
        <f>_xlfn.XLOOKUP(E1090, Sales_Reps!A:A, Sales_Reps!C:C)</f>
        <v>East</v>
      </c>
      <c r="O1090">
        <f>_xlfn.XLOOKUP(D1090, Products!A:A, Products!D:D)</f>
        <v>1748</v>
      </c>
      <c r="P1090">
        <f>_xlfn.XLOOKUP(D1090, Products!A:A, Products!E:E)</f>
        <v>3450</v>
      </c>
    </row>
    <row r="1091" spans="1:16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 t="shared" ref="L1091:L1154" si="17">PROPER(TRIM(K1091))</f>
        <v>Mumbai</v>
      </c>
      <c r="M1091" t="str">
        <f>_xlfn.XLOOKUP(D1091, Products!A:A, Products!C:C)</f>
        <v>Sports</v>
      </c>
      <c r="N1091" t="str">
        <f>_xlfn.XLOOKUP(E1091, Sales_Reps!A:A, Sales_Reps!C:C)</f>
        <v>North</v>
      </c>
      <c r="O1091">
        <f>_xlfn.XLOOKUP(D1091, Products!A:A, Products!D:D)</f>
        <v>302</v>
      </c>
      <c r="P1091">
        <f>_xlfn.XLOOKUP(D1091, Products!A:A, Products!E:E)</f>
        <v>470</v>
      </c>
    </row>
    <row r="1092" spans="1:16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 t="shared" si="17"/>
        <v>Hyderabad</v>
      </c>
      <c r="M1092" t="str">
        <f>_xlfn.XLOOKUP(D1092, Products!A:A, Products!C:C)</f>
        <v>Electronics</v>
      </c>
      <c r="N1092" t="str">
        <f>_xlfn.XLOOKUP(E1092, Sales_Reps!A:A, Sales_Reps!C:C)</f>
        <v>South</v>
      </c>
      <c r="O1092">
        <f>_xlfn.XLOOKUP(D1092, Products!A:A, Products!D:D)</f>
        <v>2865</v>
      </c>
      <c r="P1092">
        <f>_xlfn.XLOOKUP(D1092, Products!A:A, Products!E:E)</f>
        <v>3970</v>
      </c>
    </row>
    <row r="1093" spans="1:16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 t="shared" si="17"/>
        <v>Bengaluru</v>
      </c>
      <c r="M1093" t="str">
        <f>_xlfn.XLOOKUP(D1093, Products!A:A, Products!C:C)</f>
        <v>Beauty</v>
      </c>
      <c r="N1093" t="str">
        <f>_xlfn.XLOOKUP(E1093, Sales_Reps!A:A, Sales_Reps!C:C)</f>
        <v>South</v>
      </c>
      <c r="O1093">
        <f>_xlfn.XLOOKUP(D1093, Products!A:A, Products!D:D)</f>
        <v>2237</v>
      </c>
      <c r="P1093">
        <f>_xlfn.XLOOKUP(D1093, Products!A:A, Products!E:E)</f>
        <v>5100</v>
      </c>
    </row>
    <row r="1094" spans="1:16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 t="shared" si="17"/>
        <v>Pune</v>
      </c>
      <c r="M1094" t="str">
        <f>_xlfn.XLOOKUP(D1094, Products!A:A, Products!C:C)</f>
        <v>Beauty</v>
      </c>
      <c r="N1094" t="str">
        <f>_xlfn.XLOOKUP(E1094, Sales_Reps!A:A, Sales_Reps!C:C)</f>
        <v>North</v>
      </c>
      <c r="O1094">
        <f>_xlfn.XLOOKUP(D1094, Products!A:A, Products!D:D)</f>
        <v>2420</v>
      </c>
      <c r="P1094">
        <f>_xlfn.XLOOKUP(D1094, Products!A:A, Products!E:E)</f>
        <v>3450</v>
      </c>
    </row>
    <row r="1095" spans="1:16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 t="shared" si="17"/>
        <v>Chennai</v>
      </c>
      <c r="M1095" t="str">
        <f>_xlfn.XLOOKUP(D1095, Products!A:A, Products!C:C)</f>
        <v>Home</v>
      </c>
      <c r="N1095" t="str">
        <f>_xlfn.XLOOKUP(E1095, Sales_Reps!A:A, Sales_Reps!C:C)</f>
        <v>South</v>
      </c>
      <c r="O1095">
        <f>_xlfn.XLOOKUP(D1095, Products!A:A, Products!D:D)</f>
        <v>2135</v>
      </c>
      <c r="P1095">
        <f>_xlfn.XLOOKUP(D1095, Products!A:A, Products!E:E)</f>
        <v>3730</v>
      </c>
    </row>
    <row r="1096" spans="1:16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 t="shared" si="17"/>
        <v>Hyderabad</v>
      </c>
      <c r="M1096" t="str">
        <f>_xlfn.XLOOKUP(D1096, Products!A:A, Products!C:C)</f>
        <v>Beauty</v>
      </c>
      <c r="N1096" t="str">
        <f>_xlfn.XLOOKUP(E1096, Sales_Reps!A:A, Sales_Reps!C:C)</f>
        <v>East</v>
      </c>
      <c r="O1096">
        <f>_xlfn.XLOOKUP(D1096, Products!A:A, Products!D:D)</f>
        <v>675</v>
      </c>
      <c r="P1096">
        <f>_xlfn.XLOOKUP(D1096, Products!A:A, Products!E:E)</f>
        <v>960</v>
      </c>
    </row>
    <row r="1097" spans="1:16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 t="shared" si="17"/>
        <v>Delhi</v>
      </c>
      <c r="M1097" t="str">
        <f>_xlfn.XLOOKUP(D1097, Products!A:A, Products!C:C)</f>
        <v>Home</v>
      </c>
      <c r="N1097" t="str">
        <f>_xlfn.XLOOKUP(E1097, Sales_Reps!A:A, Sales_Reps!C:C)</f>
        <v>North</v>
      </c>
      <c r="O1097">
        <f>_xlfn.XLOOKUP(D1097, Products!A:A, Products!D:D)</f>
        <v>2459</v>
      </c>
      <c r="P1097">
        <f>_xlfn.XLOOKUP(D1097, Products!A:A, Products!E:E)</f>
        <v>5080</v>
      </c>
    </row>
    <row r="1098" spans="1:16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 t="shared" si="17"/>
        <v>Pune</v>
      </c>
      <c r="M1098" t="str">
        <f>_xlfn.XLOOKUP(D1098, Products!A:A, Products!C:C)</f>
        <v>Electronics</v>
      </c>
      <c r="N1098" t="str">
        <f>_xlfn.XLOOKUP(E1098, Sales_Reps!A:A, Sales_Reps!C:C)</f>
        <v>North</v>
      </c>
      <c r="O1098">
        <f>_xlfn.XLOOKUP(D1098, Products!A:A, Products!D:D)</f>
        <v>1559</v>
      </c>
      <c r="P1098">
        <f>_xlfn.XLOOKUP(D1098, Products!A:A, Products!E:E)</f>
        <v>3870</v>
      </c>
    </row>
    <row r="1099" spans="1:16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 t="shared" si="17"/>
        <v>Pune</v>
      </c>
      <c r="M1099" t="str">
        <f>_xlfn.XLOOKUP(D1099, Products!A:A, Products!C:C)</f>
        <v>Sports</v>
      </c>
      <c r="N1099" t="str">
        <f>_xlfn.XLOOKUP(E1099, Sales_Reps!A:A, Sales_Reps!C:C)</f>
        <v>West</v>
      </c>
      <c r="O1099">
        <f>_xlfn.XLOOKUP(D1099, Products!A:A, Products!D:D)</f>
        <v>1860</v>
      </c>
      <c r="P1099">
        <f>_xlfn.XLOOKUP(D1099, Products!A:A, Products!E:E)</f>
        <v>3780</v>
      </c>
    </row>
    <row r="1100" spans="1:16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 t="shared" si="17"/>
        <v>Bengaluru</v>
      </c>
      <c r="M1100" t="str">
        <f>_xlfn.XLOOKUP(D1100, Products!A:A, Products!C:C)</f>
        <v>Electronics</v>
      </c>
      <c r="N1100" t="str">
        <f>_xlfn.XLOOKUP(E1100, Sales_Reps!A:A, Sales_Reps!C:C)</f>
        <v>East</v>
      </c>
      <c r="O1100">
        <f>_xlfn.XLOOKUP(D1100, Products!A:A, Products!D:D)</f>
        <v>1559</v>
      </c>
      <c r="P1100">
        <f>_xlfn.XLOOKUP(D1100, Products!A:A, Products!E:E)</f>
        <v>3870</v>
      </c>
    </row>
    <row r="1101" spans="1:16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 t="shared" si="17"/>
        <v>Pune</v>
      </c>
      <c r="M1101" t="str">
        <f>_xlfn.XLOOKUP(D1101, Products!A:A, Products!C:C)</f>
        <v>Home</v>
      </c>
      <c r="N1101" t="str">
        <f>_xlfn.XLOOKUP(E1101, Sales_Reps!A:A, Sales_Reps!C:C)</f>
        <v>South</v>
      </c>
      <c r="O1101">
        <f>_xlfn.XLOOKUP(D1101, Products!A:A, Products!D:D)</f>
        <v>1143</v>
      </c>
      <c r="P1101">
        <f>_xlfn.XLOOKUP(D1101, Products!A:A, Products!E:E)</f>
        <v>2030</v>
      </c>
    </row>
    <row r="1102" spans="1:16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 t="shared" si="17"/>
        <v>Delhi</v>
      </c>
      <c r="M1102" t="str">
        <f>_xlfn.XLOOKUP(D1102, Products!A:A, Products!C:C)</f>
        <v>Grocery</v>
      </c>
      <c r="N1102" t="str">
        <f>_xlfn.XLOOKUP(E1102, Sales_Reps!A:A, Sales_Reps!C:C)</f>
        <v>North</v>
      </c>
      <c r="O1102">
        <f>_xlfn.XLOOKUP(D1102, Products!A:A, Products!D:D)</f>
        <v>1010</v>
      </c>
      <c r="P1102">
        <f>_xlfn.XLOOKUP(D1102, Products!A:A, Products!E:E)</f>
        <v>2210</v>
      </c>
    </row>
    <row r="1103" spans="1:16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 t="shared" si="17"/>
        <v>Chennai</v>
      </c>
      <c r="M1103" t="str">
        <f>_xlfn.XLOOKUP(D1103, Products!A:A, Products!C:C)</f>
        <v>Beauty</v>
      </c>
      <c r="N1103" t="str">
        <f>_xlfn.XLOOKUP(E1103, Sales_Reps!A:A, Sales_Reps!C:C)</f>
        <v>East</v>
      </c>
      <c r="O1103">
        <f>_xlfn.XLOOKUP(D1103, Products!A:A, Products!D:D)</f>
        <v>647</v>
      </c>
      <c r="P1103">
        <f>_xlfn.XLOOKUP(D1103, Products!A:A, Products!E:E)</f>
        <v>1540</v>
      </c>
    </row>
    <row r="1104" spans="1:16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 t="shared" si="17"/>
        <v>Delhi</v>
      </c>
      <c r="M1104" t="str">
        <f>_xlfn.XLOOKUP(D1104, Products!A:A, Products!C:C)</f>
        <v>Sports</v>
      </c>
      <c r="N1104" t="str">
        <f>_xlfn.XLOOKUP(E1104, Sales_Reps!A:A, Sales_Reps!C:C)</f>
        <v>South</v>
      </c>
      <c r="O1104">
        <f>_xlfn.XLOOKUP(D1104, Products!A:A, Products!D:D)</f>
        <v>516</v>
      </c>
      <c r="P1104">
        <f>_xlfn.XLOOKUP(D1104, Products!A:A, Products!E:E)</f>
        <v>1010</v>
      </c>
    </row>
    <row r="1105" spans="1:16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 t="shared" si="17"/>
        <v>Pune</v>
      </c>
      <c r="M1105" t="str">
        <f>_xlfn.XLOOKUP(D1105, Products!A:A, Products!C:C)</f>
        <v>Electronics</v>
      </c>
      <c r="N1105" t="str">
        <f>_xlfn.XLOOKUP(E1105, Sales_Reps!A:A, Sales_Reps!C:C)</f>
        <v>South</v>
      </c>
      <c r="O1105">
        <f>_xlfn.XLOOKUP(D1105, Products!A:A, Products!D:D)</f>
        <v>2405</v>
      </c>
      <c r="P1105">
        <f>_xlfn.XLOOKUP(D1105, Products!A:A, Products!E:E)</f>
        <v>5330</v>
      </c>
    </row>
    <row r="1106" spans="1:16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 t="shared" si="17"/>
        <v>Chennai</v>
      </c>
      <c r="M1106" t="str">
        <f>_xlfn.XLOOKUP(D1106, Products!A:A, Products!C:C)</f>
        <v>Electronics</v>
      </c>
      <c r="N1106" t="str">
        <f>_xlfn.XLOOKUP(E1106, Sales_Reps!A:A, Sales_Reps!C:C)</f>
        <v>East</v>
      </c>
      <c r="O1106">
        <f>_xlfn.XLOOKUP(D1106, Products!A:A, Products!D:D)</f>
        <v>1665</v>
      </c>
      <c r="P1106">
        <f>_xlfn.XLOOKUP(D1106, Products!A:A, Products!E:E)</f>
        <v>3570</v>
      </c>
    </row>
    <row r="1107" spans="1:16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 t="shared" si="17"/>
        <v>Chennai</v>
      </c>
      <c r="M1107" t="str">
        <f>_xlfn.XLOOKUP(D1107, Products!A:A, Products!C:C)</f>
        <v>Beauty</v>
      </c>
      <c r="N1107" t="str">
        <f>_xlfn.XLOOKUP(E1107, Sales_Reps!A:A, Sales_Reps!C:C)</f>
        <v>East</v>
      </c>
      <c r="O1107">
        <f>_xlfn.XLOOKUP(D1107, Products!A:A, Products!D:D)</f>
        <v>1728</v>
      </c>
      <c r="P1107">
        <f>_xlfn.XLOOKUP(D1107, Products!A:A, Products!E:E)</f>
        <v>3350</v>
      </c>
    </row>
    <row r="1108" spans="1:16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 t="shared" si="17"/>
        <v>Mumbai</v>
      </c>
      <c r="M1108" t="str">
        <f>_xlfn.XLOOKUP(D1108, Products!A:A, Products!C:C)</f>
        <v>Apparel</v>
      </c>
      <c r="N1108" t="str">
        <f>_xlfn.XLOOKUP(E1108, Sales_Reps!A:A, Sales_Reps!C:C)</f>
        <v>East</v>
      </c>
      <c r="O1108">
        <f>_xlfn.XLOOKUP(D1108, Products!A:A, Products!D:D)</f>
        <v>1075</v>
      </c>
      <c r="P1108">
        <f>_xlfn.XLOOKUP(D1108, Products!A:A, Products!E:E)</f>
        <v>2510</v>
      </c>
    </row>
    <row r="1109" spans="1:16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 t="shared" si="17"/>
        <v>Mumbai</v>
      </c>
      <c r="M1109" t="str">
        <f>_xlfn.XLOOKUP(D1109, Products!A:A, Products!C:C)</f>
        <v>Grocery</v>
      </c>
      <c r="N1109" t="str">
        <f>_xlfn.XLOOKUP(E1109, Sales_Reps!A:A, Sales_Reps!C:C)</f>
        <v>West</v>
      </c>
      <c r="O1109">
        <f>_xlfn.XLOOKUP(D1109, Products!A:A, Products!D:D)</f>
        <v>434</v>
      </c>
      <c r="P1109">
        <f>_xlfn.XLOOKUP(D1109, Products!A:A, Products!E:E)</f>
        <v>970</v>
      </c>
    </row>
    <row r="1110" spans="1:16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 t="shared" si="17"/>
        <v>Bengaluru</v>
      </c>
      <c r="M1110" t="str">
        <f>_xlfn.XLOOKUP(D1110, Products!A:A, Products!C:C)</f>
        <v>Grocery</v>
      </c>
      <c r="N1110" t="str">
        <f>_xlfn.XLOOKUP(E1110, Sales_Reps!A:A, Sales_Reps!C:C)</f>
        <v>North</v>
      </c>
      <c r="O1110">
        <f>_xlfn.XLOOKUP(D1110, Products!A:A, Products!D:D)</f>
        <v>2436</v>
      </c>
      <c r="P1110">
        <f>_xlfn.XLOOKUP(D1110, Products!A:A, Products!E:E)</f>
        <v>3780</v>
      </c>
    </row>
    <row r="1111" spans="1:16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 t="shared" si="17"/>
        <v>Pune</v>
      </c>
      <c r="M1111" t="str">
        <f>_xlfn.XLOOKUP(D1111, Products!A:A, Products!C:C)</f>
        <v>Apparel</v>
      </c>
      <c r="N1111" t="str">
        <f>_xlfn.XLOOKUP(E1111, Sales_Reps!A:A, Sales_Reps!C:C)</f>
        <v>North</v>
      </c>
      <c r="O1111">
        <f>_xlfn.XLOOKUP(D1111, Products!A:A, Products!D:D)</f>
        <v>1075</v>
      </c>
      <c r="P1111">
        <f>_xlfn.XLOOKUP(D1111, Products!A:A, Products!E:E)</f>
        <v>2510</v>
      </c>
    </row>
    <row r="1112" spans="1:16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 t="shared" si="17"/>
        <v>Chennai</v>
      </c>
      <c r="M1112" t="str">
        <f>_xlfn.XLOOKUP(D1112, Products!A:A, Products!C:C)</f>
        <v>Home</v>
      </c>
      <c r="N1112" t="str">
        <f>_xlfn.XLOOKUP(E1112, Sales_Reps!A:A, Sales_Reps!C:C)</f>
        <v>North</v>
      </c>
      <c r="O1112">
        <f>_xlfn.XLOOKUP(D1112, Products!A:A, Products!D:D)</f>
        <v>1143</v>
      </c>
      <c r="P1112">
        <f>_xlfn.XLOOKUP(D1112, Products!A:A, Products!E:E)</f>
        <v>2030</v>
      </c>
    </row>
    <row r="1113" spans="1:16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 t="shared" si="17"/>
        <v>Mumbai</v>
      </c>
      <c r="M1113" t="str">
        <f>_xlfn.XLOOKUP(D1113, Products!A:A, Products!C:C)</f>
        <v>Sports</v>
      </c>
      <c r="N1113" t="str">
        <f>_xlfn.XLOOKUP(E1113, Sales_Reps!A:A, Sales_Reps!C:C)</f>
        <v>South</v>
      </c>
      <c r="O1113">
        <f>_xlfn.XLOOKUP(D1113, Products!A:A, Products!D:D)</f>
        <v>147</v>
      </c>
      <c r="P1113">
        <f>_xlfn.XLOOKUP(D1113, Products!A:A, Products!E:E)</f>
        <v>190</v>
      </c>
    </row>
    <row r="1114" spans="1:16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 t="shared" si="17"/>
        <v>Chennai</v>
      </c>
      <c r="M1114" t="str">
        <f>_xlfn.XLOOKUP(D1114, Products!A:A, Products!C:C)</f>
        <v>Grocery</v>
      </c>
      <c r="N1114" t="str">
        <f>_xlfn.XLOOKUP(E1114, Sales_Reps!A:A, Sales_Reps!C:C)</f>
        <v>East</v>
      </c>
      <c r="O1114">
        <f>_xlfn.XLOOKUP(D1114, Products!A:A, Products!D:D)</f>
        <v>1010</v>
      </c>
      <c r="P1114">
        <f>_xlfn.XLOOKUP(D1114, Products!A:A, Products!E:E)</f>
        <v>2210</v>
      </c>
    </row>
    <row r="1115" spans="1:16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 t="shared" si="17"/>
        <v>Delhi</v>
      </c>
      <c r="M1115" t="str">
        <f>_xlfn.XLOOKUP(D1115, Products!A:A, Products!C:C)</f>
        <v>Apparel</v>
      </c>
      <c r="N1115" t="str">
        <f>_xlfn.XLOOKUP(E1115, Sales_Reps!A:A, Sales_Reps!C:C)</f>
        <v>North</v>
      </c>
      <c r="O1115">
        <f>_xlfn.XLOOKUP(D1115, Products!A:A, Products!D:D)</f>
        <v>2611</v>
      </c>
      <c r="P1115">
        <f>_xlfn.XLOOKUP(D1115, Products!A:A, Products!E:E)</f>
        <v>3640</v>
      </c>
    </row>
    <row r="1116" spans="1:16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 t="shared" si="17"/>
        <v>Bengaluru</v>
      </c>
      <c r="M1116" t="str">
        <f>_xlfn.XLOOKUP(D1116, Products!A:A, Products!C:C)</f>
        <v>Electronics</v>
      </c>
      <c r="N1116" t="str">
        <f>_xlfn.XLOOKUP(E1116, Sales_Reps!A:A, Sales_Reps!C:C)</f>
        <v>South</v>
      </c>
      <c r="O1116">
        <f>_xlfn.XLOOKUP(D1116, Products!A:A, Products!D:D)</f>
        <v>517</v>
      </c>
      <c r="P1116">
        <f>_xlfn.XLOOKUP(D1116, Products!A:A, Products!E:E)</f>
        <v>1220</v>
      </c>
    </row>
    <row r="1117" spans="1:16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 t="shared" si="17"/>
        <v>Chennai</v>
      </c>
      <c r="M1117" t="str">
        <f>_xlfn.XLOOKUP(D1117, Products!A:A, Products!C:C)</f>
        <v>Sports</v>
      </c>
      <c r="N1117" t="str">
        <f>_xlfn.XLOOKUP(E1117, Sales_Reps!A:A, Sales_Reps!C:C)</f>
        <v>South</v>
      </c>
      <c r="O1117">
        <f>_xlfn.XLOOKUP(D1117, Products!A:A, Products!D:D)</f>
        <v>2827</v>
      </c>
      <c r="P1117">
        <f>_xlfn.XLOOKUP(D1117, Products!A:A, Products!E:E)</f>
        <v>6940</v>
      </c>
    </row>
    <row r="1118" spans="1:16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 t="shared" si="17"/>
        <v>Delhi</v>
      </c>
      <c r="M1118" t="str">
        <f>_xlfn.XLOOKUP(D1118, Products!A:A, Products!C:C)</f>
        <v>Sports</v>
      </c>
      <c r="N1118" t="str">
        <f>_xlfn.XLOOKUP(E1118, Sales_Reps!A:A, Sales_Reps!C:C)</f>
        <v>South</v>
      </c>
      <c r="O1118">
        <f>_xlfn.XLOOKUP(D1118, Products!A:A, Products!D:D)</f>
        <v>2028</v>
      </c>
      <c r="P1118">
        <f>_xlfn.XLOOKUP(D1118, Products!A:A, Products!E:E)</f>
        <v>2860</v>
      </c>
    </row>
    <row r="1119" spans="1:16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 t="shared" si="17"/>
        <v>Chennai</v>
      </c>
      <c r="M1119" t="str">
        <f>_xlfn.XLOOKUP(D1119, Products!A:A, Products!C:C)</f>
        <v>Apparel</v>
      </c>
      <c r="N1119" t="str">
        <f>_xlfn.XLOOKUP(E1119, Sales_Reps!A:A, Sales_Reps!C:C)</f>
        <v>East</v>
      </c>
      <c r="O1119">
        <f>_xlfn.XLOOKUP(D1119, Products!A:A, Products!D:D)</f>
        <v>1962</v>
      </c>
      <c r="P1119">
        <f>_xlfn.XLOOKUP(D1119, Products!A:A, Products!E:E)</f>
        <v>2720</v>
      </c>
    </row>
    <row r="1120" spans="1:16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 t="shared" si="17"/>
        <v>Mumbai</v>
      </c>
      <c r="M1120" t="str">
        <f>_xlfn.XLOOKUP(D1120, Products!A:A, Products!C:C)</f>
        <v>Apparel</v>
      </c>
      <c r="N1120" t="str">
        <f>_xlfn.XLOOKUP(E1120, Sales_Reps!A:A, Sales_Reps!C:C)</f>
        <v>North</v>
      </c>
      <c r="O1120">
        <f>_xlfn.XLOOKUP(D1120, Products!A:A, Products!D:D)</f>
        <v>391</v>
      </c>
      <c r="P1120">
        <f>_xlfn.XLOOKUP(D1120, Products!A:A, Products!E:E)</f>
        <v>820</v>
      </c>
    </row>
    <row r="1121" spans="1:16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 t="shared" si="17"/>
        <v>Chennai</v>
      </c>
      <c r="M1121" t="str">
        <f>_xlfn.XLOOKUP(D1121, Products!A:A, Products!C:C)</f>
        <v>Beauty</v>
      </c>
      <c r="N1121" t="str">
        <f>_xlfn.XLOOKUP(E1121, Sales_Reps!A:A, Sales_Reps!C:C)</f>
        <v>East</v>
      </c>
      <c r="O1121">
        <f>_xlfn.XLOOKUP(D1121, Products!A:A, Products!D:D)</f>
        <v>1219</v>
      </c>
      <c r="P1121">
        <f>_xlfn.XLOOKUP(D1121, Products!A:A, Products!E:E)</f>
        <v>2290</v>
      </c>
    </row>
    <row r="1122" spans="1:16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 t="shared" si="17"/>
        <v>Hyderabad</v>
      </c>
      <c r="M1122" t="str">
        <f>_xlfn.XLOOKUP(D1122, Products!A:A, Products!C:C)</f>
        <v>Beauty</v>
      </c>
      <c r="N1122" t="str">
        <f>_xlfn.XLOOKUP(E1122, Sales_Reps!A:A, Sales_Reps!C:C)</f>
        <v>East</v>
      </c>
      <c r="O1122">
        <f>_xlfn.XLOOKUP(D1122, Products!A:A, Products!D:D)</f>
        <v>2420</v>
      </c>
      <c r="P1122">
        <f>_xlfn.XLOOKUP(D1122, Products!A:A, Products!E:E)</f>
        <v>3450</v>
      </c>
    </row>
    <row r="1123" spans="1:16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 t="shared" si="17"/>
        <v>Bengaluru</v>
      </c>
      <c r="M1123" t="str">
        <f>_xlfn.XLOOKUP(D1123, Products!A:A, Products!C:C)</f>
        <v>Home</v>
      </c>
      <c r="N1123" t="str">
        <f>_xlfn.XLOOKUP(E1123, Sales_Reps!A:A, Sales_Reps!C:C)</f>
        <v>North</v>
      </c>
      <c r="O1123">
        <f>_xlfn.XLOOKUP(D1123, Products!A:A, Products!D:D)</f>
        <v>1143</v>
      </c>
      <c r="P1123">
        <f>_xlfn.XLOOKUP(D1123, Products!A:A, Products!E:E)</f>
        <v>2030</v>
      </c>
    </row>
    <row r="1124" spans="1:16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 t="shared" si="17"/>
        <v>Mumbai</v>
      </c>
      <c r="M1124" t="str">
        <f>_xlfn.XLOOKUP(D1124, Products!A:A, Products!C:C)</f>
        <v>Sports</v>
      </c>
      <c r="N1124" t="str">
        <f>_xlfn.XLOOKUP(E1124, Sales_Reps!A:A, Sales_Reps!C:C)</f>
        <v>East</v>
      </c>
      <c r="O1124">
        <f>_xlfn.XLOOKUP(D1124, Products!A:A, Products!D:D)</f>
        <v>974</v>
      </c>
      <c r="P1124">
        <f>_xlfn.XLOOKUP(D1124, Products!A:A, Products!E:E)</f>
        <v>2400</v>
      </c>
    </row>
    <row r="1125" spans="1:16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 t="shared" si="17"/>
        <v>Mumbai</v>
      </c>
      <c r="M1125" t="str">
        <f>_xlfn.XLOOKUP(D1125, Products!A:A, Products!C:C)</f>
        <v>Home</v>
      </c>
      <c r="N1125" t="str">
        <f>_xlfn.XLOOKUP(E1125, Sales_Reps!A:A, Sales_Reps!C:C)</f>
        <v>South</v>
      </c>
      <c r="O1125">
        <f>_xlfn.XLOOKUP(D1125, Products!A:A, Products!D:D)</f>
        <v>1143</v>
      </c>
      <c r="P1125">
        <f>_xlfn.XLOOKUP(D1125, Products!A:A, Products!E:E)</f>
        <v>2030</v>
      </c>
    </row>
    <row r="1126" spans="1:16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 t="shared" si="17"/>
        <v>Chennai</v>
      </c>
      <c r="M1126" t="str">
        <f>_xlfn.XLOOKUP(D1126, Products!A:A, Products!C:C)</f>
        <v>Grocery</v>
      </c>
      <c r="N1126" t="str">
        <f>_xlfn.XLOOKUP(E1126, Sales_Reps!A:A, Sales_Reps!C:C)</f>
        <v>North</v>
      </c>
      <c r="O1126">
        <f>_xlfn.XLOOKUP(D1126, Products!A:A, Products!D:D)</f>
        <v>2911</v>
      </c>
      <c r="P1126">
        <f>_xlfn.XLOOKUP(D1126, Products!A:A, Products!E:E)</f>
        <v>4060</v>
      </c>
    </row>
    <row r="1127" spans="1:16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 t="shared" si="17"/>
        <v>Pune</v>
      </c>
      <c r="M1127" t="str">
        <f>_xlfn.XLOOKUP(D1127, Products!A:A, Products!C:C)</f>
        <v>Home</v>
      </c>
      <c r="N1127" t="str">
        <f>_xlfn.XLOOKUP(E1127, Sales_Reps!A:A, Sales_Reps!C:C)</f>
        <v>South</v>
      </c>
      <c r="O1127">
        <f>_xlfn.XLOOKUP(D1127, Products!A:A, Products!D:D)</f>
        <v>1143</v>
      </c>
      <c r="P1127">
        <f>_xlfn.XLOOKUP(D1127, Products!A:A, Products!E:E)</f>
        <v>2030</v>
      </c>
    </row>
    <row r="1128" spans="1:16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 t="shared" si="17"/>
        <v>Pune</v>
      </c>
      <c r="M1128" t="str">
        <f>_xlfn.XLOOKUP(D1128, Products!A:A, Products!C:C)</f>
        <v>Beauty</v>
      </c>
      <c r="N1128" t="str">
        <f>_xlfn.XLOOKUP(E1128, Sales_Reps!A:A, Sales_Reps!C:C)</f>
        <v>South</v>
      </c>
      <c r="O1128">
        <f>_xlfn.XLOOKUP(D1128, Products!A:A, Products!D:D)</f>
        <v>1728</v>
      </c>
      <c r="P1128">
        <f>_xlfn.XLOOKUP(D1128, Products!A:A, Products!E:E)</f>
        <v>3350</v>
      </c>
    </row>
    <row r="1129" spans="1:16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 t="shared" si="17"/>
        <v>Hyderabad</v>
      </c>
      <c r="M1129" t="str">
        <f>_xlfn.XLOOKUP(D1129, Products!A:A, Products!C:C)</f>
        <v>Home</v>
      </c>
      <c r="N1129" t="str">
        <f>_xlfn.XLOOKUP(E1129, Sales_Reps!A:A, Sales_Reps!C:C)</f>
        <v>North</v>
      </c>
      <c r="O1129">
        <f>_xlfn.XLOOKUP(D1129, Products!A:A, Products!D:D)</f>
        <v>329</v>
      </c>
      <c r="P1129">
        <f>_xlfn.XLOOKUP(D1129, Products!A:A, Products!E:E)</f>
        <v>660</v>
      </c>
    </row>
    <row r="1130" spans="1:16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 t="shared" si="17"/>
        <v>Delhi</v>
      </c>
      <c r="M1130" t="str">
        <f>_xlfn.XLOOKUP(D1130, Products!A:A, Products!C:C)</f>
        <v>Beauty</v>
      </c>
      <c r="N1130" t="str">
        <f>_xlfn.XLOOKUP(E1130, Sales_Reps!A:A, Sales_Reps!C:C)</f>
        <v>South</v>
      </c>
      <c r="O1130">
        <f>_xlfn.XLOOKUP(D1130, Products!A:A, Products!D:D)</f>
        <v>1626</v>
      </c>
      <c r="P1130">
        <f>_xlfn.XLOOKUP(D1130, Products!A:A, Products!E:E)</f>
        <v>3020</v>
      </c>
    </row>
    <row r="1131" spans="1:16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 t="shared" si="17"/>
        <v>Mumbai</v>
      </c>
      <c r="M1131" t="str">
        <f>_xlfn.XLOOKUP(D1131, Products!A:A, Products!C:C)</f>
        <v>Electronics</v>
      </c>
      <c r="N1131" t="str">
        <f>_xlfn.XLOOKUP(E1131, Sales_Reps!A:A, Sales_Reps!C:C)</f>
        <v>North</v>
      </c>
      <c r="O1131">
        <f>_xlfn.XLOOKUP(D1131, Products!A:A, Products!D:D)</f>
        <v>1259</v>
      </c>
      <c r="P1131">
        <f>_xlfn.XLOOKUP(D1131, Products!A:A, Products!E:E)</f>
        <v>2660</v>
      </c>
    </row>
    <row r="1132" spans="1:16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 t="shared" si="17"/>
        <v>Mumbai</v>
      </c>
      <c r="M1132" t="str">
        <f>_xlfn.XLOOKUP(D1132, Products!A:A, Products!C:C)</f>
        <v>Sports</v>
      </c>
      <c r="N1132" t="str">
        <f>_xlfn.XLOOKUP(E1132, Sales_Reps!A:A, Sales_Reps!C:C)</f>
        <v>North</v>
      </c>
      <c r="O1132">
        <f>_xlfn.XLOOKUP(D1132, Products!A:A, Products!D:D)</f>
        <v>516</v>
      </c>
      <c r="P1132">
        <f>_xlfn.XLOOKUP(D1132, Products!A:A, Products!E:E)</f>
        <v>1010</v>
      </c>
    </row>
    <row r="1133" spans="1:16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 t="shared" si="17"/>
        <v>Hyderabad</v>
      </c>
      <c r="M1133" t="str">
        <f>_xlfn.XLOOKUP(D1133, Products!A:A, Products!C:C)</f>
        <v>Home</v>
      </c>
      <c r="N1133" t="str">
        <f>_xlfn.XLOOKUP(E1133, Sales_Reps!A:A, Sales_Reps!C:C)</f>
        <v>East</v>
      </c>
      <c r="O1133">
        <f>_xlfn.XLOOKUP(D1133, Products!A:A, Products!D:D)</f>
        <v>2549</v>
      </c>
      <c r="P1133">
        <f>_xlfn.XLOOKUP(D1133, Products!A:A, Products!E:E)</f>
        <v>5490</v>
      </c>
    </row>
    <row r="1134" spans="1:16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 t="shared" si="17"/>
        <v>Mumbai</v>
      </c>
      <c r="M1134" t="str">
        <f>_xlfn.XLOOKUP(D1134, Products!A:A, Products!C:C)</f>
        <v>Sports</v>
      </c>
      <c r="N1134" t="str">
        <f>_xlfn.XLOOKUP(E1134, Sales_Reps!A:A, Sales_Reps!C:C)</f>
        <v>East</v>
      </c>
      <c r="O1134">
        <f>_xlfn.XLOOKUP(D1134, Products!A:A, Products!D:D)</f>
        <v>974</v>
      </c>
      <c r="P1134">
        <f>_xlfn.XLOOKUP(D1134, Products!A:A, Products!E:E)</f>
        <v>2400</v>
      </c>
    </row>
    <row r="1135" spans="1:16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 t="shared" si="17"/>
        <v>Delhi</v>
      </c>
      <c r="M1135" t="str">
        <f>_xlfn.XLOOKUP(D1135, Products!A:A, Products!C:C)</f>
        <v>Home</v>
      </c>
      <c r="N1135" t="str">
        <f>_xlfn.XLOOKUP(E1135, Sales_Reps!A:A, Sales_Reps!C:C)</f>
        <v>South</v>
      </c>
      <c r="O1135">
        <f>_xlfn.XLOOKUP(D1135, Products!A:A, Products!D:D)</f>
        <v>329</v>
      </c>
      <c r="P1135">
        <f>_xlfn.XLOOKUP(D1135, Products!A:A, Products!E:E)</f>
        <v>660</v>
      </c>
    </row>
    <row r="1136" spans="1:16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 t="shared" si="17"/>
        <v>Chennai</v>
      </c>
      <c r="M1136" t="str">
        <f>_xlfn.XLOOKUP(D1136, Products!A:A, Products!C:C)</f>
        <v>Electronics</v>
      </c>
      <c r="N1136" t="str">
        <f>_xlfn.XLOOKUP(E1136, Sales_Reps!A:A, Sales_Reps!C:C)</f>
        <v>South</v>
      </c>
      <c r="O1136">
        <f>_xlfn.XLOOKUP(D1136, Products!A:A, Products!D:D)</f>
        <v>2405</v>
      </c>
      <c r="P1136">
        <f>_xlfn.XLOOKUP(D1136, Products!A:A, Products!E:E)</f>
        <v>5330</v>
      </c>
    </row>
    <row r="1137" spans="1:16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 t="shared" si="17"/>
        <v>Chennai</v>
      </c>
      <c r="M1137" t="str">
        <f>_xlfn.XLOOKUP(D1137, Products!A:A, Products!C:C)</f>
        <v>Electronics</v>
      </c>
      <c r="N1137" t="str">
        <f>_xlfn.XLOOKUP(E1137, Sales_Reps!A:A, Sales_Reps!C:C)</f>
        <v>North</v>
      </c>
      <c r="O1137">
        <f>_xlfn.XLOOKUP(D1137, Products!A:A, Products!D:D)</f>
        <v>1052</v>
      </c>
      <c r="P1137">
        <f>_xlfn.XLOOKUP(D1137, Products!A:A, Products!E:E)</f>
        <v>2600</v>
      </c>
    </row>
    <row r="1138" spans="1:16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 t="shared" si="17"/>
        <v>Bengaluru</v>
      </c>
      <c r="M1138" t="str">
        <f>_xlfn.XLOOKUP(D1138, Products!A:A, Products!C:C)</f>
        <v>Home</v>
      </c>
      <c r="N1138" t="str">
        <f>_xlfn.XLOOKUP(E1138, Sales_Reps!A:A, Sales_Reps!C:C)</f>
        <v>East</v>
      </c>
      <c r="O1138">
        <f>_xlfn.XLOOKUP(D1138, Products!A:A, Products!D:D)</f>
        <v>2459</v>
      </c>
      <c r="P1138">
        <f>_xlfn.XLOOKUP(D1138, Products!A:A, Products!E:E)</f>
        <v>5080</v>
      </c>
    </row>
    <row r="1139" spans="1:16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 t="shared" si="17"/>
        <v>Pune</v>
      </c>
      <c r="M1139" t="str">
        <f>_xlfn.XLOOKUP(D1139, Products!A:A, Products!C:C)</f>
        <v>Grocery</v>
      </c>
      <c r="N1139" t="str">
        <f>_xlfn.XLOOKUP(E1139, Sales_Reps!A:A, Sales_Reps!C:C)</f>
        <v>North</v>
      </c>
      <c r="O1139">
        <f>_xlfn.XLOOKUP(D1139, Products!A:A, Products!D:D)</f>
        <v>1182</v>
      </c>
      <c r="P1139">
        <f>_xlfn.XLOOKUP(D1139, Products!A:A, Products!E:E)</f>
        <v>2380</v>
      </c>
    </row>
    <row r="1140" spans="1:16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 t="shared" si="17"/>
        <v>Bengaluru</v>
      </c>
      <c r="M1140" t="str">
        <f>_xlfn.XLOOKUP(D1140, Products!A:A, Products!C:C)</f>
        <v>Beauty</v>
      </c>
      <c r="N1140" t="str">
        <f>_xlfn.XLOOKUP(E1140, Sales_Reps!A:A, Sales_Reps!C:C)</f>
        <v>North</v>
      </c>
      <c r="O1140">
        <f>_xlfn.XLOOKUP(D1140, Products!A:A, Products!D:D)</f>
        <v>2768</v>
      </c>
      <c r="P1140">
        <f>_xlfn.XLOOKUP(D1140, Products!A:A, Products!E:E)</f>
        <v>4880</v>
      </c>
    </row>
    <row r="1141" spans="1:16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 t="shared" si="17"/>
        <v>Chennai</v>
      </c>
      <c r="M1141" t="str">
        <f>_xlfn.XLOOKUP(D1141, Products!A:A, Products!C:C)</f>
        <v>Beauty</v>
      </c>
      <c r="N1141" t="str">
        <f>_xlfn.XLOOKUP(E1141, Sales_Reps!A:A, Sales_Reps!C:C)</f>
        <v>South</v>
      </c>
      <c r="O1141">
        <f>_xlfn.XLOOKUP(D1141, Products!A:A, Products!D:D)</f>
        <v>1728</v>
      </c>
      <c r="P1141">
        <f>_xlfn.XLOOKUP(D1141, Products!A:A, Products!E:E)</f>
        <v>3350</v>
      </c>
    </row>
    <row r="1142" spans="1:16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 t="shared" si="17"/>
        <v>Chennai</v>
      </c>
      <c r="M1142" t="str">
        <f>_xlfn.XLOOKUP(D1142, Products!A:A, Products!C:C)</f>
        <v>Grocery</v>
      </c>
      <c r="N1142" t="str">
        <f>_xlfn.XLOOKUP(E1142, Sales_Reps!A:A, Sales_Reps!C:C)</f>
        <v>West</v>
      </c>
      <c r="O1142">
        <f>_xlfn.XLOOKUP(D1142, Products!A:A, Products!D:D)</f>
        <v>434</v>
      </c>
      <c r="P1142">
        <f>_xlfn.XLOOKUP(D1142, Products!A:A, Products!E:E)</f>
        <v>970</v>
      </c>
    </row>
    <row r="1143" spans="1:16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 t="shared" si="17"/>
        <v>Chennai</v>
      </c>
      <c r="M1143" t="str">
        <f>_xlfn.XLOOKUP(D1143, Products!A:A, Products!C:C)</f>
        <v>Electronics</v>
      </c>
      <c r="N1143" t="str">
        <f>_xlfn.XLOOKUP(E1143, Sales_Reps!A:A, Sales_Reps!C:C)</f>
        <v>East</v>
      </c>
      <c r="O1143">
        <f>_xlfn.XLOOKUP(D1143, Products!A:A, Products!D:D)</f>
        <v>128</v>
      </c>
      <c r="P1143">
        <f>_xlfn.XLOOKUP(D1143, Products!A:A, Products!E:E)</f>
        <v>300</v>
      </c>
    </row>
    <row r="1144" spans="1:16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 t="shared" si="17"/>
        <v>Pune</v>
      </c>
      <c r="M1144" t="str">
        <f>_xlfn.XLOOKUP(D1144, Products!A:A, Products!C:C)</f>
        <v>Electronics</v>
      </c>
      <c r="N1144" t="str">
        <f>_xlfn.XLOOKUP(E1144, Sales_Reps!A:A, Sales_Reps!C:C)</f>
        <v>North</v>
      </c>
      <c r="O1144">
        <f>_xlfn.XLOOKUP(D1144, Products!A:A, Products!D:D)</f>
        <v>2865</v>
      </c>
      <c r="P1144">
        <f>_xlfn.XLOOKUP(D1144, Products!A:A, Products!E:E)</f>
        <v>3970</v>
      </c>
    </row>
    <row r="1145" spans="1:16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 t="shared" si="17"/>
        <v>Mumbai</v>
      </c>
      <c r="M1145" t="str">
        <f>_xlfn.XLOOKUP(D1145, Products!A:A, Products!C:C)</f>
        <v>Apparel</v>
      </c>
      <c r="N1145" t="str">
        <f>_xlfn.XLOOKUP(E1145, Sales_Reps!A:A, Sales_Reps!C:C)</f>
        <v>South</v>
      </c>
      <c r="O1145">
        <f>_xlfn.XLOOKUP(D1145, Products!A:A, Products!D:D)</f>
        <v>1962</v>
      </c>
      <c r="P1145">
        <f>_xlfn.XLOOKUP(D1145, Products!A:A, Products!E:E)</f>
        <v>2720</v>
      </c>
    </row>
    <row r="1146" spans="1:16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 t="shared" si="17"/>
        <v>Pune</v>
      </c>
      <c r="M1146" t="str">
        <f>_xlfn.XLOOKUP(D1146, Products!A:A, Products!C:C)</f>
        <v>Apparel</v>
      </c>
      <c r="N1146" t="str">
        <f>_xlfn.XLOOKUP(E1146, Sales_Reps!A:A, Sales_Reps!C:C)</f>
        <v>East</v>
      </c>
      <c r="O1146">
        <f>_xlfn.XLOOKUP(D1146, Products!A:A, Products!D:D)</f>
        <v>396</v>
      </c>
      <c r="P1146">
        <f>_xlfn.XLOOKUP(D1146, Products!A:A, Products!E:E)</f>
        <v>620</v>
      </c>
    </row>
    <row r="1147" spans="1:16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 t="shared" si="17"/>
        <v>Chennai</v>
      </c>
      <c r="M1147" t="str">
        <f>_xlfn.XLOOKUP(D1147, Products!A:A, Products!C:C)</f>
        <v>Beauty</v>
      </c>
      <c r="N1147" t="str">
        <f>_xlfn.XLOOKUP(E1147, Sales_Reps!A:A, Sales_Reps!C:C)</f>
        <v>West</v>
      </c>
      <c r="O1147">
        <f>_xlfn.XLOOKUP(D1147, Products!A:A, Products!D:D)</f>
        <v>647</v>
      </c>
      <c r="P1147">
        <f>_xlfn.XLOOKUP(D1147, Products!A:A, Products!E:E)</f>
        <v>1540</v>
      </c>
    </row>
    <row r="1148" spans="1:16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 t="shared" si="17"/>
        <v>Hyderabad</v>
      </c>
      <c r="M1148" t="str">
        <f>_xlfn.XLOOKUP(D1148, Products!A:A, Products!C:C)</f>
        <v>Beauty</v>
      </c>
      <c r="N1148" t="str">
        <f>_xlfn.XLOOKUP(E1148, Sales_Reps!A:A, Sales_Reps!C:C)</f>
        <v>West</v>
      </c>
      <c r="O1148">
        <f>_xlfn.XLOOKUP(D1148, Products!A:A, Products!D:D)</f>
        <v>1219</v>
      </c>
      <c r="P1148">
        <f>_xlfn.XLOOKUP(D1148, Products!A:A, Products!E:E)</f>
        <v>2290</v>
      </c>
    </row>
    <row r="1149" spans="1:16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 t="shared" si="17"/>
        <v>Delhi</v>
      </c>
      <c r="M1149" t="str">
        <f>_xlfn.XLOOKUP(D1149, Products!A:A, Products!C:C)</f>
        <v>Apparel</v>
      </c>
      <c r="N1149" t="str">
        <f>_xlfn.XLOOKUP(E1149, Sales_Reps!A:A, Sales_Reps!C:C)</f>
        <v>East</v>
      </c>
      <c r="O1149">
        <f>_xlfn.XLOOKUP(D1149, Products!A:A, Products!D:D)</f>
        <v>1962</v>
      </c>
      <c r="P1149">
        <f>_xlfn.XLOOKUP(D1149, Products!A:A, Products!E:E)</f>
        <v>2720</v>
      </c>
    </row>
    <row r="1150" spans="1:16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 t="shared" si="17"/>
        <v>Hyderabad</v>
      </c>
      <c r="M1150" t="str">
        <f>_xlfn.XLOOKUP(D1150, Products!A:A, Products!C:C)</f>
        <v>Grocery</v>
      </c>
      <c r="N1150" t="str">
        <f>_xlfn.XLOOKUP(E1150, Sales_Reps!A:A, Sales_Reps!C:C)</f>
        <v>East</v>
      </c>
      <c r="O1150">
        <f>_xlfn.XLOOKUP(D1150, Products!A:A, Products!D:D)</f>
        <v>2911</v>
      </c>
      <c r="P1150">
        <f>_xlfn.XLOOKUP(D1150, Products!A:A, Products!E:E)</f>
        <v>4060</v>
      </c>
    </row>
    <row r="1151" spans="1:16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 t="shared" si="17"/>
        <v>Chennai</v>
      </c>
      <c r="M1151" t="str">
        <f>_xlfn.XLOOKUP(D1151, Products!A:A, Products!C:C)</f>
        <v>Electronics</v>
      </c>
      <c r="N1151" t="str">
        <f>_xlfn.XLOOKUP(E1151, Sales_Reps!A:A, Sales_Reps!C:C)</f>
        <v>South</v>
      </c>
      <c r="O1151">
        <f>_xlfn.XLOOKUP(D1151, Products!A:A, Products!D:D)</f>
        <v>1665</v>
      </c>
      <c r="P1151">
        <f>_xlfn.XLOOKUP(D1151, Products!A:A, Products!E:E)</f>
        <v>3570</v>
      </c>
    </row>
    <row r="1152" spans="1:16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 t="shared" si="17"/>
        <v>Bengaluru</v>
      </c>
      <c r="M1152" t="str">
        <f>_xlfn.XLOOKUP(D1152, Products!A:A, Products!C:C)</f>
        <v>Sports</v>
      </c>
      <c r="N1152" t="str">
        <f>_xlfn.XLOOKUP(E1152, Sales_Reps!A:A, Sales_Reps!C:C)</f>
        <v>North</v>
      </c>
      <c r="O1152">
        <f>_xlfn.XLOOKUP(D1152, Products!A:A, Products!D:D)</f>
        <v>2467</v>
      </c>
      <c r="P1152">
        <f>_xlfn.XLOOKUP(D1152, Products!A:A, Products!E:E)</f>
        <v>3450</v>
      </c>
    </row>
    <row r="1153" spans="1:16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 t="shared" si="17"/>
        <v>Delhi</v>
      </c>
      <c r="M1153" t="str">
        <f>_xlfn.XLOOKUP(D1153, Products!A:A, Products!C:C)</f>
        <v>Electronics</v>
      </c>
      <c r="N1153" t="str">
        <f>_xlfn.XLOOKUP(E1153, Sales_Reps!A:A, Sales_Reps!C:C)</f>
        <v>North</v>
      </c>
      <c r="O1153">
        <f>_xlfn.XLOOKUP(D1153, Products!A:A, Products!D:D)</f>
        <v>1149</v>
      </c>
      <c r="P1153">
        <f>_xlfn.XLOOKUP(D1153, Products!A:A, Products!E:E)</f>
        <v>2640</v>
      </c>
    </row>
    <row r="1154" spans="1:16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 t="shared" si="17"/>
        <v>Chennai</v>
      </c>
      <c r="M1154" t="str">
        <f>_xlfn.XLOOKUP(D1154, Products!A:A, Products!C:C)</f>
        <v>Home</v>
      </c>
      <c r="N1154" t="str">
        <f>_xlfn.XLOOKUP(E1154, Sales_Reps!A:A, Sales_Reps!C:C)</f>
        <v>South</v>
      </c>
      <c r="O1154">
        <f>_xlfn.XLOOKUP(D1154, Products!A:A, Products!D:D)</f>
        <v>288</v>
      </c>
      <c r="P1154">
        <f>_xlfn.XLOOKUP(D1154, Products!A:A, Products!E:E)</f>
        <v>370</v>
      </c>
    </row>
    <row r="1155" spans="1:16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 t="shared" ref="L1155:L1218" si="18">PROPER(TRIM(K1155))</f>
        <v>Bengaluru</v>
      </c>
      <c r="M1155" t="str">
        <f>_xlfn.XLOOKUP(D1155, Products!A:A, Products!C:C)</f>
        <v>Electronics</v>
      </c>
      <c r="N1155" t="str">
        <f>_xlfn.XLOOKUP(E1155, Sales_Reps!A:A, Sales_Reps!C:C)</f>
        <v>West</v>
      </c>
      <c r="O1155">
        <f>_xlfn.XLOOKUP(D1155, Products!A:A, Products!D:D)</f>
        <v>517</v>
      </c>
      <c r="P1155">
        <f>_xlfn.XLOOKUP(D1155, Products!A:A, Products!E:E)</f>
        <v>1220</v>
      </c>
    </row>
    <row r="1156" spans="1:16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 t="shared" si="18"/>
        <v>Pune</v>
      </c>
      <c r="M1156" t="str">
        <f>_xlfn.XLOOKUP(D1156, Products!A:A, Products!C:C)</f>
        <v>Electronics</v>
      </c>
      <c r="N1156" t="str">
        <f>_xlfn.XLOOKUP(E1156, Sales_Reps!A:A, Sales_Reps!C:C)</f>
        <v>East</v>
      </c>
      <c r="O1156">
        <f>_xlfn.XLOOKUP(D1156, Products!A:A, Products!D:D)</f>
        <v>1149</v>
      </c>
      <c r="P1156">
        <f>_xlfn.XLOOKUP(D1156, Products!A:A, Products!E:E)</f>
        <v>2640</v>
      </c>
    </row>
    <row r="1157" spans="1:16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 t="shared" si="18"/>
        <v>Mumbai</v>
      </c>
      <c r="M1157" t="str">
        <f>_xlfn.XLOOKUP(D1157, Products!A:A, Products!C:C)</f>
        <v>Beauty</v>
      </c>
      <c r="N1157" t="str">
        <f>_xlfn.XLOOKUP(E1157, Sales_Reps!A:A, Sales_Reps!C:C)</f>
        <v>South</v>
      </c>
      <c r="O1157">
        <f>_xlfn.XLOOKUP(D1157, Products!A:A, Products!D:D)</f>
        <v>2237</v>
      </c>
      <c r="P1157">
        <f>_xlfn.XLOOKUP(D1157, Products!A:A, Products!E:E)</f>
        <v>5100</v>
      </c>
    </row>
    <row r="1158" spans="1:16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 t="shared" si="18"/>
        <v>Chennai</v>
      </c>
      <c r="M1158" t="str">
        <f>_xlfn.XLOOKUP(D1158, Products!A:A, Products!C:C)</f>
        <v>Beauty</v>
      </c>
      <c r="N1158" t="str">
        <f>_xlfn.XLOOKUP(E1158, Sales_Reps!A:A, Sales_Reps!C:C)</f>
        <v>North</v>
      </c>
      <c r="O1158">
        <f>_xlfn.XLOOKUP(D1158, Products!A:A, Products!D:D)</f>
        <v>2617</v>
      </c>
      <c r="P1158">
        <f>_xlfn.XLOOKUP(D1158, Products!A:A, Products!E:E)</f>
        <v>6080</v>
      </c>
    </row>
    <row r="1159" spans="1:16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 t="shared" si="18"/>
        <v>Pune</v>
      </c>
      <c r="M1159" t="str">
        <f>_xlfn.XLOOKUP(D1159, Products!A:A, Products!C:C)</f>
        <v>Electronics</v>
      </c>
      <c r="N1159" t="str">
        <f>_xlfn.XLOOKUP(E1159, Sales_Reps!A:A, Sales_Reps!C:C)</f>
        <v>West</v>
      </c>
      <c r="O1159">
        <f>_xlfn.XLOOKUP(D1159, Products!A:A, Products!D:D)</f>
        <v>128</v>
      </c>
      <c r="P1159">
        <f>_xlfn.XLOOKUP(D1159, Products!A:A, Products!E:E)</f>
        <v>300</v>
      </c>
    </row>
    <row r="1160" spans="1:16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 t="shared" si="18"/>
        <v>Hyderabad</v>
      </c>
      <c r="M1160" t="str">
        <f>_xlfn.XLOOKUP(D1160, Products!A:A, Products!C:C)</f>
        <v>Beauty</v>
      </c>
      <c r="N1160" t="str">
        <f>_xlfn.XLOOKUP(E1160, Sales_Reps!A:A, Sales_Reps!C:C)</f>
        <v>East</v>
      </c>
      <c r="O1160">
        <f>_xlfn.XLOOKUP(D1160, Products!A:A, Products!D:D)</f>
        <v>1626</v>
      </c>
      <c r="P1160">
        <f>_xlfn.XLOOKUP(D1160, Products!A:A, Products!E:E)</f>
        <v>3020</v>
      </c>
    </row>
    <row r="1161" spans="1:16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 t="shared" si="18"/>
        <v>Delhi</v>
      </c>
      <c r="M1161" t="str">
        <f>_xlfn.XLOOKUP(D1161, Products!A:A, Products!C:C)</f>
        <v>Electronics</v>
      </c>
      <c r="N1161" t="str">
        <f>_xlfn.XLOOKUP(E1161, Sales_Reps!A:A, Sales_Reps!C:C)</f>
        <v>East</v>
      </c>
      <c r="O1161">
        <f>_xlfn.XLOOKUP(D1161, Products!A:A, Products!D:D)</f>
        <v>128</v>
      </c>
      <c r="P1161">
        <f>_xlfn.XLOOKUP(D1161, Products!A:A, Products!E:E)</f>
        <v>300</v>
      </c>
    </row>
    <row r="1162" spans="1:16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 t="shared" si="18"/>
        <v>Bengaluru</v>
      </c>
      <c r="M1162" t="str">
        <f>_xlfn.XLOOKUP(D1162, Products!A:A, Products!C:C)</f>
        <v>Beauty</v>
      </c>
      <c r="N1162" t="str">
        <f>_xlfn.XLOOKUP(E1162, Sales_Reps!A:A, Sales_Reps!C:C)</f>
        <v>South</v>
      </c>
      <c r="O1162">
        <f>_xlfn.XLOOKUP(D1162, Products!A:A, Products!D:D)</f>
        <v>1728</v>
      </c>
      <c r="P1162">
        <f>_xlfn.XLOOKUP(D1162, Products!A:A, Products!E:E)</f>
        <v>3350</v>
      </c>
    </row>
    <row r="1163" spans="1:16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 t="shared" si="18"/>
        <v>Delhi</v>
      </c>
      <c r="M1163" t="str">
        <f>_xlfn.XLOOKUP(D1163, Products!A:A, Products!C:C)</f>
        <v>Grocery</v>
      </c>
      <c r="N1163" t="str">
        <f>_xlfn.XLOOKUP(E1163, Sales_Reps!A:A, Sales_Reps!C:C)</f>
        <v>West</v>
      </c>
      <c r="O1163">
        <f>_xlfn.XLOOKUP(D1163, Products!A:A, Products!D:D)</f>
        <v>2027</v>
      </c>
      <c r="P1163">
        <f>_xlfn.XLOOKUP(D1163, Products!A:A, Products!E:E)</f>
        <v>4070</v>
      </c>
    </row>
    <row r="1164" spans="1:16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 t="shared" si="18"/>
        <v>Chennai</v>
      </c>
      <c r="M1164" t="str">
        <f>_xlfn.XLOOKUP(D1164, Products!A:A, Products!C:C)</f>
        <v>Sports</v>
      </c>
      <c r="N1164" t="str">
        <f>_xlfn.XLOOKUP(E1164, Sales_Reps!A:A, Sales_Reps!C:C)</f>
        <v>West</v>
      </c>
      <c r="O1164">
        <f>_xlfn.XLOOKUP(D1164, Products!A:A, Products!D:D)</f>
        <v>1860</v>
      </c>
      <c r="P1164">
        <f>_xlfn.XLOOKUP(D1164, Products!A:A, Products!E:E)</f>
        <v>3780</v>
      </c>
    </row>
    <row r="1165" spans="1:16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 t="shared" si="18"/>
        <v>Pune</v>
      </c>
      <c r="M1165" t="str">
        <f>_xlfn.XLOOKUP(D1165, Products!A:A, Products!C:C)</f>
        <v>Home</v>
      </c>
      <c r="N1165" t="str">
        <f>_xlfn.XLOOKUP(E1165, Sales_Reps!A:A, Sales_Reps!C:C)</f>
        <v>West</v>
      </c>
      <c r="O1165">
        <f>_xlfn.XLOOKUP(D1165, Products!A:A, Products!D:D)</f>
        <v>519</v>
      </c>
      <c r="P1165">
        <f>_xlfn.XLOOKUP(D1165, Products!A:A, Products!E:E)</f>
        <v>1080</v>
      </c>
    </row>
    <row r="1166" spans="1:16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 t="shared" si="18"/>
        <v>Bengaluru</v>
      </c>
      <c r="M1166" t="str">
        <f>_xlfn.XLOOKUP(D1166, Products!A:A, Products!C:C)</f>
        <v>Electronics</v>
      </c>
      <c r="N1166" t="str">
        <f>_xlfn.XLOOKUP(E1166, Sales_Reps!A:A, Sales_Reps!C:C)</f>
        <v>East</v>
      </c>
      <c r="O1166">
        <f>_xlfn.XLOOKUP(D1166, Products!A:A, Products!D:D)</f>
        <v>1052</v>
      </c>
      <c r="P1166">
        <f>_xlfn.XLOOKUP(D1166, Products!A:A, Products!E:E)</f>
        <v>2600</v>
      </c>
    </row>
    <row r="1167" spans="1:16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 t="shared" si="18"/>
        <v>Delhi</v>
      </c>
      <c r="M1167" t="str">
        <f>_xlfn.XLOOKUP(D1167, Products!A:A, Products!C:C)</f>
        <v>Apparel</v>
      </c>
      <c r="N1167" t="str">
        <f>_xlfn.XLOOKUP(E1167, Sales_Reps!A:A, Sales_Reps!C:C)</f>
        <v>North</v>
      </c>
      <c r="O1167">
        <f>_xlfn.XLOOKUP(D1167, Products!A:A, Products!D:D)</f>
        <v>1962</v>
      </c>
      <c r="P1167">
        <f>_xlfn.XLOOKUP(D1167, Products!A:A, Products!E:E)</f>
        <v>2720</v>
      </c>
    </row>
    <row r="1168" spans="1:16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 t="shared" si="18"/>
        <v>Chennai</v>
      </c>
      <c r="M1168" t="str">
        <f>_xlfn.XLOOKUP(D1168, Products!A:A, Products!C:C)</f>
        <v>Grocery</v>
      </c>
      <c r="N1168" t="str">
        <f>_xlfn.XLOOKUP(E1168, Sales_Reps!A:A, Sales_Reps!C:C)</f>
        <v>South</v>
      </c>
      <c r="O1168">
        <f>_xlfn.XLOOKUP(D1168, Products!A:A, Products!D:D)</f>
        <v>2214</v>
      </c>
      <c r="P1168">
        <f>_xlfn.XLOOKUP(D1168, Products!A:A, Products!E:E)</f>
        <v>3660</v>
      </c>
    </row>
    <row r="1169" spans="1:16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 t="shared" si="18"/>
        <v>Bengaluru</v>
      </c>
      <c r="M1169" t="str">
        <f>_xlfn.XLOOKUP(D1169, Products!A:A, Products!C:C)</f>
        <v>Beauty</v>
      </c>
      <c r="N1169" t="str">
        <f>_xlfn.XLOOKUP(E1169, Sales_Reps!A:A, Sales_Reps!C:C)</f>
        <v>North</v>
      </c>
      <c r="O1169">
        <f>_xlfn.XLOOKUP(D1169, Products!A:A, Products!D:D)</f>
        <v>1222</v>
      </c>
      <c r="P1169">
        <f>_xlfn.XLOOKUP(D1169, Products!A:A, Products!E:E)</f>
        <v>1650</v>
      </c>
    </row>
    <row r="1170" spans="1:16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 t="shared" si="18"/>
        <v>Hyderabad</v>
      </c>
      <c r="M1170" t="str">
        <f>_xlfn.XLOOKUP(D1170, Products!A:A, Products!C:C)</f>
        <v>Sports</v>
      </c>
      <c r="N1170" t="str">
        <f>_xlfn.XLOOKUP(E1170, Sales_Reps!A:A, Sales_Reps!C:C)</f>
        <v>East</v>
      </c>
      <c r="O1170">
        <f>_xlfn.XLOOKUP(D1170, Products!A:A, Products!D:D)</f>
        <v>2028</v>
      </c>
      <c r="P1170">
        <f>_xlfn.XLOOKUP(D1170, Products!A:A, Products!E:E)</f>
        <v>2860</v>
      </c>
    </row>
    <row r="1171" spans="1:16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 t="shared" si="18"/>
        <v>Hyderabad</v>
      </c>
      <c r="M1171" t="str">
        <f>_xlfn.XLOOKUP(D1171, Products!A:A, Products!C:C)</f>
        <v>Sports</v>
      </c>
      <c r="N1171" t="str">
        <f>_xlfn.XLOOKUP(E1171, Sales_Reps!A:A, Sales_Reps!C:C)</f>
        <v>West</v>
      </c>
      <c r="O1171">
        <f>_xlfn.XLOOKUP(D1171, Products!A:A, Products!D:D)</f>
        <v>2467</v>
      </c>
      <c r="P1171">
        <f>_xlfn.XLOOKUP(D1171, Products!A:A, Products!E:E)</f>
        <v>3450</v>
      </c>
    </row>
    <row r="1172" spans="1:16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 t="shared" si="18"/>
        <v>Pune</v>
      </c>
      <c r="M1172" t="str">
        <f>_xlfn.XLOOKUP(D1172, Products!A:A, Products!C:C)</f>
        <v>Home</v>
      </c>
      <c r="N1172" t="str">
        <f>_xlfn.XLOOKUP(E1172, Sales_Reps!A:A, Sales_Reps!C:C)</f>
        <v>North</v>
      </c>
      <c r="O1172">
        <f>_xlfn.XLOOKUP(D1172, Products!A:A, Products!D:D)</f>
        <v>1143</v>
      </c>
      <c r="P1172">
        <f>_xlfn.XLOOKUP(D1172, Products!A:A, Products!E:E)</f>
        <v>2030</v>
      </c>
    </row>
    <row r="1173" spans="1:16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 t="shared" si="18"/>
        <v>Pune</v>
      </c>
      <c r="M1173" t="str">
        <f>_xlfn.XLOOKUP(D1173, Products!A:A, Products!C:C)</f>
        <v>Grocery</v>
      </c>
      <c r="N1173" t="str">
        <f>_xlfn.XLOOKUP(E1173, Sales_Reps!A:A, Sales_Reps!C:C)</f>
        <v>South</v>
      </c>
      <c r="O1173">
        <f>_xlfn.XLOOKUP(D1173, Products!A:A, Products!D:D)</f>
        <v>1412</v>
      </c>
      <c r="P1173">
        <f>_xlfn.XLOOKUP(D1173, Products!A:A, Products!E:E)</f>
        <v>2270</v>
      </c>
    </row>
    <row r="1174" spans="1:16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 t="shared" si="18"/>
        <v>Mumbai</v>
      </c>
      <c r="M1174" t="str">
        <f>_xlfn.XLOOKUP(D1174, Products!A:A, Products!C:C)</f>
        <v>Home</v>
      </c>
      <c r="N1174" t="str">
        <f>_xlfn.XLOOKUP(E1174, Sales_Reps!A:A, Sales_Reps!C:C)</f>
        <v>South</v>
      </c>
      <c r="O1174">
        <f>_xlfn.XLOOKUP(D1174, Products!A:A, Products!D:D)</f>
        <v>2459</v>
      </c>
      <c r="P1174">
        <f>_xlfn.XLOOKUP(D1174, Products!A:A, Products!E:E)</f>
        <v>5080</v>
      </c>
    </row>
    <row r="1175" spans="1:16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 t="shared" si="18"/>
        <v>Pune</v>
      </c>
      <c r="M1175" t="str">
        <f>_xlfn.XLOOKUP(D1175, Products!A:A, Products!C:C)</f>
        <v>Grocery</v>
      </c>
      <c r="N1175" t="str">
        <f>_xlfn.XLOOKUP(E1175, Sales_Reps!A:A, Sales_Reps!C:C)</f>
        <v>West</v>
      </c>
      <c r="O1175">
        <f>_xlfn.XLOOKUP(D1175, Products!A:A, Products!D:D)</f>
        <v>2027</v>
      </c>
      <c r="P1175">
        <f>_xlfn.XLOOKUP(D1175, Products!A:A, Products!E:E)</f>
        <v>4070</v>
      </c>
    </row>
    <row r="1176" spans="1:16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 t="shared" si="18"/>
        <v>Chennai</v>
      </c>
      <c r="M1176" t="str">
        <f>_xlfn.XLOOKUP(D1176, Products!A:A, Products!C:C)</f>
        <v>Beauty</v>
      </c>
      <c r="N1176" t="str">
        <f>_xlfn.XLOOKUP(E2, Sales_Reps!A:A, Sales_Reps!C:C)</f>
        <v>North</v>
      </c>
      <c r="O1176">
        <f>_xlfn.XLOOKUP(D1176, Products!A:A, Products!D:D)</f>
        <v>647</v>
      </c>
      <c r="P1176">
        <f>_xlfn.XLOOKUP(D1176, Products!A:A, Products!E:E)</f>
        <v>1540</v>
      </c>
    </row>
    <row r="1177" spans="1:16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 t="shared" si="18"/>
        <v>Bengaluru</v>
      </c>
      <c r="M1177" t="str">
        <f>_xlfn.XLOOKUP(D1177, Products!A:A, Products!C:C)</f>
        <v>Beauty</v>
      </c>
      <c r="N1177" t="str">
        <f>_xlfn.XLOOKUP(E3, Sales_Reps!A:A, Sales_Reps!C:C)</f>
        <v>North</v>
      </c>
      <c r="O1177">
        <f>_xlfn.XLOOKUP(D1177, Products!A:A, Products!D:D)</f>
        <v>2237</v>
      </c>
      <c r="P1177">
        <f>_xlfn.XLOOKUP(D1177, Products!A:A, Products!E:E)</f>
        <v>5100</v>
      </c>
    </row>
    <row r="1178" spans="1:16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 t="shared" si="18"/>
        <v>Pune</v>
      </c>
      <c r="M1178" t="str">
        <f>_xlfn.XLOOKUP(D1178, Products!A:A, Products!C:C)</f>
        <v>Apparel</v>
      </c>
      <c r="N1178" t="str">
        <f>_xlfn.XLOOKUP(E4, Sales_Reps!A:A, Sales_Reps!C:C)</f>
        <v>South</v>
      </c>
      <c r="O1178">
        <f>_xlfn.XLOOKUP(D1178, Products!A:A, Products!D:D)</f>
        <v>2509</v>
      </c>
      <c r="P1178">
        <f>_xlfn.XLOOKUP(D1178, Products!A:A, Products!E:E)</f>
        <v>3620</v>
      </c>
    </row>
    <row r="1179" spans="1:16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 t="shared" si="18"/>
        <v>Pune</v>
      </c>
      <c r="M1179" t="str">
        <f>_xlfn.XLOOKUP(D1179, Products!A:A, Products!C:C)</f>
        <v>Beauty</v>
      </c>
      <c r="N1179" t="str">
        <f>_xlfn.XLOOKUP(E5, Sales_Reps!A:A, Sales_Reps!C:C)</f>
        <v>North</v>
      </c>
      <c r="O1179">
        <f>_xlfn.XLOOKUP(D1179, Products!A:A, Products!D:D)</f>
        <v>2768</v>
      </c>
      <c r="P1179">
        <f>_xlfn.XLOOKUP(D1179, Products!A:A, Products!E:E)</f>
        <v>4880</v>
      </c>
    </row>
    <row r="1180" spans="1:16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 t="shared" si="18"/>
        <v>Pune</v>
      </c>
      <c r="M1180" t="str">
        <f>_xlfn.XLOOKUP(D1180, Products!A:A, Products!C:C)</f>
        <v>Electronics</v>
      </c>
      <c r="N1180" t="str">
        <f>_xlfn.XLOOKUP(E6, Sales_Reps!A:A, Sales_Reps!C:C)</f>
        <v>North</v>
      </c>
      <c r="O1180">
        <f>_xlfn.XLOOKUP(D1180, Products!A:A, Products!D:D)</f>
        <v>1149</v>
      </c>
      <c r="P1180">
        <f>_xlfn.XLOOKUP(D1180, Products!A:A, Products!E:E)</f>
        <v>2640</v>
      </c>
    </row>
    <row r="1181" spans="1:16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 t="shared" si="18"/>
        <v>Hyderabad</v>
      </c>
      <c r="M1181" t="str">
        <f>_xlfn.XLOOKUP(D1181, Products!A:A, Products!C:C)</f>
        <v>Grocery</v>
      </c>
      <c r="N1181" t="str">
        <f>_xlfn.XLOOKUP(E7, Sales_Reps!A:A, Sales_Reps!C:C)</f>
        <v>West</v>
      </c>
      <c r="O1181">
        <f>_xlfn.XLOOKUP(D1181, Products!A:A, Products!D:D)</f>
        <v>2027</v>
      </c>
      <c r="P1181">
        <f>_xlfn.XLOOKUP(D1181, Products!A:A, Products!E:E)</f>
        <v>4070</v>
      </c>
    </row>
    <row r="1182" spans="1:16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 t="shared" si="18"/>
        <v>Chennai</v>
      </c>
      <c r="M1182" t="str">
        <f>_xlfn.XLOOKUP(D1182, Products!A:A, Products!C:C)</f>
        <v>Electronics</v>
      </c>
      <c r="N1182" t="str">
        <f>_xlfn.XLOOKUP(E8, Sales_Reps!A:A, Sales_Reps!C:C)</f>
        <v>West</v>
      </c>
      <c r="O1182">
        <f>_xlfn.XLOOKUP(D1182, Products!A:A, Products!D:D)</f>
        <v>1665</v>
      </c>
      <c r="P1182">
        <f>_xlfn.XLOOKUP(D1182, Products!A:A, Products!E:E)</f>
        <v>3570</v>
      </c>
    </row>
    <row r="1183" spans="1:16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 t="shared" si="18"/>
        <v>Chennai</v>
      </c>
      <c r="M1183" t="str">
        <f>_xlfn.XLOOKUP(D1183, Products!A:A, Products!C:C)</f>
        <v>Beauty</v>
      </c>
      <c r="N1183" t="str">
        <f>_xlfn.XLOOKUP(E9, Sales_Reps!A:A, Sales_Reps!C:C)</f>
        <v>East</v>
      </c>
      <c r="O1183">
        <f>_xlfn.XLOOKUP(D1183, Products!A:A, Products!D:D)</f>
        <v>1728</v>
      </c>
      <c r="P1183">
        <f>_xlfn.XLOOKUP(D1183, Products!A:A, Products!E:E)</f>
        <v>3350</v>
      </c>
    </row>
    <row r="1184" spans="1:16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 t="shared" si="18"/>
        <v>Chennai</v>
      </c>
      <c r="M1184" t="str">
        <f>_xlfn.XLOOKUP(D1184, Products!A:A, Products!C:C)</f>
        <v>Sports</v>
      </c>
      <c r="N1184" t="str">
        <f>_xlfn.XLOOKUP(E10, Sales_Reps!A:A, Sales_Reps!C:C)</f>
        <v>North</v>
      </c>
      <c r="O1184">
        <f>_xlfn.XLOOKUP(D1184, Products!A:A, Products!D:D)</f>
        <v>1860</v>
      </c>
      <c r="P1184">
        <f>_xlfn.XLOOKUP(D1184, Products!A:A, Products!E:E)</f>
        <v>3780</v>
      </c>
    </row>
    <row r="1185" spans="1:16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 t="shared" si="18"/>
        <v>Pune</v>
      </c>
      <c r="M1185" t="str">
        <f>_xlfn.XLOOKUP(D1185, Products!A:A, Products!C:C)</f>
        <v>Electronics</v>
      </c>
      <c r="N1185" t="str">
        <f>_xlfn.XLOOKUP(E11, Sales_Reps!A:A, Sales_Reps!C:C)</f>
        <v>West</v>
      </c>
      <c r="O1185">
        <f>_xlfn.XLOOKUP(D1185, Products!A:A, Products!D:D)</f>
        <v>1665</v>
      </c>
      <c r="P1185">
        <f>_xlfn.XLOOKUP(D1185, Products!A:A, Products!E:E)</f>
        <v>3570</v>
      </c>
    </row>
    <row r="1186" spans="1:16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 t="shared" si="18"/>
        <v>Delhi</v>
      </c>
      <c r="M1186" t="str">
        <f>_xlfn.XLOOKUP(D1186, Products!A:A, Products!C:C)</f>
        <v>Sports</v>
      </c>
      <c r="N1186" t="str">
        <f>_xlfn.XLOOKUP(E12, Sales_Reps!A:A, Sales_Reps!C:C)</f>
        <v>South</v>
      </c>
      <c r="O1186">
        <f>_xlfn.XLOOKUP(D1186, Products!A:A, Products!D:D)</f>
        <v>2028</v>
      </c>
      <c r="P1186">
        <f>_xlfn.XLOOKUP(D1186, Products!A:A, Products!E:E)</f>
        <v>2860</v>
      </c>
    </row>
    <row r="1187" spans="1:16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 t="shared" si="18"/>
        <v>Delhi</v>
      </c>
      <c r="M1187" t="str">
        <f>_xlfn.XLOOKUP(D1187, Products!A:A, Products!C:C)</f>
        <v>Apparel</v>
      </c>
      <c r="N1187" t="str">
        <f>_xlfn.XLOOKUP(E13, Sales_Reps!A:A, Sales_Reps!C:C)</f>
        <v>West</v>
      </c>
      <c r="O1187">
        <f>_xlfn.XLOOKUP(D1187, Products!A:A, Products!D:D)</f>
        <v>396</v>
      </c>
      <c r="P1187">
        <f>_xlfn.XLOOKUP(D1187, Products!A:A, Products!E:E)</f>
        <v>620</v>
      </c>
    </row>
    <row r="1188" spans="1:16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 t="shared" si="18"/>
        <v>Pune</v>
      </c>
      <c r="M1188" t="str">
        <f>_xlfn.XLOOKUP(D1188, Products!A:A, Products!C:C)</f>
        <v>Electronics</v>
      </c>
      <c r="N1188" t="str">
        <f>_xlfn.XLOOKUP(E14, Sales_Reps!A:A, Sales_Reps!C:C)</f>
        <v>North</v>
      </c>
      <c r="O1188">
        <f>_xlfn.XLOOKUP(D1188, Products!A:A, Products!D:D)</f>
        <v>1665</v>
      </c>
      <c r="P1188">
        <f>_xlfn.XLOOKUP(D1188, Products!A:A, Products!E:E)</f>
        <v>3570</v>
      </c>
    </row>
    <row r="1189" spans="1:16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 t="shared" si="18"/>
        <v>Chennai</v>
      </c>
      <c r="M1189" t="str">
        <f>_xlfn.XLOOKUP(D1189, Products!A:A, Products!C:C)</f>
        <v>Electronics</v>
      </c>
      <c r="N1189" t="str">
        <f>_xlfn.XLOOKUP(E15, Sales_Reps!A:A, Sales_Reps!C:C)</f>
        <v>West</v>
      </c>
      <c r="O1189">
        <f>_xlfn.XLOOKUP(D1189, Products!A:A, Products!D:D)</f>
        <v>2405</v>
      </c>
      <c r="P1189">
        <f>_xlfn.XLOOKUP(D1189, Products!A:A, Products!E:E)</f>
        <v>5330</v>
      </c>
    </row>
    <row r="1190" spans="1:16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 t="shared" si="18"/>
        <v>Mumbai</v>
      </c>
      <c r="M1190" t="str">
        <f>_xlfn.XLOOKUP(D1190, Products!A:A, Products!C:C)</f>
        <v>Sports</v>
      </c>
      <c r="N1190" t="str">
        <f>_xlfn.XLOOKUP(E16, Sales_Reps!A:A, Sales_Reps!C:C)</f>
        <v>North</v>
      </c>
      <c r="O1190">
        <f>_xlfn.XLOOKUP(D1190, Products!A:A, Products!D:D)</f>
        <v>2265</v>
      </c>
      <c r="P1190">
        <f>_xlfn.XLOOKUP(D1190, Products!A:A, Products!E:E)</f>
        <v>5410</v>
      </c>
    </row>
    <row r="1191" spans="1:16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 t="shared" si="18"/>
        <v>Pune</v>
      </c>
      <c r="M1191" t="str">
        <f>_xlfn.XLOOKUP(D1191, Products!A:A, Products!C:C)</f>
        <v>Home</v>
      </c>
      <c r="N1191" t="str">
        <f>_xlfn.XLOOKUP(E17, Sales_Reps!A:A, Sales_Reps!C:C)</f>
        <v>South</v>
      </c>
      <c r="O1191">
        <f>_xlfn.XLOOKUP(D1191, Products!A:A, Products!D:D)</f>
        <v>2459</v>
      </c>
      <c r="P1191">
        <f>_xlfn.XLOOKUP(D1191, Products!A:A, Products!E:E)</f>
        <v>5080</v>
      </c>
    </row>
    <row r="1192" spans="1:16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 t="shared" si="18"/>
        <v>Delhi</v>
      </c>
      <c r="M1192" t="str">
        <f>_xlfn.XLOOKUP(D1192, Products!A:A, Products!C:C)</f>
        <v>Electronics</v>
      </c>
      <c r="N1192" t="str">
        <f>_xlfn.XLOOKUP(E18, Sales_Reps!A:A, Sales_Reps!C:C)</f>
        <v>East</v>
      </c>
      <c r="O1192">
        <f>_xlfn.XLOOKUP(D1192, Products!A:A, Products!D:D)</f>
        <v>1665</v>
      </c>
      <c r="P1192">
        <f>_xlfn.XLOOKUP(D1192, Products!A:A, Products!E:E)</f>
        <v>3570</v>
      </c>
    </row>
    <row r="1193" spans="1:16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 t="shared" si="18"/>
        <v>Bengaluru</v>
      </c>
      <c r="M1193" t="str">
        <f>_xlfn.XLOOKUP(D1193, Products!A:A, Products!C:C)</f>
        <v>Grocery</v>
      </c>
      <c r="N1193" t="str">
        <f>_xlfn.XLOOKUP(E19, Sales_Reps!A:A, Sales_Reps!C:C)</f>
        <v>East</v>
      </c>
      <c r="O1193">
        <f>_xlfn.XLOOKUP(D1193, Products!A:A, Products!D:D)</f>
        <v>434</v>
      </c>
      <c r="P1193">
        <f>_xlfn.XLOOKUP(D1193, Products!A:A, Products!E:E)</f>
        <v>970</v>
      </c>
    </row>
    <row r="1194" spans="1:16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 t="shared" si="18"/>
        <v>Delhi</v>
      </c>
      <c r="M1194" t="str">
        <f>_xlfn.XLOOKUP(D1194, Products!A:A, Products!C:C)</f>
        <v>Electronics</v>
      </c>
      <c r="N1194" t="str">
        <f>_xlfn.XLOOKUP(E20, Sales_Reps!A:A, Sales_Reps!C:C)</f>
        <v>East</v>
      </c>
      <c r="O1194">
        <f>_xlfn.XLOOKUP(D1194, Products!A:A, Products!D:D)</f>
        <v>128</v>
      </c>
      <c r="P1194">
        <f>_xlfn.XLOOKUP(D1194, Products!A:A, Products!E:E)</f>
        <v>300</v>
      </c>
    </row>
    <row r="1195" spans="1:16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 t="shared" si="18"/>
        <v>Chennai</v>
      </c>
      <c r="M1195" t="str">
        <f>_xlfn.XLOOKUP(D1195, Products!A:A, Products!C:C)</f>
        <v>Beauty</v>
      </c>
      <c r="N1195" t="str">
        <f>_xlfn.XLOOKUP(E21, Sales_Reps!A:A, Sales_Reps!C:C)</f>
        <v>East</v>
      </c>
      <c r="O1195">
        <f>_xlfn.XLOOKUP(D1195, Products!A:A, Products!D:D)</f>
        <v>2617</v>
      </c>
      <c r="P1195">
        <f>_xlfn.XLOOKUP(D1195, Products!A:A, Products!E:E)</f>
        <v>6080</v>
      </c>
    </row>
    <row r="1196" spans="1:16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 t="shared" si="18"/>
        <v>Pune</v>
      </c>
      <c r="M1196" t="str">
        <f>_xlfn.XLOOKUP(D1196, Products!A:A, Products!C:C)</f>
        <v>Beauty</v>
      </c>
      <c r="N1196" t="str">
        <f>_xlfn.XLOOKUP(E22, Sales_Reps!A:A, Sales_Reps!C:C)</f>
        <v>North</v>
      </c>
      <c r="O1196">
        <f>_xlfn.XLOOKUP(D1196, Products!A:A, Products!D:D)</f>
        <v>2237</v>
      </c>
      <c r="P1196">
        <f>_xlfn.XLOOKUP(D1196, Products!A:A, Products!E:E)</f>
        <v>5100</v>
      </c>
    </row>
    <row r="1197" spans="1:16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 t="shared" si="18"/>
        <v>Mumbai</v>
      </c>
      <c r="M1197" t="str">
        <f>_xlfn.XLOOKUP(D1197, Products!A:A, Products!C:C)</f>
        <v>Apparel</v>
      </c>
      <c r="N1197" t="str">
        <f>_xlfn.XLOOKUP(E23, Sales_Reps!A:A, Sales_Reps!C:C)</f>
        <v>West</v>
      </c>
      <c r="O1197">
        <f>_xlfn.XLOOKUP(D1197, Products!A:A, Products!D:D)</f>
        <v>1748</v>
      </c>
      <c r="P1197">
        <f>_xlfn.XLOOKUP(D1197, Products!A:A, Products!E:E)</f>
        <v>3450</v>
      </c>
    </row>
    <row r="1198" spans="1:16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 t="shared" si="18"/>
        <v>Bengaluru</v>
      </c>
      <c r="M1198" t="str">
        <f>_xlfn.XLOOKUP(D1198, Products!A:A, Products!C:C)</f>
        <v>Apparel</v>
      </c>
      <c r="N1198" t="str">
        <f>_xlfn.XLOOKUP(E24, Sales_Reps!A:A, Sales_Reps!C:C)</f>
        <v>West</v>
      </c>
      <c r="O1198">
        <f>_xlfn.XLOOKUP(D1198, Products!A:A, Products!D:D)</f>
        <v>1173</v>
      </c>
      <c r="P1198">
        <f>_xlfn.XLOOKUP(D1198, Products!A:A, Products!E:E)</f>
        <v>2480</v>
      </c>
    </row>
    <row r="1199" spans="1:16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 t="shared" si="18"/>
        <v>Delhi</v>
      </c>
      <c r="M1199" t="str">
        <f>_xlfn.XLOOKUP(D1199, Products!A:A, Products!C:C)</f>
        <v>Sports</v>
      </c>
      <c r="N1199" t="str">
        <f>_xlfn.XLOOKUP(E25, Sales_Reps!A:A, Sales_Reps!C:C)</f>
        <v>North</v>
      </c>
      <c r="O1199">
        <f>_xlfn.XLOOKUP(D1199, Products!A:A, Products!D:D)</f>
        <v>147</v>
      </c>
      <c r="P1199">
        <f>_xlfn.XLOOKUP(D1199, Products!A:A, Products!E:E)</f>
        <v>190</v>
      </c>
    </row>
    <row r="1200" spans="1:16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 t="shared" si="18"/>
        <v>Bengaluru</v>
      </c>
      <c r="M1200" t="str">
        <f>_xlfn.XLOOKUP(D1200, Products!A:A, Products!C:C)</f>
        <v>Grocery</v>
      </c>
      <c r="N1200" t="str">
        <f>_xlfn.XLOOKUP(E26, Sales_Reps!A:A, Sales_Reps!C:C)</f>
        <v>East</v>
      </c>
      <c r="O1200">
        <f>_xlfn.XLOOKUP(D1200, Products!A:A, Products!D:D)</f>
        <v>1412</v>
      </c>
      <c r="P1200">
        <f>_xlfn.XLOOKUP(D1200, Products!A:A, Products!E:E)</f>
        <v>2270</v>
      </c>
    </row>
    <row r="1201" spans="1:16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 t="shared" si="18"/>
        <v>Bengaluru</v>
      </c>
      <c r="M1201" t="str">
        <f>_xlfn.XLOOKUP(D1201, Products!A:A, Products!C:C)</f>
        <v>Apparel</v>
      </c>
      <c r="N1201" t="str">
        <f>_xlfn.XLOOKUP(E27, Sales_Reps!A:A, Sales_Reps!C:C)</f>
        <v>East</v>
      </c>
      <c r="O1201">
        <f>_xlfn.XLOOKUP(D1201, Products!A:A, Products!D:D)</f>
        <v>1075</v>
      </c>
      <c r="P1201">
        <f>_xlfn.XLOOKUP(D1201, Products!A:A, Products!E:E)</f>
        <v>2510</v>
      </c>
    </row>
    <row r="1202" spans="1:16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 t="shared" si="18"/>
        <v>Pune</v>
      </c>
      <c r="M1202" t="str">
        <f>_xlfn.XLOOKUP(D1202, Products!A:A, Products!C:C)</f>
        <v>Sports</v>
      </c>
      <c r="N1202" t="str">
        <f>_xlfn.XLOOKUP(E28, Sales_Reps!A:A, Sales_Reps!C:C)</f>
        <v>North</v>
      </c>
      <c r="O1202">
        <f>_xlfn.XLOOKUP(D1202, Products!A:A, Products!D:D)</f>
        <v>1860</v>
      </c>
      <c r="P1202">
        <f>_xlfn.XLOOKUP(D1202, Products!A:A, Products!E:E)</f>
        <v>3780</v>
      </c>
    </row>
    <row r="1203" spans="1:16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 t="shared" si="18"/>
        <v>Hyderabad</v>
      </c>
      <c r="M1203" t="str">
        <f>_xlfn.XLOOKUP(D1203, Products!A:A, Products!C:C)</f>
        <v>Electronics</v>
      </c>
      <c r="N1203" t="str">
        <f>_xlfn.XLOOKUP(E29, Sales_Reps!A:A, Sales_Reps!C:C)</f>
        <v>South</v>
      </c>
      <c r="O1203">
        <f>_xlfn.XLOOKUP(D1203, Products!A:A, Products!D:D)</f>
        <v>1665</v>
      </c>
      <c r="P1203">
        <f>_xlfn.XLOOKUP(D1203, Products!A:A, Products!E:E)</f>
        <v>3570</v>
      </c>
    </row>
    <row r="1204" spans="1:16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 t="shared" si="18"/>
        <v>Pune</v>
      </c>
      <c r="M1204" t="str">
        <f>_xlfn.XLOOKUP(D1204, Products!A:A, Products!C:C)</f>
        <v>Home</v>
      </c>
      <c r="N1204" t="str">
        <f>_xlfn.XLOOKUP(E30, Sales_Reps!A:A, Sales_Reps!C:C)</f>
        <v>East</v>
      </c>
      <c r="O1204">
        <f>_xlfn.XLOOKUP(D1204, Products!A:A, Products!D:D)</f>
        <v>329</v>
      </c>
      <c r="P1204">
        <f>_xlfn.XLOOKUP(D1204, Products!A:A, Products!E:E)</f>
        <v>660</v>
      </c>
    </row>
    <row r="1205" spans="1:16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 t="shared" si="18"/>
        <v>Mumbai</v>
      </c>
      <c r="M1205" t="str">
        <f>_xlfn.XLOOKUP(D1205, Products!A:A, Products!C:C)</f>
        <v>Grocery</v>
      </c>
      <c r="N1205" t="str">
        <f>_xlfn.XLOOKUP(E31, Sales_Reps!A:A, Sales_Reps!C:C)</f>
        <v>North</v>
      </c>
      <c r="O1205">
        <f>_xlfn.XLOOKUP(D1205, Products!A:A, Products!D:D)</f>
        <v>434</v>
      </c>
      <c r="P1205">
        <f>_xlfn.XLOOKUP(D1205, Products!A:A, Products!E:E)</f>
        <v>970</v>
      </c>
    </row>
    <row r="1206" spans="1:16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 t="shared" si="18"/>
        <v>Delhi</v>
      </c>
      <c r="M1206" t="str">
        <f>_xlfn.XLOOKUP(D1206, Products!A:A, Products!C:C)</f>
        <v>Grocery</v>
      </c>
      <c r="N1206" t="str">
        <f>_xlfn.XLOOKUP(E32, Sales_Reps!A:A, Sales_Reps!C:C)</f>
        <v>North</v>
      </c>
      <c r="O1206">
        <f>_xlfn.XLOOKUP(D1206, Products!A:A, Products!D:D)</f>
        <v>1203</v>
      </c>
      <c r="P1206">
        <f>_xlfn.XLOOKUP(D1206, Products!A:A, Products!E:E)</f>
        <v>2270</v>
      </c>
    </row>
    <row r="1207" spans="1:16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 t="shared" si="18"/>
        <v>Mumbai</v>
      </c>
      <c r="M1207" t="str">
        <f>_xlfn.XLOOKUP(D1207, Products!A:A, Products!C:C)</f>
        <v>Sports</v>
      </c>
      <c r="N1207" t="str">
        <f>_xlfn.XLOOKUP(E33, Sales_Reps!A:A, Sales_Reps!C:C)</f>
        <v>West</v>
      </c>
      <c r="O1207">
        <f>_xlfn.XLOOKUP(D1207, Products!A:A, Products!D:D)</f>
        <v>974</v>
      </c>
      <c r="P1207">
        <f>_xlfn.XLOOKUP(D1207, Products!A:A, Products!E:E)</f>
        <v>2400</v>
      </c>
    </row>
    <row r="1208" spans="1:16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 t="shared" si="18"/>
        <v>Mumbai</v>
      </c>
      <c r="M1208" t="str">
        <f>_xlfn.XLOOKUP(D1208, Products!A:A, Products!C:C)</f>
        <v>Home</v>
      </c>
      <c r="N1208" t="str">
        <f>_xlfn.XLOOKUP(E34, Sales_Reps!A:A, Sales_Reps!C:C)</f>
        <v>South</v>
      </c>
      <c r="O1208">
        <f>_xlfn.XLOOKUP(D1208, Products!A:A, Products!D:D)</f>
        <v>2459</v>
      </c>
      <c r="P1208">
        <f>_xlfn.XLOOKUP(D1208, Products!A:A, Products!E:E)</f>
        <v>5080</v>
      </c>
    </row>
    <row r="1209" spans="1:16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 t="shared" si="18"/>
        <v>Bengaluru</v>
      </c>
      <c r="M1209" t="str">
        <f>_xlfn.XLOOKUP(D1209, Products!A:A, Products!C:C)</f>
        <v>Beauty</v>
      </c>
      <c r="N1209" t="str">
        <f>_xlfn.XLOOKUP(E35, Sales_Reps!A:A, Sales_Reps!C:C)</f>
        <v>East</v>
      </c>
      <c r="O1209">
        <f>_xlfn.XLOOKUP(D1209, Products!A:A, Products!D:D)</f>
        <v>1728</v>
      </c>
      <c r="P1209">
        <f>_xlfn.XLOOKUP(D1209, Products!A:A, Products!E:E)</f>
        <v>3350</v>
      </c>
    </row>
    <row r="1210" spans="1:16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 t="shared" si="18"/>
        <v>Chennai</v>
      </c>
      <c r="M1210" t="str">
        <f>_xlfn.XLOOKUP(D1210, Products!A:A, Products!C:C)</f>
        <v>Beauty</v>
      </c>
      <c r="N1210" t="str">
        <f>_xlfn.XLOOKUP(E36, Sales_Reps!A:A, Sales_Reps!C:C)</f>
        <v>East</v>
      </c>
      <c r="O1210">
        <f>_xlfn.XLOOKUP(D1210, Products!A:A, Products!D:D)</f>
        <v>647</v>
      </c>
      <c r="P1210">
        <f>_xlfn.XLOOKUP(D1210, Products!A:A, Products!E:E)</f>
        <v>1540</v>
      </c>
    </row>
    <row r="1211" spans="1:16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 t="shared" si="18"/>
        <v>Mumbai</v>
      </c>
      <c r="M1211" t="str">
        <f>_xlfn.XLOOKUP(D1211, Products!A:A, Products!C:C)</f>
        <v>Home</v>
      </c>
      <c r="N1211" t="str">
        <f>_xlfn.XLOOKUP(E37, Sales_Reps!A:A, Sales_Reps!C:C)</f>
        <v>East</v>
      </c>
      <c r="O1211">
        <f>_xlfn.XLOOKUP(D1211, Products!A:A, Products!D:D)</f>
        <v>2459</v>
      </c>
      <c r="P1211">
        <f>_xlfn.XLOOKUP(D1211, Products!A:A, Products!E:E)</f>
        <v>5080</v>
      </c>
    </row>
    <row r="1212" spans="1:16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 t="shared" si="18"/>
        <v>Mumbai</v>
      </c>
      <c r="M1212" t="str">
        <f>_xlfn.XLOOKUP(D1212, Products!A:A, Products!C:C)</f>
        <v>Apparel</v>
      </c>
      <c r="N1212" t="str">
        <f>_xlfn.XLOOKUP(E38, Sales_Reps!A:A, Sales_Reps!C:C)</f>
        <v>South</v>
      </c>
      <c r="O1212">
        <f>_xlfn.XLOOKUP(D1212, Products!A:A, Products!D:D)</f>
        <v>2629</v>
      </c>
      <c r="P1212">
        <f>_xlfn.XLOOKUP(D1212, Products!A:A, Products!E:E)</f>
        <v>3560</v>
      </c>
    </row>
    <row r="1213" spans="1:16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 t="shared" si="18"/>
        <v>Bengaluru</v>
      </c>
      <c r="M1213" t="str">
        <f>_xlfn.XLOOKUP(D1213, Products!A:A, Products!C:C)</f>
        <v>Home</v>
      </c>
      <c r="N1213" t="str">
        <f>_xlfn.XLOOKUP(E39, Sales_Reps!A:A, Sales_Reps!C:C)</f>
        <v>North</v>
      </c>
      <c r="O1213">
        <f>_xlfn.XLOOKUP(D1213, Products!A:A, Products!D:D)</f>
        <v>519</v>
      </c>
      <c r="P1213">
        <f>_xlfn.XLOOKUP(D1213, Products!A:A, Products!E:E)</f>
        <v>1080</v>
      </c>
    </row>
    <row r="1214" spans="1:16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 t="shared" si="18"/>
        <v>Mumbai</v>
      </c>
      <c r="M1214" t="str">
        <f>_xlfn.XLOOKUP(D1214, Products!A:A, Products!C:C)</f>
        <v>Grocery</v>
      </c>
      <c r="N1214" t="str">
        <f>_xlfn.XLOOKUP(E40, Sales_Reps!A:A, Sales_Reps!C:C)</f>
        <v>South</v>
      </c>
      <c r="O1214">
        <f>_xlfn.XLOOKUP(D1214, Products!A:A, Products!D:D)</f>
        <v>1182</v>
      </c>
      <c r="P1214">
        <f>_xlfn.XLOOKUP(D1214, Products!A:A, Products!E:E)</f>
        <v>2380</v>
      </c>
    </row>
    <row r="1215" spans="1:16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 t="shared" si="18"/>
        <v>Chennai</v>
      </c>
      <c r="M1215" t="str">
        <f>_xlfn.XLOOKUP(D1215, Products!A:A, Products!C:C)</f>
        <v>Apparel</v>
      </c>
      <c r="N1215" t="str">
        <f>_xlfn.XLOOKUP(E41, Sales_Reps!A:A, Sales_Reps!C:C)</f>
        <v>East</v>
      </c>
      <c r="O1215">
        <f>_xlfn.XLOOKUP(D1215, Products!A:A, Products!D:D)</f>
        <v>1173</v>
      </c>
      <c r="P1215">
        <f>_xlfn.XLOOKUP(D1215, Products!A:A, Products!E:E)</f>
        <v>2480</v>
      </c>
    </row>
    <row r="1216" spans="1:16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 t="shared" si="18"/>
        <v>Hyderabad</v>
      </c>
      <c r="M1216" t="str">
        <f>_xlfn.XLOOKUP(D1216, Products!A:A, Products!C:C)</f>
        <v>Beauty</v>
      </c>
      <c r="N1216" t="str">
        <f>_xlfn.XLOOKUP(E42, Sales_Reps!A:A, Sales_Reps!C:C)</f>
        <v>North</v>
      </c>
      <c r="O1216">
        <f>_xlfn.XLOOKUP(D1216, Products!A:A, Products!D:D)</f>
        <v>1219</v>
      </c>
      <c r="P1216">
        <f>_xlfn.XLOOKUP(D1216, Products!A:A, Products!E:E)</f>
        <v>2290</v>
      </c>
    </row>
    <row r="1217" spans="1:16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 t="shared" si="18"/>
        <v>Mumbai</v>
      </c>
      <c r="M1217" t="str">
        <f>_xlfn.XLOOKUP(D1217, Products!A:A, Products!C:C)</f>
        <v>Apparel</v>
      </c>
      <c r="N1217" t="str">
        <f>_xlfn.XLOOKUP(E43, Sales_Reps!A:A, Sales_Reps!C:C)</f>
        <v>South</v>
      </c>
      <c r="O1217">
        <f>_xlfn.XLOOKUP(D1217, Products!A:A, Products!D:D)</f>
        <v>1748</v>
      </c>
      <c r="P1217">
        <f>_xlfn.XLOOKUP(D1217, Products!A:A, Products!E:E)</f>
        <v>3450</v>
      </c>
    </row>
    <row r="1218" spans="1:16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 t="shared" si="18"/>
        <v>Delhi</v>
      </c>
      <c r="M1218" t="str">
        <f>_xlfn.XLOOKUP(D1218, Products!A:A, Products!C:C)</f>
        <v>Beauty</v>
      </c>
      <c r="N1218" t="str">
        <f>_xlfn.XLOOKUP(E44, Sales_Reps!A:A, Sales_Reps!C:C)</f>
        <v>East</v>
      </c>
      <c r="O1218">
        <f>_xlfn.XLOOKUP(D1218, Products!A:A, Products!D:D)</f>
        <v>2420</v>
      </c>
      <c r="P1218">
        <f>_xlfn.XLOOKUP(D1218, Products!A:A, Products!E:E)</f>
        <v>3450</v>
      </c>
    </row>
    <row r="1219" spans="1:16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 t="shared" ref="L1219:L1282" si="19">PROPER(TRIM(K1219))</f>
        <v>Bengaluru</v>
      </c>
      <c r="M1219" t="str">
        <f>_xlfn.XLOOKUP(D1219, Products!A:A, Products!C:C)</f>
        <v>Electronics</v>
      </c>
      <c r="N1219" t="str">
        <f>_xlfn.XLOOKUP(E45, Sales_Reps!A:A, Sales_Reps!C:C)</f>
        <v>West</v>
      </c>
      <c r="O1219">
        <f>_xlfn.XLOOKUP(D1219, Products!A:A, Products!D:D)</f>
        <v>1052</v>
      </c>
      <c r="P1219">
        <f>_xlfn.XLOOKUP(D1219, Products!A:A, Products!E:E)</f>
        <v>2600</v>
      </c>
    </row>
    <row r="1220" spans="1:16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 t="shared" si="19"/>
        <v>Bengaluru</v>
      </c>
      <c r="M1220" t="str">
        <f>_xlfn.XLOOKUP(D1220, Products!A:A, Products!C:C)</f>
        <v>Grocery</v>
      </c>
      <c r="N1220" t="str">
        <f>_xlfn.XLOOKUP(E46, Sales_Reps!A:A, Sales_Reps!C:C)</f>
        <v>East</v>
      </c>
      <c r="O1220">
        <f>_xlfn.XLOOKUP(D1220, Products!A:A, Products!D:D)</f>
        <v>1435</v>
      </c>
      <c r="P1220">
        <f>_xlfn.XLOOKUP(D1220, Products!A:A, Products!E:E)</f>
        <v>2760</v>
      </c>
    </row>
    <row r="1221" spans="1:16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 t="shared" si="19"/>
        <v>Bengaluru</v>
      </c>
      <c r="M1221" t="str">
        <f>_xlfn.XLOOKUP(D1221, Products!A:A, Products!C:C)</f>
        <v>Home</v>
      </c>
      <c r="N1221" t="str">
        <f>_xlfn.XLOOKUP(E47, Sales_Reps!A:A, Sales_Reps!C:C)</f>
        <v>South</v>
      </c>
      <c r="O1221">
        <f>_xlfn.XLOOKUP(D1221, Products!A:A, Products!D:D)</f>
        <v>1850</v>
      </c>
      <c r="P1221">
        <f>_xlfn.XLOOKUP(D1221, Products!A:A, Products!E:E)</f>
        <v>4610</v>
      </c>
    </row>
    <row r="1222" spans="1:16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 t="shared" si="19"/>
        <v>Hyderabad</v>
      </c>
      <c r="M1222" t="str">
        <f>_xlfn.XLOOKUP(D1222, Products!A:A, Products!C:C)</f>
        <v>Apparel</v>
      </c>
      <c r="N1222" t="str">
        <f>_xlfn.XLOOKUP(E48, Sales_Reps!A:A, Sales_Reps!C:C)</f>
        <v>East</v>
      </c>
      <c r="O1222">
        <f>_xlfn.XLOOKUP(D1222, Products!A:A, Products!D:D)</f>
        <v>1173</v>
      </c>
      <c r="P1222">
        <f>_xlfn.XLOOKUP(D1222, Products!A:A, Products!E:E)</f>
        <v>2480</v>
      </c>
    </row>
    <row r="1223" spans="1:16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 t="shared" si="19"/>
        <v>Hyderabad</v>
      </c>
      <c r="M1223" t="str">
        <f>_xlfn.XLOOKUP(D1223, Products!A:A, Products!C:C)</f>
        <v>Sports</v>
      </c>
      <c r="N1223" t="str">
        <f>_xlfn.XLOOKUP(E49, Sales_Reps!A:A, Sales_Reps!C:C)</f>
        <v>North</v>
      </c>
      <c r="O1223">
        <f>_xlfn.XLOOKUP(D1223, Products!A:A, Products!D:D)</f>
        <v>2827</v>
      </c>
      <c r="P1223">
        <f>_xlfn.XLOOKUP(D1223, Products!A:A, Products!E:E)</f>
        <v>6940</v>
      </c>
    </row>
    <row r="1224" spans="1:16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 t="shared" si="19"/>
        <v>Delhi</v>
      </c>
      <c r="M1224" t="str">
        <f>_xlfn.XLOOKUP(D1224, Products!A:A, Products!C:C)</f>
        <v>Grocery</v>
      </c>
      <c r="N1224" t="str">
        <f>_xlfn.XLOOKUP(E50, Sales_Reps!A:A, Sales_Reps!C:C)</f>
        <v>North</v>
      </c>
      <c r="O1224">
        <f>_xlfn.XLOOKUP(D1224, Products!A:A, Products!D:D)</f>
        <v>1412</v>
      </c>
      <c r="P1224">
        <f>_xlfn.XLOOKUP(D1224, Products!A:A, Products!E:E)</f>
        <v>2270</v>
      </c>
    </row>
    <row r="1225" spans="1:16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 t="shared" si="19"/>
        <v>Bengaluru</v>
      </c>
      <c r="M1225" t="str">
        <f>_xlfn.XLOOKUP(D1225, Products!A:A, Products!C:C)</f>
        <v>Beauty</v>
      </c>
      <c r="N1225" t="str">
        <f>_xlfn.XLOOKUP(E51, Sales_Reps!A:A, Sales_Reps!C:C)</f>
        <v>West</v>
      </c>
      <c r="O1225">
        <f>_xlfn.XLOOKUP(D1225, Products!A:A, Products!D:D)</f>
        <v>2237</v>
      </c>
      <c r="P1225">
        <f>_xlfn.XLOOKUP(D1225, Products!A:A, Products!E:E)</f>
        <v>5100</v>
      </c>
    </row>
    <row r="1226" spans="1:16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 t="shared" si="19"/>
        <v>Hyderabad</v>
      </c>
      <c r="M1226" t="str">
        <f>_xlfn.XLOOKUP(D1226, Products!A:A, Products!C:C)</f>
        <v>Home</v>
      </c>
      <c r="N1226" t="str">
        <f>_xlfn.XLOOKUP(E52, Sales_Reps!A:A, Sales_Reps!C:C)</f>
        <v>East</v>
      </c>
      <c r="O1226">
        <f>_xlfn.XLOOKUP(D1226, Products!A:A, Products!D:D)</f>
        <v>1556</v>
      </c>
      <c r="P1226">
        <f>_xlfn.XLOOKUP(D1226, Products!A:A, Products!E:E)</f>
        <v>3250</v>
      </c>
    </row>
    <row r="1227" spans="1:16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 t="shared" si="19"/>
        <v>Bengaluru</v>
      </c>
      <c r="M1227" t="str">
        <f>_xlfn.XLOOKUP(D1227, Products!A:A, Products!C:C)</f>
        <v>Electronics</v>
      </c>
      <c r="N1227" t="str">
        <f>_xlfn.XLOOKUP(E53, Sales_Reps!A:A, Sales_Reps!C:C)</f>
        <v>South</v>
      </c>
      <c r="O1227">
        <f>_xlfn.XLOOKUP(D1227, Products!A:A, Products!D:D)</f>
        <v>2865</v>
      </c>
      <c r="P1227">
        <f>_xlfn.XLOOKUP(D1227, Products!A:A, Products!E:E)</f>
        <v>3970</v>
      </c>
    </row>
    <row r="1228" spans="1:16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 t="shared" si="19"/>
        <v>Hyderabad</v>
      </c>
      <c r="M1228" t="str">
        <f>_xlfn.XLOOKUP(D1228, Products!A:A, Products!C:C)</f>
        <v>Electronics</v>
      </c>
      <c r="N1228" t="str">
        <f>_xlfn.XLOOKUP(E54, Sales_Reps!A:A, Sales_Reps!C:C)</f>
        <v>South</v>
      </c>
      <c r="O1228">
        <f>_xlfn.XLOOKUP(D1228, Products!A:A, Products!D:D)</f>
        <v>2405</v>
      </c>
      <c r="P1228">
        <f>_xlfn.XLOOKUP(D1228, Products!A:A, Products!E:E)</f>
        <v>5330</v>
      </c>
    </row>
    <row r="1229" spans="1:16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 t="shared" si="19"/>
        <v>Bengaluru</v>
      </c>
      <c r="M1229" t="str">
        <f>_xlfn.XLOOKUP(D1229, Products!A:A, Products!C:C)</f>
        <v>Electronics</v>
      </c>
      <c r="N1229" t="str">
        <f>_xlfn.XLOOKUP(E55, Sales_Reps!A:A, Sales_Reps!C:C)</f>
        <v>East</v>
      </c>
      <c r="O1229">
        <f>_xlfn.XLOOKUP(D1229, Products!A:A, Products!D:D)</f>
        <v>1259</v>
      </c>
      <c r="P1229">
        <f>_xlfn.XLOOKUP(D1229, Products!A:A, Products!E:E)</f>
        <v>2660</v>
      </c>
    </row>
    <row r="1230" spans="1:16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 t="shared" si="19"/>
        <v>Chennai</v>
      </c>
      <c r="M1230" t="str">
        <f>_xlfn.XLOOKUP(D1230, Products!A:A, Products!C:C)</f>
        <v>Apparel</v>
      </c>
      <c r="N1230" t="str">
        <f>_xlfn.XLOOKUP(E56, Sales_Reps!A:A, Sales_Reps!C:C)</f>
        <v>North</v>
      </c>
      <c r="O1230">
        <f>_xlfn.XLOOKUP(D1230, Products!A:A, Products!D:D)</f>
        <v>1886</v>
      </c>
      <c r="P1230">
        <f>_xlfn.XLOOKUP(D1230, Products!A:A, Products!E:E)</f>
        <v>3160</v>
      </c>
    </row>
    <row r="1231" spans="1:16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 t="shared" si="19"/>
        <v>Pune</v>
      </c>
      <c r="M1231" t="str">
        <f>_xlfn.XLOOKUP(D1231, Products!A:A, Products!C:C)</f>
        <v>Sports</v>
      </c>
      <c r="N1231" t="str">
        <f>_xlfn.XLOOKUP(E57, Sales_Reps!A:A, Sales_Reps!C:C)</f>
        <v>East</v>
      </c>
      <c r="O1231">
        <f>_xlfn.XLOOKUP(D1231, Products!A:A, Products!D:D)</f>
        <v>516</v>
      </c>
      <c r="P1231">
        <f>_xlfn.XLOOKUP(D1231, Products!A:A, Products!E:E)</f>
        <v>1010</v>
      </c>
    </row>
    <row r="1232" spans="1:16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 t="shared" si="19"/>
        <v>Delhi</v>
      </c>
      <c r="M1232" t="str">
        <f>_xlfn.XLOOKUP(D1232, Products!A:A, Products!C:C)</f>
        <v>Beauty</v>
      </c>
      <c r="N1232" t="str">
        <f>_xlfn.XLOOKUP(E58, Sales_Reps!A:A, Sales_Reps!C:C)</f>
        <v>East</v>
      </c>
      <c r="O1232">
        <f>_xlfn.XLOOKUP(D1232, Products!A:A, Products!D:D)</f>
        <v>647</v>
      </c>
      <c r="P1232">
        <f>_xlfn.XLOOKUP(D1232, Products!A:A, Products!E:E)</f>
        <v>1540</v>
      </c>
    </row>
    <row r="1233" spans="1:16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 t="shared" si="19"/>
        <v>Chennai</v>
      </c>
      <c r="M1233" t="str">
        <f>_xlfn.XLOOKUP(D1233, Products!A:A, Products!C:C)</f>
        <v>Beauty</v>
      </c>
      <c r="N1233" t="str">
        <f>_xlfn.XLOOKUP(E59, Sales_Reps!A:A, Sales_Reps!C:C)</f>
        <v>North</v>
      </c>
      <c r="O1233">
        <f>_xlfn.XLOOKUP(D1233, Products!A:A, Products!D:D)</f>
        <v>2237</v>
      </c>
      <c r="P1233">
        <f>_xlfn.XLOOKUP(D1233, Products!A:A, Products!E:E)</f>
        <v>5100</v>
      </c>
    </row>
    <row r="1234" spans="1:16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 t="shared" si="19"/>
        <v>Chennai</v>
      </c>
      <c r="M1234" t="str">
        <f>_xlfn.XLOOKUP(D1234, Products!A:A, Products!C:C)</f>
        <v>Electronics</v>
      </c>
      <c r="N1234" t="str">
        <f>_xlfn.XLOOKUP(E60, Sales_Reps!A:A, Sales_Reps!C:C)</f>
        <v>West</v>
      </c>
      <c r="O1234">
        <f>_xlfn.XLOOKUP(D1234, Products!A:A, Products!D:D)</f>
        <v>861</v>
      </c>
      <c r="P1234">
        <f>_xlfn.XLOOKUP(D1234, Products!A:A, Products!E:E)</f>
        <v>1430</v>
      </c>
    </row>
    <row r="1235" spans="1:16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 t="shared" si="19"/>
        <v>Hyderabad</v>
      </c>
      <c r="M1235" t="str">
        <f>_xlfn.XLOOKUP(D1235, Products!A:A, Products!C:C)</f>
        <v>Home</v>
      </c>
      <c r="N1235" t="str">
        <f>_xlfn.XLOOKUP(E61, Sales_Reps!A:A, Sales_Reps!C:C)</f>
        <v>West</v>
      </c>
      <c r="O1235">
        <f>_xlfn.XLOOKUP(D1235, Products!A:A, Products!D:D)</f>
        <v>2549</v>
      </c>
      <c r="P1235">
        <f>_xlfn.XLOOKUP(D1235, Products!A:A, Products!E:E)</f>
        <v>5490</v>
      </c>
    </row>
    <row r="1236" spans="1:16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 t="shared" si="19"/>
        <v>Hyderabad</v>
      </c>
      <c r="M1236" t="str">
        <f>_xlfn.XLOOKUP(D1236, Products!A:A, Products!C:C)</f>
        <v>Beauty</v>
      </c>
      <c r="N1236" t="str">
        <f>_xlfn.XLOOKUP(E62, Sales_Reps!A:A, Sales_Reps!C:C)</f>
        <v>South</v>
      </c>
      <c r="O1236">
        <f>_xlfn.XLOOKUP(D1236, Products!A:A, Products!D:D)</f>
        <v>1222</v>
      </c>
      <c r="P1236">
        <f>_xlfn.XLOOKUP(D1236, Products!A:A, Products!E:E)</f>
        <v>1650</v>
      </c>
    </row>
    <row r="1237" spans="1:16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 t="shared" si="19"/>
        <v>Hyderabad</v>
      </c>
      <c r="M1237" t="str">
        <f>_xlfn.XLOOKUP(D1237, Products!A:A, Products!C:C)</f>
        <v>Beauty</v>
      </c>
      <c r="N1237" t="str">
        <f>_xlfn.XLOOKUP(E63, Sales_Reps!A:A, Sales_Reps!C:C)</f>
        <v>North</v>
      </c>
      <c r="O1237">
        <f>_xlfn.XLOOKUP(D1237, Products!A:A, Products!D:D)</f>
        <v>1626</v>
      </c>
      <c r="P1237">
        <f>_xlfn.XLOOKUP(D1237, Products!A:A, Products!E:E)</f>
        <v>3020</v>
      </c>
    </row>
    <row r="1238" spans="1:16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 t="shared" si="19"/>
        <v>Bengaluru</v>
      </c>
      <c r="M1238" t="str">
        <f>_xlfn.XLOOKUP(D1238, Products!A:A, Products!C:C)</f>
        <v>Beauty</v>
      </c>
      <c r="N1238" t="str">
        <f>_xlfn.XLOOKUP(E64, Sales_Reps!A:A, Sales_Reps!C:C)</f>
        <v>East</v>
      </c>
      <c r="O1238">
        <f>_xlfn.XLOOKUP(D1238, Products!A:A, Products!D:D)</f>
        <v>647</v>
      </c>
      <c r="P1238">
        <f>_xlfn.XLOOKUP(D1238, Products!A:A, Products!E:E)</f>
        <v>1540</v>
      </c>
    </row>
    <row r="1239" spans="1:16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 t="shared" si="19"/>
        <v>Pune</v>
      </c>
      <c r="M1239" t="str">
        <f>_xlfn.XLOOKUP(D1239, Products!A:A, Products!C:C)</f>
        <v>Sports</v>
      </c>
      <c r="N1239" t="str">
        <f>_xlfn.XLOOKUP(E65, Sales_Reps!A:A, Sales_Reps!C:C)</f>
        <v>North</v>
      </c>
      <c r="O1239">
        <f>_xlfn.XLOOKUP(D1239, Products!A:A, Products!D:D)</f>
        <v>2827</v>
      </c>
      <c r="P1239">
        <f>_xlfn.XLOOKUP(D1239, Products!A:A, Products!E:E)</f>
        <v>6940</v>
      </c>
    </row>
    <row r="1240" spans="1:16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 t="shared" si="19"/>
        <v>Mumbai</v>
      </c>
      <c r="M1240" t="str">
        <f>_xlfn.XLOOKUP(D1240, Products!A:A, Products!C:C)</f>
        <v>Beauty</v>
      </c>
      <c r="N1240" t="str">
        <f>_xlfn.XLOOKUP(E66, Sales_Reps!A:A, Sales_Reps!C:C)</f>
        <v>East</v>
      </c>
      <c r="O1240">
        <f>_xlfn.XLOOKUP(D1240, Products!A:A, Products!D:D)</f>
        <v>2237</v>
      </c>
      <c r="P1240">
        <f>_xlfn.XLOOKUP(D1240, Products!A:A, Products!E:E)</f>
        <v>5100</v>
      </c>
    </row>
    <row r="1241" spans="1:16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 t="shared" si="19"/>
        <v>Pune</v>
      </c>
      <c r="M1241" t="str">
        <f>_xlfn.XLOOKUP(D1241, Products!A:A, Products!C:C)</f>
        <v>Electronics</v>
      </c>
      <c r="N1241" t="str">
        <f>_xlfn.XLOOKUP(E67, Sales_Reps!A:A, Sales_Reps!C:C)</f>
        <v>East</v>
      </c>
      <c r="O1241">
        <f>_xlfn.XLOOKUP(D1241, Products!A:A, Products!D:D)</f>
        <v>2405</v>
      </c>
      <c r="P1241">
        <f>_xlfn.XLOOKUP(D1241, Products!A:A, Products!E:E)</f>
        <v>5330</v>
      </c>
    </row>
    <row r="1242" spans="1:16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 t="shared" si="19"/>
        <v>Bengaluru</v>
      </c>
      <c r="M1242" t="str">
        <f>_xlfn.XLOOKUP(D1242, Products!A:A, Products!C:C)</f>
        <v>Sports</v>
      </c>
      <c r="N1242" t="str">
        <f>_xlfn.XLOOKUP(E68, Sales_Reps!A:A, Sales_Reps!C:C)</f>
        <v>West</v>
      </c>
      <c r="O1242">
        <f>_xlfn.XLOOKUP(D1242, Products!A:A, Products!D:D)</f>
        <v>705</v>
      </c>
      <c r="P1242">
        <f>_xlfn.XLOOKUP(D1242, Products!A:A, Products!E:E)</f>
        <v>960</v>
      </c>
    </row>
    <row r="1243" spans="1:16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 t="shared" si="19"/>
        <v>Hyderabad</v>
      </c>
      <c r="M1243" t="str">
        <f>_xlfn.XLOOKUP(D1243, Products!A:A, Products!C:C)</f>
        <v>Apparel</v>
      </c>
      <c r="N1243" t="str">
        <f>_xlfn.XLOOKUP(E69, Sales_Reps!A:A, Sales_Reps!C:C)</f>
        <v>East</v>
      </c>
      <c r="O1243">
        <f>_xlfn.XLOOKUP(D1243, Products!A:A, Products!D:D)</f>
        <v>2509</v>
      </c>
      <c r="P1243">
        <f>_xlfn.XLOOKUP(D1243, Products!A:A, Products!E:E)</f>
        <v>3620</v>
      </c>
    </row>
    <row r="1244" spans="1:16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 t="shared" si="19"/>
        <v>Chennai</v>
      </c>
      <c r="M1244" t="str">
        <f>_xlfn.XLOOKUP(D1244, Products!A:A, Products!C:C)</f>
        <v>Electronics</v>
      </c>
      <c r="N1244" t="str">
        <f>_xlfn.XLOOKUP(E70, Sales_Reps!A:A, Sales_Reps!C:C)</f>
        <v>West</v>
      </c>
      <c r="O1244">
        <f>_xlfn.XLOOKUP(D1244, Products!A:A, Products!D:D)</f>
        <v>1052</v>
      </c>
      <c r="P1244">
        <f>_xlfn.XLOOKUP(D1244, Products!A:A, Products!E:E)</f>
        <v>2600</v>
      </c>
    </row>
    <row r="1245" spans="1:16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 t="shared" si="19"/>
        <v>Pune</v>
      </c>
      <c r="M1245" t="str">
        <f>_xlfn.XLOOKUP(D1245, Products!A:A, Products!C:C)</f>
        <v>Electronics</v>
      </c>
      <c r="N1245" t="str">
        <f>_xlfn.XLOOKUP(E71, Sales_Reps!A:A, Sales_Reps!C:C)</f>
        <v>West</v>
      </c>
      <c r="O1245">
        <f>_xlfn.XLOOKUP(D1245, Products!A:A, Products!D:D)</f>
        <v>1259</v>
      </c>
      <c r="P1245">
        <f>_xlfn.XLOOKUP(D1245, Products!A:A, Products!E:E)</f>
        <v>2660</v>
      </c>
    </row>
    <row r="1246" spans="1:16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 t="shared" si="19"/>
        <v>Mumbai</v>
      </c>
      <c r="M1246" t="str">
        <f>_xlfn.XLOOKUP(D1246, Products!A:A, Products!C:C)</f>
        <v>Apparel</v>
      </c>
      <c r="N1246" t="str">
        <f>_xlfn.XLOOKUP(E72, Sales_Reps!A:A, Sales_Reps!C:C)</f>
        <v>North</v>
      </c>
      <c r="O1246">
        <f>_xlfn.XLOOKUP(D1246, Products!A:A, Products!D:D)</f>
        <v>1173</v>
      </c>
      <c r="P1246">
        <f>_xlfn.XLOOKUP(D1246, Products!A:A, Products!E:E)</f>
        <v>2480</v>
      </c>
    </row>
    <row r="1247" spans="1:16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 t="shared" si="19"/>
        <v>Delhi</v>
      </c>
      <c r="M1247" t="str">
        <f>_xlfn.XLOOKUP(D1247, Products!A:A, Products!C:C)</f>
        <v>Electronics</v>
      </c>
      <c r="N1247" t="str">
        <f>_xlfn.XLOOKUP(E73, Sales_Reps!A:A, Sales_Reps!C:C)</f>
        <v>North</v>
      </c>
      <c r="O1247">
        <f>_xlfn.XLOOKUP(D1247, Products!A:A, Products!D:D)</f>
        <v>1259</v>
      </c>
      <c r="P1247">
        <f>_xlfn.XLOOKUP(D1247, Products!A:A, Products!E:E)</f>
        <v>2660</v>
      </c>
    </row>
    <row r="1248" spans="1:16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 t="shared" si="19"/>
        <v>Bengaluru</v>
      </c>
      <c r="M1248" t="str">
        <f>_xlfn.XLOOKUP(D1248, Products!A:A, Products!C:C)</f>
        <v>Electronics</v>
      </c>
      <c r="N1248" t="str">
        <f>_xlfn.XLOOKUP(E74, Sales_Reps!A:A, Sales_Reps!C:C)</f>
        <v>North</v>
      </c>
      <c r="O1248">
        <f>_xlfn.XLOOKUP(D1248, Products!A:A, Products!D:D)</f>
        <v>2405</v>
      </c>
      <c r="P1248">
        <f>_xlfn.XLOOKUP(D1248, Products!A:A, Products!E:E)</f>
        <v>5330</v>
      </c>
    </row>
    <row r="1249" spans="1:16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 t="shared" si="19"/>
        <v>Bengaluru</v>
      </c>
      <c r="M1249" t="str">
        <f>_xlfn.XLOOKUP(D1249, Products!A:A, Products!C:C)</f>
        <v>Sports</v>
      </c>
      <c r="N1249" t="str">
        <f>_xlfn.XLOOKUP(E75, Sales_Reps!A:A, Sales_Reps!C:C)</f>
        <v>East</v>
      </c>
      <c r="O1249">
        <f>_xlfn.XLOOKUP(D1249, Products!A:A, Products!D:D)</f>
        <v>2467</v>
      </c>
      <c r="P1249">
        <f>_xlfn.XLOOKUP(D1249, Products!A:A, Products!E:E)</f>
        <v>3450</v>
      </c>
    </row>
    <row r="1250" spans="1:16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 t="shared" si="19"/>
        <v>Mumbai</v>
      </c>
      <c r="M1250" t="str">
        <f>_xlfn.XLOOKUP(D1250, Products!A:A, Products!C:C)</f>
        <v>Sports</v>
      </c>
      <c r="N1250" t="str">
        <f>_xlfn.XLOOKUP(E76, Sales_Reps!A:A, Sales_Reps!C:C)</f>
        <v>South</v>
      </c>
      <c r="O1250">
        <f>_xlfn.XLOOKUP(D1250, Products!A:A, Products!D:D)</f>
        <v>147</v>
      </c>
      <c r="P1250">
        <f>_xlfn.XLOOKUP(D1250, Products!A:A, Products!E:E)</f>
        <v>190</v>
      </c>
    </row>
    <row r="1251" spans="1:16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 t="shared" si="19"/>
        <v>Chennai</v>
      </c>
      <c r="M1251" t="str">
        <f>_xlfn.XLOOKUP(D1251, Products!A:A, Products!C:C)</f>
        <v>Electronics</v>
      </c>
      <c r="N1251" t="str">
        <f>_xlfn.XLOOKUP(E77, Sales_Reps!A:A, Sales_Reps!C:C)</f>
        <v>East</v>
      </c>
      <c r="O1251">
        <f>_xlfn.XLOOKUP(D1251, Products!A:A, Products!D:D)</f>
        <v>2865</v>
      </c>
      <c r="P1251">
        <f>_xlfn.XLOOKUP(D1251, Products!A:A, Products!E:E)</f>
        <v>3970</v>
      </c>
    </row>
    <row r="1252" spans="1:16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 t="shared" si="19"/>
        <v>Hyderabad</v>
      </c>
      <c r="M1252" t="str">
        <f>_xlfn.XLOOKUP(D1252, Products!A:A, Products!C:C)</f>
        <v>Home</v>
      </c>
      <c r="N1252" t="str">
        <f>_xlfn.XLOOKUP(E78, Sales_Reps!A:A, Sales_Reps!C:C)</f>
        <v>East</v>
      </c>
      <c r="O1252">
        <f>_xlfn.XLOOKUP(D1252, Products!A:A, Products!D:D)</f>
        <v>1850</v>
      </c>
      <c r="P1252">
        <f>_xlfn.XLOOKUP(D1252, Products!A:A, Products!E:E)</f>
        <v>4610</v>
      </c>
    </row>
    <row r="1253" spans="1:16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 t="shared" si="19"/>
        <v>Mumbai</v>
      </c>
      <c r="M1253" t="str">
        <f>_xlfn.XLOOKUP(D1253, Products!A:A, Products!C:C)</f>
        <v>Apparel</v>
      </c>
      <c r="N1253" t="str">
        <f>_xlfn.XLOOKUP(E79, Sales_Reps!A:A, Sales_Reps!C:C)</f>
        <v>East</v>
      </c>
      <c r="O1253">
        <f>_xlfn.XLOOKUP(D1253, Products!A:A, Products!D:D)</f>
        <v>396</v>
      </c>
      <c r="P1253">
        <f>_xlfn.XLOOKUP(D1253, Products!A:A, Products!E:E)</f>
        <v>620</v>
      </c>
    </row>
    <row r="1254" spans="1:16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 t="shared" si="19"/>
        <v>Bengaluru</v>
      </c>
      <c r="M1254" t="str">
        <f>_xlfn.XLOOKUP(D1254, Products!A:A, Products!C:C)</f>
        <v>Beauty</v>
      </c>
      <c r="N1254" t="str">
        <f>_xlfn.XLOOKUP(E80, Sales_Reps!A:A, Sales_Reps!C:C)</f>
        <v>West</v>
      </c>
      <c r="O1254">
        <f>_xlfn.XLOOKUP(D1254, Products!A:A, Products!D:D)</f>
        <v>647</v>
      </c>
      <c r="P1254">
        <f>_xlfn.XLOOKUP(D1254, Products!A:A, Products!E:E)</f>
        <v>1540</v>
      </c>
    </row>
    <row r="1255" spans="1:16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 t="shared" si="19"/>
        <v>Chennai</v>
      </c>
      <c r="M1255" t="str">
        <f>_xlfn.XLOOKUP(D1255, Products!A:A, Products!C:C)</f>
        <v>Sports</v>
      </c>
      <c r="N1255" t="str">
        <f>_xlfn.XLOOKUP(E81, Sales_Reps!A:A, Sales_Reps!C:C)</f>
        <v>West</v>
      </c>
      <c r="O1255">
        <f>_xlfn.XLOOKUP(D1255, Products!A:A, Products!D:D)</f>
        <v>302</v>
      </c>
      <c r="P1255">
        <f>_xlfn.XLOOKUP(D1255, Products!A:A, Products!E:E)</f>
        <v>470</v>
      </c>
    </row>
    <row r="1256" spans="1:16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 t="shared" si="19"/>
        <v>Delhi</v>
      </c>
      <c r="M1256" t="str">
        <f>_xlfn.XLOOKUP(D1256, Products!A:A, Products!C:C)</f>
        <v>Beauty</v>
      </c>
      <c r="N1256" t="str">
        <f>_xlfn.XLOOKUP(E82, Sales_Reps!A:A, Sales_Reps!C:C)</f>
        <v>North</v>
      </c>
      <c r="O1256">
        <f>_xlfn.XLOOKUP(D1256, Products!A:A, Products!D:D)</f>
        <v>2768</v>
      </c>
      <c r="P1256">
        <f>_xlfn.XLOOKUP(D1256, Products!A:A, Products!E:E)</f>
        <v>4880</v>
      </c>
    </row>
    <row r="1257" spans="1:16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 t="shared" si="19"/>
        <v>Mumbai</v>
      </c>
      <c r="M1257" t="str">
        <f>_xlfn.XLOOKUP(D1257, Products!A:A, Products!C:C)</f>
        <v>Sports</v>
      </c>
      <c r="N1257" t="str">
        <f>_xlfn.XLOOKUP(E83, Sales_Reps!A:A, Sales_Reps!C:C)</f>
        <v>East</v>
      </c>
      <c r="O1257">
        <f>_xlfn.XLOOKUP(D1257, Products!A:A, Products!D:D)</f>
        <v>2265</v>
      </c>
      <c r="P1257">
        <f>_xlfn.XLOOKUP(D1257, Products!A:A, Products!E:E)</f>
        <v>5410</v>
      </c>
    </row>
    <row r="1258" spans="1:16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 t="shared" si="19"/>
        <v>Chennai</v>
      </c>
      <c r="M1258" t="str">
        <f>_xlfn.XLOOKUP(D1258, Products!A:A, Products!C:C)</f>
        <v>Electronics</v>
      </c>
      <c r="N1258" t="str">
        <f>_xlfn.XLOOKUP(E84, Sales_Reps!A:A, Sales_Reps!C:C)</f>
        <v>North</v>
      </c>
      <c r="O1258">
        <f>_xlfn.XLOOKUP(D1258, Products!A:A, Products!D:D)</f>
        <v>1559</v>
      </c>
      <c r="P1258">
        <f>_xlfn.XLOOKUP(D1258, Products!A:A, Products!E:E)</f>
        <v>3870</v>
      </c>
    </row>
    <row r="1259" spans="1:16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 t="shared" si="19"/>
        <v>Delhi</v>
      </c>
      <c r="M1259" t="str">
        <f>_xlfn.XLOOKUP(D1259, Products!A:A, Products!C:C)</f>
        <v>Electronics</v>
      </c>
      <c r="N1259" t="str">
        <f>_xlfn.XLOOKUP(E85, Sales_Reps!A:A, Sales_Reps!C:C)</f>
        <v>West</v>
      </c>
      <c r="O1259">
        <f>_xlfn.XLOOKUP(D1259, Products!A:A, Products!D:D)</f>
        <v>1149</v>
      </c>
      <c r="P1259">
        <f>_xlfn.XLOOKUP(D1259, Products!A:A, Products!E:E)</f>
        <v>2640</v>
      </c>
    </row>
    <row r="1260" spans="1:16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 t="shared" si="19"/>
        <v>Chennai</v>
      </c>
      <c r="M1260" t="str">
        <f>_xlfn.XLOOKUP(D1260, Products!A:A, Products!C:C)</f>
        <v>Home</v>
      </c>
      <c r="N1260" t="str">
        <f>_xlfn.XLOOKUP(E86, Sales_Reps!A:A, Sales_Reps!C:C)</f>
        <v>South</v>
      </c>
      <c r="O1260">
        <f>_xlfn.XLOOKUP(D1260, Products!A:A, Products!D:D)</f>
        <v>2459</v>
      </c>
      <c r="P1260">
        <f>_xlfn.XLOOKUP(D1260, Products!A:A, Products!E:E)</f>
        <v>5080</v>
      </c>
    </row>
    <row r="1261" spans="1:16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 t="shared" si="19"/>
        <v>Chennai</v>
      </c>
      <c r="M1261" t="str">
        <f>_xlfn.XLOOKUP(D1261, Products!A:A, Products!C:C)</f>
        <v>Home</v>
      </c>
      <c r="N1261" t="str">
        <f>_xlfn.XLOOKUP(E87, Sales_Reps!A:A, Sales_Reps!C:C)</f>
        <v>West</v>
      </c>
      <c r="O1261">
        <f>_xlfn.XLOOKUP(D1261, Products!A:A, Products!D:D)</f>
        <v>1556</v>
      </c>
      <c r="P1261">
        <f>_xlfn.XLOOKUP(D1261, Products!A:A, Products!E:E)</f>
        <v>3250</v>
      </c>
    </row>
    <row r="1262" spans="1:16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 t="shared" si="19"/>
        <v>Chennai</v>
      </c>
      <c r="M1262" t="str">
        <f>_xlfn.XLOOKUP(D1262, Products!A:A, Products!C:C)</f>
        <v>Electronics</v>
      </c>
      <c r="N1262" t="str">
        <f>_xlfn.XLOOKUP(E88, Sales_Reps!A:A, Sales_Reps!C:C)</f>
        <v>West</v>
      </c>
      <c r="O1262">
        <f>_xlfn.XLOOKUP(D1262, Products!A:A, Products!D:D)</f>
        <v>2865</v>
      </c>
      <c r="P1262">
        <f>_xlfn.XLOOKUP(D1262, Products!A:A, Products!E:E)</f>
        <v>3970</v>
      </c>
    </row>
    <row r="1263" spans="1:16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 t="shared" si="19"/>
        <v>Pune</v>
      </c>
      <c r="M1263" t="str">
        <f>_xlfn.XLOOKUP(D1263, Products!A:A, Products!C:C)</f>
        <v>Home</v>
      </c>
      <c r="N1263" t="str">
        <f>_xlfn.XLOOKUP(E89, Sales_Reps!A:A, Sales_Reps!C:C)</f>
        <v>South</v>
      </c>
      <c r="O1263">
        <f>_xlfn.XLOOKUP(D1263, Products!A:A, Products!D:D)</f>
        <v>329</v>
      </c>
      <c r="P1263">
        <f>_xlfn.XLOOKUP(D1263, Products!A:A, Products!E:E)</f>
        <v>660</v>
      </c>
    </row>
    <row r="1264" spans="1:16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 t="shared" si="19"/>
        <v>Pune</v>
      </c>
      <c r="M1264" t="str">
        <f>_xlfn.XLOOKUP(D1264, Products!A:A, Products!C:C)</f>
        <v>Electronics</v>
      </c>
      <c r="N1264" t="str">
        <f>_xlfn.XLOOKUP(E90, Sales_Reps!A:A, Sales_Reps!C:C)</f>
        <v>North</v>
      </c>
      <c r="O1264">
        <f>_xlfn.XLOOKUP(D1264, Products!A:A, Products!D:D)</f>
        <v>1052</v>
      </c>
      <c r="P1264">
        <f>_xlfn.XLOOKUP(D1264, Products!A:A, Products!E:E)</f>
        <v>2600</v>
      </c>
    </row>
    <row r="1265" spans="1:16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 t="shared" si="19"/>
        <v>Pune</v>
      </c>
      <c r="M1265" t="str">
        <f>_xlfn.XLOOKUP(D1265, Products!A:A, Products!C:C)</f>
        <v>Home</v>
      </c>
      <c r="N1265" t="str">
        <f>_xlfn.XLOOKUP(E91, Sales_Reps!A:A, Sales_Reps!C:C)</f>
        <v>South</v>
      </c>
      <c r="O1265">
        <f>_xlfn.XLOOKUP(D1265, Products!A:A, Products!D:D)</f>
        <v>329</v>
      </c>
      <c r="P1265">
        <f>_xlfn.XLOOKUP(D1265, Products!A:A, Products!E:E)</f>
        <v>660</v>
      </c>
    </row>
    <row r="1266" spans="1:16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 t="shared" si="19"/>
        <v>Delhi</v>
      </c>
      <c r="M1266" t="str">
        <f>_xlfn.XLOOKUP(D1266, Products!A:A, Products!C:C)</f>
        <v>Grocery</v>
      </c>
      <c r="N1266" t="str">
        <f>_xlfn.XLOOKUP(E92, Sales_Reps!A:A, Sales_Reps!C:C)</f>
        <v>South</v>
      </c>
      <c r="O1266">
        <f>_xlfn.XLOOKUP(D1266, Products!A:A, Products!D:D)</f>
        <v>1182</v>
      </c>
      <c r="P1266">
        <f>_xlfn.XLOOKUP(D1266, Products!A:A, Products!E:E)</f>
        <v>2380</v>
      </c>
    </row>
    <row r="1267" spans="1:16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 t="shared" si="19"/>
        <v>Chennai</v>
      </c>
      <c r="M1267" t="str">
        <f>_xlfn.XLOOKUP(D1267, Products!A:A, Products!C:C)</f>
        <v>Beauty</v>
      </c>
      <c r="N1267" t="str">
        <f>_xlfn.XLOOKUP(E93, Sales_Reps!A:A, Sales_Reps!C:C)</f>
        <v>South</v>
      </c>
      <c r="O1267">
        <f>_xlfn.XLOOKUP(D1267, Products!A:A, Products!D:D)</f>
        <v>1222</v>
      </c>
      <c r="P1267">
        <f>_xlfn.XLOOKUP(D1267, Products!A:A, Products!E:E)</f>
        <v>1650</v>
      </c>
    </row>
    <row r="1268" spans="1:16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 t="shared" si="19"/>
        <v>Mumbai</v>
      </c>
      <c r="M1268" t="str">
        <f>_xlfn.XLOOKUP(D1268, Products!A:A, Products!C:C)</f>
        <v>Electronics</v>
      </c>
      <c r="N1268" t="str">
        <f>_xlfn.XLOOKUP(E94, Sales_Reps!A:A, Sales_Reps!C:C)</f>
        <v>North</v>
      </c>
      <c r="O1268">
        <f>_xlfn.XLOOKUP(D1268, Products!A:A, Products!D:D)</f>
        <v>1149</v>
      </c>
      <c r="P1268">
        <f>_xlfn.XLOOKUP(D1268, Products!A:A, Products!E:E)</f>
        <v>2640</v>
      </c>
    </row>
    <row r="1269" spans="1:16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 t="shared" si="19"/>
        <v>Mumbai</v>
      </c>
      <c r="M1269" t="str">
        <f>_xlfn.XLOOKUP(D1269, Products!A:A, Products!C:C)</f>
        <v>Grocery</v>
      </c>
      <c r="N1269" t="str">
        <f>_xlfn.XLOOKUP(E95, Sales_Reps!A:A, Sales_Reps!C:C)</f>
        <v>West</v>
      </c>
      <c r="O1269">
        <f>_xlfn.XLOOKUP(D1269, Products!A:A, Products!D:D)</f>
        <v>1182</v>
      </c>
      <c r="P1269">
        <f>_xlfn.XLOOKUP(D1269, Products!A:A, Products!E:E)</f>
        <v>2380</v>
      </c>
    </row>
    <row r="1270" spans="1:16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 t="shared" si="19"/>
        <v>Delhi</v>
      </c>
      <c r="M1270" t="str">
        <f>_xlfn.XLOOKUP(D1270, Products!A:A, Products!C:C)</f>
        <v>Grocery</v>
      </c>
      <c r="N1270" t="str">
        <f>_xlfn.XLOOKUP(E96, Sales_Reps!A:A, Sales_Reps!C:C)</f>
        <v>West</v>
      </c>
      <c r="O1270">
        <f>_xlfn.XLOOKUP(D1270, Products!A:A, Products!D:D)</f>
        <v>1010</v>
      </c>
      <c r="P1270">
        <f>_xlfn.XLOOKUP(D1270, Products!A:A, Products!E:E)</f>
        <v>2210</v>
      </c>
    </row>
    <row r="1271" spans="1:16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 t="shared" si="19"/>
        <v>Bengaluru</v>
      </c>
      <c r="M1271" t="str">
        <f>_xlfn.XLOOKUP(D1271, Products!A:A, Products!C:C)</f>
        <v>Beauty</v>
      </c>
      <c r="N1271" t="str">
        <f>_xlfn.XLOOKUP(E97, Sales_Reps!A:A, Sales_Reps!C:C)</f>
        <v>South</v>
      </c>
      <c r="O1271">
        <f>_xlfn.XLOOKUP(D1271, Products!A:A, Products!D:D)</f>
        <v>2617</v>
      </c>
      <c r="P1271">
        <f>_xlfn.XLOOKUP(D1271, Products!A:A, Products!E:E)</f>
        <v>6080</v>
      </c>
    </row>
    <row r="1272" spans="1:16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 t="shared" si="19"/>
        <v>Hyderabad</v>
      </c>
      <c r="M1272" t="str">
        <f>_xlfn.XLOOKUP(D1272, Products!A:A, Products!C:C)</f>
        <v>Sports</v>
      </c>
      <c r="N1272" t="str">
        <f>_xlfn.XLOOKUP(E98, Sales_Reps!A:A, Sales_Reps!C:C)</f>
        <v>West</v>
      </c>
      <c r="O1272">
        <f>_xlfn.XLOOKUP(D1272, Products!A:A, Products!D:D)</f>
        <v>516</v>
      </c>
      <c r="P1272">
        <f>_xlfn.XLOOKUP(D1272, Products!A:A, Products!E:E)</f>
        <v>1010</v>
      </c>
    </row>
    <row r="1273" spans="1:16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 t="shared" si="19"/>
        <v>Pune</v>
      </c>
      <c r="M1273" t="str">
        <f>_xlfn.XLOOKUP(D1273, Products!A:A, Products!C:C)</f>
        <v>Grocery</v>
      </c>
      <c r="N1273" t="str">
        <f>_xlfn.XLOOKUP(E99, Sales_Reps!A:A, Sales_Reps!C:C)</f>
        <v>West</v>
      </c>
      <c r="O1273">
        <f>_xlfn.XLOOKUP(D1273, Products!A:A, Products!D:D)</f>
        <v>2214</v>
      </c>
      <c r="P1273">
        <f>_xlfn.XLOOKUP(D1273, Products!A:A, Products!E:E)</f>
        <v>3660</v>
      </c>
    </row>
    <row r="1274" spans="1:16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 t="shared" si="19"/>
        <v>Bengaluru</v>
      </c>
      <c r="M1274" t="str">
        <f>_xlfn.XLOOKUP(D1274, Products!A:A, Products!C:C)</f>
        <v>Home</v>
      </c>
      <c r="N1274" t="str">
        <f>_xlfn.XLOOKUP(E100, Sales_Reps!A:A, Sales_Reps!C:C)</f>
        <v>North</v>
      </c>
      <c r="O1274">
        <f>_xlfn.XLOOKUP(D1274, Products!A:A, Products!D:D)</f>
        <v>1850</v>
      </c>
      <c r="P1274">
        <f>_xlfn.XLOOKUP(D1274, Products!A:A, Products!E:E)</f>
        <v>4610</v>
      </c>
    </row>
    <row r="1275" spans="1:16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 t="shared" si="19"/>
        <v>Bengaluru</v>
      </c>
      <c r="M1275" t="str">
        <f>_xlfn.XLOOKUP(D1275, Products!A:A, Products!C:C)</f>
        <v>Beauty</v>
      </c>
      <c r="N1275" t="str">
        <f>_xlfn.XLOOKUP(E101, Sales_Reps!A:A, Sales_Reps!C:C)</f>
        <v>West</v>
      </c>
      <c r="O1275">
        <f>_xlfn.XLOOKUP(D1275, Products!A:A, Products!D:D)</f>
        <v>2237</v>
      </c>
      <c r="P1275">
        <f>_xlfn.XLOOKUP(D1275, Products!A:A, Products!E:E)</f>
        <v>5100</v>
      </c>
    </row>
    <row r="1276" spans="1:16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 t="shared" si="19"/>
        <v>Bengaluru</v>
      </c>
      <c r="M1276" t="str">
        <f>_xlfn.XLOOKUP(D1276, Products!A:A, Products!C:C)</f>
        <v>Beauty</v>
      </c>
      <c r="N1276" t="str">
        <f>_xlfn.XLOOKUP(E102, Sales_Reps!A:A, Sales_Reps!C:C)</f>
        <v>West</v>
      </c>
      <c r="O1276">
        <f>_xlfn.XLOOKUP(D1276, Products!A:A, Products!D:D)</f>
        <v>1626</v>
      </c>
      <c r="P1276">
        <f>_xlfn.XLOOKUP(D1276, Products!A:A, Products!E:E)</f>
        <v>3020</v>
      </c>
    </row>
    <row r="1277" spans="1:16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 t="shared" si="19"/>
        <v>Mumbai</v>
      </c>
      <c r="M1277" t="str">
        <f>_xlfn.XLOOKUP(D1277, Products!A:A, Products!C:C)</f>
        <v>Sports</v>
      </c>
      <c r="N1277" t="str">
        <f>_xlfn.XLOOKUP(E103, Sales_Reps!A:A, Sales_Reps!C:C)</f>
        <v>West</v>
      </c>
      <c r="O1277">
        <f>_xlfn.XLOOKUP(D1277, Products!A:A, Products!D:D)</f>
        <v>1860</v>
      </c>
      <c r="P1277">
        <f>_xlfn.XLOOKUP(D1277, Products!A:A, Products!E:E)</f>
        <v>3780</v>
      </c>
    </row>
    <row r="1278" spans="1:16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 t="shared" si="19"/>
        <v>Pune</v>
      </c>
      <c r="M1278" t="str">
        <f>_xlfn.XLOOKUP(D1278, Products!A:A, Products!C:C)</f>
        <v>Grocery</v>
      </c>
      <c r="N1278" t="str">
        <f>_xlfn.XLOOKUP(E104, Sales_Reps!A:A, Sales_Reps!C:C)</f>
        <v>North</v>
      </c>
      <c r="O1278">
        <f>_xlfn.XLOOKUP(D1278, Products!A:A, Products!D:D)</f>
        <v>1010</v>
      </c>
      <c r="P1278">
        <f>_xlfn.XLOOKUP(D1278, Products!A:A, Products!E:E)</f>
        <v>2210</v>
      </c>
    </row>
    <row r="1279" spans="1:16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 t="shared" si="19"/>
        <v>Pune</v>
      </c>
      <c r="M1279" t="str">
        <f>_xlfn.XLOOKUP(D1279, Products!A:A, Products!C:C)</f>
        <v>Grocery</v>
      </c>
      <c r="N1279" t="str">
        <f>_xlfn.XLOOKUP(E105, Sales_Reps!A:A, Sales_Reps!C:C)</f>
        <v>East</v>
      </c>
      <c r="O1279">
        <f>_xlfn.XLOOKUP(D1279, Products!A:A, Products!D:D)</f>
        <v>1010</v>
      </c>
      <c r="P1279">
        <f>_xlfn.XLOOKUP(D1279, Products!A:A, Products!E:E)</f>
        <v>2210</v>
      </c>
    </row>
    <row r="1280" spans="1:16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 t="shared" si="19"/>
        <v>Pune</v>
      </c>
      <c r="M1280" t="str">
        <f>_xlfn.XLOOKUP(D1280, Products!A:A, Products!C:C)</f>
        <v>Beauty</v>
      </c>
      <c r="N1280" t="str">
        <f>_xlfn.XLOOKUP(E106, Sales_Reps!A:A, Sales_Reps!C:C)</f>
        <v>North</v>
      </c>
      <c r="O1280">
        <f>_xlfn.XLOOKUP(D1280, Products!A:A, Products!D:D)</f>
        <v>1222</v>
      </c>
      <c r="P1280">
        <f>_xlfn.XLOOKUP(D1280, Products!A:A, Products!E:E)</f>
        <v>1650</v>
      </c>
    </row>
    <row r="1281" spans="1:16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 t="shared" si="19"/>
        <v>Mumbai</v>
      </c>
      <c r="M1281" t="str">
        <f>_xlfn.XLOOKUP(D1281, Products!A:A, Products!C:C)</f>
        <v>Sports</v>
      </c>
      <c r="N1281" t="str">
        <f>_xlfn.XLOOKUP(E107, Sales_Reps!A:A, Sales_Reps!C:C)</f>
        <v>East</v>
      </c>
      <c r="O1281">
        <f>_xlfn.XLOOKUP(D1281, Products!A:A, Products!D:D)</f>
        <v>147</v>
      </c>
      <c r="P1281">
        <f>_xlfn.XLOOKUP(D1281, Products!A:A, Products!E:E)</f>
        <v>190</v>
      </c>
    </row>
    <row r="1282" spans="1:16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 t="shared" si="19"/>
        <v>Bengaluru</v>
      </c>
      <c r="M1282" t="str">
        <f>_xlfn.XLOOKUP(D1282, Products!A:A, Products!C:C)</f>
        <v>Sports</v>
      </c>
      <c r="N1282" t="str">
        <f>_xlfn.XLOOKUP(E108, Sales_Reps!A:A, Sales_Reps!C:C)</f>
        <v>West</v>
      </c>
      <c r="O1282">
        <f>_xlfn.XLOOKUP(D1282, Products!A:A, Products!D:D)</f>
        <v>2028</v>
      </c>
      <c r="P1282">
        <f>_xlfn.XLOOKUP(D1282, Products!A:A, Products!E:E)</f>
        <v>2860</v>
      </c>
    </row>
    <row r="1283" spans="1:16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 t="shared" ref="L1283:L1346" si="20">PROPER(TRIM(K1283))</f>
        <v>Delhi</v>
      </c>
      <c r="M1283" t="str">
        <f>_xlfn.XLOOKUP(D1283, Products!A:A, Products!C:C)</f>
        <v>Electronics</v>
      </c>
      <c r="N1283" t="str">
        <f>_xlfn.XLOOKUP(E109, Sales_Reps!A:A, Sales_Reps!C:C)</f>
        <v>West</v>
      </c>
      <c r="O1283">
        <f>_xlfn.XLOOKUP(D1283, Products!A:A, Products!D:D)</f>
        <v>128</v>
      </c>
      <c r="P1283">
        <f>_xlfn.XLOOKUP(D1283, Products!A:A, Products!E:E)</f>
        <v>300</v>
      </c>
    </row>
    <row r="1284" spans="1:16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 t="shared" si="20"/>
        <v>Mumbai</v>
      </c>
      <c r="M1284" t="str">
        <f>_xlfn.XLOOKUP(D1284, Products!A:A, Products!C:C)</f>
        <v>Beauty</v>
      </c>
      <c r="N1284" t="str">
        <f>_xlfn.XLOOKUP(E110, Sales_Reps!A:A, Sales_Reps!C:C)</f>
        <v>South</v>
      </c>
      <c r="O1284">
        <f>_xlfn.XLOOKUP(D1284, Products!A:A, Products!D:D)</f>
        <v>675</v>
      </c>
      <c r="P1284">
        <f>_xlfn.XLOOKUP(D1284, Products!A:A, Products!E:E)</f>
        <v>960</v>
      </c>
    </row>
    <row r="1285" spans="1:16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 t="shared" si="20"/>
        <v>Pune</v>
      </c>
      <c r="M1285" t="str">
        <f>_xlfn.XLOOKUP(D1285, Products!A:A, Products!C:C)</f>
        <v>Apparel</v>
      </c>
      <c r="N1285" t="str">
        <f>_xlfn.XLOOKUP(E111, Sales_Reps!A:A, Sales_Reps!C:C)</f>
        <v>West</v>
      </c>
      <c r="O1285">
        <f>_xlfn.XLOOKUP(D1285, Products!A:A, Products!D:D)</f>
        <v>391</v>
      </c>
      <c r="P1285">
        <f>_xlfn.XLOOKUP(D1285, Products!A:A, Products!E:E)</f>
        <v>820</v>
      </c>
    </row>
    <row r="1286" spans="1:16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 t="shared" si="20"/>
        <v>Chennai</v>
      </c>
      <c r="M1286" t="str">
        <f>_xlfn.XLOOKUP(D1286, Products!A:A, Products!C:C)</f>
        <v>Home</v>
      </c>
      <c r="N1286" t="str">
        <f>_xlfn.XLOOKUP(E112, Sales_Reps!A:A, Sales_Reps!C:C)</f>
        <v>West</v>
      </c>
      <c r="O1286">
        <f>_xlfn.XLOOKUP(D1286, Products!A:A, Products!D:D)</f>
        <v>288</v>
      </c>
      <c r="P1286">
        <f>_xlfn.XLOOKUP(D1286, Products!A:A, Products!E:E)</f>
        <v>370</v>
      </c>
    </row>
    <row r="1287" spans="1:16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 t="shared" si="20"/>
        <v>Mumbai</v>
      </c>
      <c r="M1287" t="str">
        <f>_xlfn.XLOOKUP(D1287, Products!A:A, Products!C:C)</f>
        <v>Home</v>
      </c>
      <c r="N1287" t="str">
        <f>_xlfn.XLOOKUP(E113, Sales_Reps!A:A, Sales_Reps!C:C)</f>
        <v>North</v>
      </c>
      <c r="O1287">
        <f>_xlfn.XLOOKUP(D1287, Products!A:A, Products!D:D)</f>
        <v>2549</v>
      </c>
      <c r="P1287">
        <f>_xlfn.XLOOKUP(D1287, Products!A:A, Products!E:E)</f>
        <v>5490</v>
      </c>
    </row>
    <row r="1288" spans="1:16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 t="shared" si="20"/>
        <v>Hyderabad</v>
      </c>
      <c r="M1288" t="str">
        <f>_xlfn.XLOOKUP(D1288, Products!A:A, Products!C:C)</f>
        <v>Home</v>
      </c>
      <c r="N1288" t="str">
        <f>_xlfn.XLOOKUP(E114, Sales_Reps!A:A, Sales_Reps!C:C)</f>
        <v>West</v>
      </c>
      <c r="O1288">
        <f>_xlfn.XLOOKUP(D1288, Products!A:A, Products!D:D)</f>
        <v>288</v>
      </c>
      <c r="P1288">
        <f>_xlfn.XLOOKUP(D1288, Products!A:A, Products!E:E)</f>
        <v>370</v>
      </c>
    </row>
    <row r="1289" spans="1:16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 t="shared" si="20"/>
        <v>Delhi</v>
      </c>
      <c r="M1289" t="str">
        <f>_xlfn.XLOOKUP(D1289, Products!A:A, Products!C:C)</f>
        <v>Sports</v>
      </c>
      <c r="N1289" t="str">
        <f>_xlfn.XLOOKUP(E115, Sales_Reps!A:A, Sales_Reps!C:C)</f>
        <v>South</v>
      </c>
      <c r="O1289">
        <f>_xlfn.XLOOKUP(D1289, Products!A:A, Products!D:D)</f>
        <v>147</v>
      </c>
      <c r="P1289">
        <f>_xlfn.XLOOKUP(D1289, Products!A:A, Products!E:E)</f>
        <v>190</v>
      </c>
    </row>
    <row r="1290" spans="1:16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 t="shared" si="20"/>
        <v>Bengaluru</v>
      </c>
      <c r="M1290" t="str">
        <f>_xlfn.XLOOKUP(D1290, Products!A:A, Products!C:C)</f>
        <v>Grocery</v>
      </c>
      <c r="N1290" t="str">
        <f>_xlfn.XLOOKUP(E116, Sales_Reps!A:A, Sales_Reps!C:C)</f>
        <v>West</v>
      </c>
      <c r="O1290">
        <f>_xlfn.XLOOKUP(D1290, Products!A:A, Products!D:D)</f>
        <v>1010</v>
      </c>
      <c r="P1290">
        <f>_xlfn.XLOOKUP(D1290, Products!A:A, Products!E:E)</f>
        <v>2210</v>
      </c>
    </row>
    <row r="1291" spans="1:16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 t="shared" si="20"/>
        <v>Bengaluru</v>
      </c>
      <c r="M1291" t="str">
        <f>_xlfn.XLOOKUP(D1291, Products!A:A, Products!C:C)</f>
        <v>Beauty</v>
      </c>
      <c r="N1291" t="str">
        <f>_xlfn.XLOOKUP(E117, Sales_Reps!A:A, Sales_Reps!C:C)</f>
        <v>West</v>
      </c>
      <c r="O1291">
        <f>_xlfn.XLOOKUP(D1291, Products!A:A, Products!D:D)</f>
        <v>1222</v>
      </c>
      <c r="P1291">
        <f>_xlfn.XLOOKUP(D1291, Products!A:A, Products!E:E)</f>
        <v>1650</v>
      </c>
    </row>
    <row r="1292" spans="1:16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 t="shared" si="20"/>
        <v>Chennai</v>
      </c>
      <c r="M1292" t="str">
        <f>_xlfn.XLOOKUP(D1292, Products!A:A, Products!C:C)</f>
        <v>Home</v>
      </c>
      <c r="N1292" t="str">
        <f>_xlfn.XLOOKUP(E118, Sales_Reps!A:A, Sales_Reps!C:C)</f>
        <v>West</v>
      </c>
      <c r="O1292">
        <f>_xlfn.XLOOKUP(D1292, Products!A:A, Products!D:D)</f>
        <v>329</v>
      </c>
      <c r="P1292">
        <f>_xlfn.XLOOKUP(D1292, Products!A:A, Products!E:E)</f>
        <v>660</v>
      </c>
    </row>
    <row r="1293" spans="1:16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 t="shared" si="20"/>
        <v>Bengaluru</v>
      </c>
      <c r="M1293" t="str">
        <f>_xlfn.XLOOKUP(D1293, Products!A:A, Products!C:C)</f>
        <v>Home</v>
      </c>
      <c r="N1293" t="str">
        <f>_xlfn.XLOOKUP(E119, Sales_Reps!A:A, Sales_Reps!C:C)</f>
        <v>South</v>
      </c>
      <c r="O1293">
        <f>_xlfn.XLOOKUP(D1293, Products!A:A, Products!D:D)</f>
        <v>1850</v>
      </c>
      <c r="P1293">
        <f>_xlfn.XLOOKUP(D1293, Products!A:A, Products!E:E)</f>
        <v>4610</v>
      </c>
    </row>
    <row r="1294" spans="1:16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 t="shared" si="20"/>
        <v>Mumbai</v>
      </c>
      <c r="M1294" t="str">
        <f>_xlfn.XLOOKUP(D1294, Products!A:A, Products!C:C)</f>
        <v>Grocery</v>
      </c>
      <c r="N1294" t="str">
        <f>_xlfn.XLOOKUP(E120, Sales_Reps!A:A, Sales_Reps!C:C)</f>
        <v>South</v>
      </c>
      <c r="O1294">
        <f>_xlfn.XLOOKUP(D1294, Products!A:A, Products!D:D)</f>
        <v>1010</v>
      </c>
      <c r="P1294">
        <f>_xlfn.XLOOKUP(D1294, Products!A:A, Products!E:E)</f>
        <v>2210</v>
      </c>
    </row>
    <row r="1295" spans="1:16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 t="shared" si="20"/>
        <v>Chennai</v>
      </c>
      <c r="M1295" t="str">
        <f>_xlfn.XLOOKUP(D1295, Products!A:A, Products!C:C)</f>
        <v>Beauty</v>
      </c>
      <c r="N1295" t="str">
        <f>_xlfn.XLOOKUP(E121, Sales_Reps!A:A, Sales_Reps!C:C)</f>
        <v>North</v>
      </c>
      <c r="O1295">
        <f>_xlfn.XLOOKUP(D1295, Products!A:A, Products!D:D)</f>
        <v>1219</v>
      </c>
      <c r="P1295">
        <f>_xlfn.XLOOKUP(D1295, Products!A:A, Products!E:E)</f>
        <v>2290</v>
      </c>
    </row>
    <row r="1296" spans="1:16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 t="shared" si="20"/>
        <v>Delhi</v>
      </c>
      <c r="M1296" t="str">
        <f>_xlfn.XLOOKUP(D1296, Products!A:A, Products!C:C)</f>
        <v>Home</v>
      </c>
      <c r="N1296" t="str">
        <f>_xlfn.XLOOKUP(E122, Sales_Reps!A:A, Sales_Reps!C:C)</f>
        <v>North</v>
      </c>
      <c r="O1296">
        <f>_xlfn.XLOOKUP(D1296, Products!A:A, Products!D:D)</f>
        <v>519</v>
      </c>
      <c r="P1296">
        <f>_xlfn.XLOOKUP(D1296, Products!A:A, Products!E:E)</f>
        <v>1080</v>
      </c>
    </row>
    <row r="1297" spans="1:16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 t="shared" si="20"/>
        <v>Pune</v>
      </c>
      <c r="M1297" t="str">
        <f>_xlfn.XLOOKUP(D1297, Products!A:A, Products!C:C)</f>
        <v>Sports</v>
      </c>
      <c r="N1297" t="str">
        <f>_xlfn.XLOOKUP(E123, Sales_Reps!A:A, Sales_Reps!C:C)</f>
        <v>North</v>
      </c>
      <c r="O1297">
        <f>_xlfn.XLOOKUP(D1297, Products!A:A, Products!D:D)</f>
        <v>705</v>
      </c>
      <c r="P1297">
        <f>_xlfn.XLOOKUP(D1297, Products!A:A, Products!E:E)</f>
        <v>960</v>
      </c>
    </row>
    <row r="1298" spans="1:16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 t="shared" si="20"/>
        <v>Mumbai</v>
      </c>
      <c r="M1298" t="str">
        <f>_xlfn.XLOOKUP(D1298, Products!A:A, Products!C:C)</f>
        <v>Sports</v>
      </c>
      <c r="N1298" t="str">
        <f>_xlfn.XLOOKUP(E124, Sales_Reps!A:A, Sales_Reps!C:C)</f>
        <v>North</v>
      </c>
      <c r="O1298">
        <f>_xlfn.XLOOKUP(D1298, Products!A:A, Products!D:D)</f>
        <v>974</v>
      </c>
      <c r="P1298">
        <f>_xlfn.XLOOKUP(D1298, Products!A:A, Products!E:E)</f>
        <v>2400</v>
      </c>
    </row>
    <row r="1299" spans="1:16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 t="shared" si="20"/>
        <v>Mumbai</v>
      </c>
      <c r="M1299" t="str">
        <f>_xlfn.XLOOKUP(D1299, Products!A:A, Products!C:C)</f>
        <v>Beauty</v>
      </c>
      <c r="N1299" t="str">
        <f>_xlfn.XLOOKUP(E125, Sales_Reps!A:A, Sales_Reps!C:C)</f>
        <v>North</v>
      </c>
      <c r="O1299">
        <f>_xlfn.XLOOKUP(D1299, Products!A:A, Products!D:D)</f>
        <v>1219</v>
      </c>
      <c r="P1299">
        <f>_xlfn.XLOOKUP(D1299, Products!A:A, Products!E:E)</f>
        <v>2290</v>
      </c>
    </row>
    <row r="1300" spans="1:16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 t="shared" si="20"/>
        <v>Chennai</v>
      </c>
      <c r="M1300" t="str">
        <f>_xlfn.XLOOKUP(D1300, Products!A:A, Products!C:C)</f>
        <v>Home</v>
      </c>
      <c r="N1300" t="str">
        <f>_xlfn.XLOOKUP(E126, Sales_Reps!A:A, Sales_Reps!C:C)</f>
        <v>West</v>
      </c>
      <c r="O1300">
        <f>_xlfn.XLOOKUP(D1300, Products!A:A, Products!D:D)</f>
        <v>519</v>
      </c>
      <c r="P1300">
        <f>_xlfn.XLOOKUP(D1300, Products!A:A, Products!E:E)</f>
        <v>1080</v>
      </c>
    </row>
    <row r="1301" spans="1:16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 t="shared" si="20"/>
        <v>Delhi</v>
      </c>
      <c r="M1301" t="str">
        <f>_xlfn.XLOOKUP(D1301, Products!A:A, Products!C:C)</f>
        <v>Home</v>
      </c>
      <c r="N1301" t="str">
        <f>_xlfn.XLOOKUP(E127, Sales_Reps!A:A, Sales_Reps!C:C)</f>
        <v>South</v>
      </c>
      <c r="O1301">
        <f>_xlfn.XLOOKUP(D1301, Products!A:A, Products!D:D)</f>
        <v>464</v>
      </c>
      <c r="P1301">
        <f>_xlfn.XLOOKUP(D1301, Products!A:A, Products!E:E)</f>
        <v>1090</v>
      </c>
    </row>
    <row r="1302" spans="1:16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 t="shared" si="20"/>
        <v>Mumbai</v>
      </c>
      <c r="M1302" t="str">
        <f>_xlfn.XLOOKUP(D1302, Products!A:A, Products!C:C)</f>
        <v>Grocery</v>
      </c>
      <c r="N1302" t="str">
        <f>_xlfn.XLOOKUP(E128, Sales_Reps!A:A, Sales_Reps!C:C)</f>
        <v>North</v>
      </c>
      <c r="O1302">
        <f>_xlfn.XLOOKUP(D1302, Products!A:A, Products!D:D)</f>
        <v>1010</v>
      </c>
      <c r="P1302">
        <f>_xlfn.XLOOKUP(D1302, Products!A:A, Products!E:E)</f>
        <v>2210</v>
      </c>
    </row>
    <row r="1303" spans="1:16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 t="shared" si="20"/>
        <v>Pune</v>
      </c>
      <c r="M1303" t="str">
        <f>_xlfn.XLOOKUP(D1303, Products!A:A, Products!C:C)</f>
        <v>Apparel</v>
      </c>
      <c r="N1303" t="str">
        <f>_xlfn.XLOOKUP(E129, Sales_Reps!A:A, Sales_Reps!C:C)</f>
        <v>North</v>
      </c>
      <c r="O1303">
        <f>_xlfn.XLOOKUP(D1303, Products!A:A, Products!D:D)</f>
        <v>2509</v>
      </c>
      <c r="P1303">
        <f>_xlfn.XLOOKUP(D1303, Products!A:A, Products!E:E)</f>
        <v>3620</v>
      </c>
    </row>
    <row r="1304" spans="1:16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 t="shared" si="20"/>
        <v>Hyderabad</v>
      </c>
      <c r="M1304" t="str">
        <f>_xlfn.XLOOKUP(D1304, Products!A:A, Products!C:C)</f>
        <v>Home</v>
      </c>
      <c r="N1304" t="str">
        <f>_xlfn.XLOOKUP(E130, Sales_Reps!A:A, Sales_Reps!C:C)</f>
        <v>North</v>
      </c>
      <c r="O1304">
        <f>_xlfn.XLOOKUP(D1304, Products!A:A, Products!D:D)</f>
        <v>1143</v>
      </c>
      <c r="P1304">
        <f>_xlfn.XLOOKUP(D1304, Products!A:A, Products!E:E)</f>
        <v>2030</v>
      </c>
    </row>
    <row r="1305" spans="1:16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 t="shared" si="20"/>
        <v>Bengaluru</v>
      </c>
      <c r="M1305" t="str">
        <f>_xlfn.XLOOKUP(D1305, Products!A:A, Products!C:C)</f>
        <v>Electronics</v>
      </c>
      <c r="N1305" t="str">
        <f>_xlfn.XLOOKUP(E131, Sales_Reps!A:A, Sales_Reps!C:C)</f>
        <v>East</v>
      </c>
      <c r="O1305">
        <f>_xlfn.XLOOKUP(D1305, Products!A:A, Products!D:D)</f>
        <v>1559</v>
      </c>
      <c r="P1305">
        <f>_xlfn.XLOOKUP(D1305, Products!A:A, Products!E:E)</f>
        <v>3870</v>
      </c>
    </row>
    <row r="1306" spans="1:16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 t="shared" si="20"/>
        <v>Bengaluru</v>
      </c>
      <c r="M1306" t="str">
        <f>_xlfn.XLOOKUP(D1306, Products!A:A, Products!C:C)</f>
        <v>Electronics</v>
      </c>
      <c r="N1306" t="str">
        <f>_xlfn.XLOOKUP(E132, Sales_Reps!A:A, Sales_Reps!C:C)</f>
        <v>North</v>
      </c>
      <c r="O1306">
        <f>_xlfn.XLOOKUP(D1306, Products!A:A, Products!D:D)</f>
        <v>1665</v>
      </c>
      <c r="P1306">
        <f>_xlfn.XLOOKUP(D1306, Products!A:A, Products!E:E)</f>
        <v>3570</v>
      </c>
    </row>
    <row r="1307" spans="1:16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 t="shared" si="20"/>
        <v>Bengaluru</v>
      </c>
      <c r="M1307" t="str">
        <f>_xlfn.XLOOKUP(D1307, Products!A:A, Products!C:C)</f>
        <v>Electronics</v>
      </c>
      <c r="N1307" t="str">
        <f>_xlfn.XLOOKUP(E133, Sales_Reps!A:A, Sales_Reps!C:C)</f>
        <v>South</v>
      </c>
      <c r="O1307">
        <f>_xlfn.XLOOKUP(D1307, Products!A:A, Products!D:D)</f>
        <v>2405</v>
      </c>
      <c r="P1307">
        <f>_xlfn.XLOOKUP(D1307, Products!A:A, Products!E:E)</f>
        <v>5330</v>
      </c>
    </row>
    <row r="1308" spans="1:16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 t="shared" si="20"/>
        <v>Pune</v>
      </c>
      <c r="M1308" t="str">
        <f>_xlfn.XLOOKUP(D1308, Products!A:A, Products!C:C)</f>
        <v>Electronics</v>
      </c>
      <c r="N1308" t="str">
        <f>_xlfn.XLOOKUP(E134, Sales_Reps!A:A, Sales_Reps!C:C)</f>
        <v>North</v>
      </c>
      <c r="O1308">
        <f>_xlfn.XLOOKUP(D1308, Products!A:A, Products!D:D)</f>
        <v>517</v>
      </c>
      <c r="P1308">
        <f>_xlfn.XLOOKUP(D1308, Products!A:A, Products!E:E)</f>
        <v>1220</v>
      </c>
    </row>
    <row r="1309" spans="1:16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 t="shared" si="20"/>
        <v>Chennai</v>
      </c>
      <c r="M1309" t="str">
        <f>_xlfn.XLOOKUP(D1309, Products!A:A, Products!C:C)</f>
        <v>Apparel</v>
      </c>
      <c r="N1309" t="str">
        <f>_xlfn.XLOOKUP(E135, Sales_Reps!A:A, Sales_Reps!C:C)</f>
        <v>East</v>
      </c>
      <c r="O1309">
        <f>_xlfn.XLOOKUP(D1309, Products!A:A, Products!D:D)</f>
        <v>1748</v>
      </c>
      <c r="P1309">
        <f>_xlfn.XLOOKUP(D1309, Products!A:A, Products!E:E)</f>
        <v>3450</v>
      </c>
    </row>
    <row r="1310" spans="1:16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 t="shared" si="20"/>
        <v>Mumbai</v>
      </c>
      <c r="M1310" t="str">
        <f>_xlfn.XLOOKUP(D1310, Products!A:A, Products!C:C)</f>
        <v>Apparel</v>
      </c>
      <c r="N1310" t="str">
        <f>_xlfn.XLOOKUP(E136, Sales_Reps!A:A, Sales_Reps!C:C)</f>
        <v>South</v>
      </c>
      <c r="O1310">
        <f>_xlfn.XLOOKUP(D1310, Products!A:A, Products!D:D)</f>
        <v>2629</v>
      </c>
      <c r="P1310">
        <f>_xlfn.XLOOKUP(D1310, Products!A:A, Products!E:E)</f>
        <v>3560</v>
      </c>
    </row>
    <row r="1311" spans="1:16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 t="shared" si="20"/>
        <v>Bengaluru</v>
      </c>
      <c r="M1311" t="str">
        <f>_xlfn.XLOOKUP(D1311, Products!A:A, Products!C:C)</f>
        <v>Home</v>
      </c>
      <c r="N1311" t="str">
        <f>_xlfn.XLOOKUP(E137, Sales_Reps!A:A, Sales_Reps!C:C)</f>
        <v>East</v>
      </c>
      <c r="O1311">
        <f>_xlfn.XLOOKUP(D1311, Products!A:A, Products!D:D)</f>
        <v>288</v>
      </c>
      <c r="P1311">
        <f>_xlfn.XLOOKUP(D1311, Products!A:A, Products!E:E)</f>
        <v>370</v>
      </c>
    </row>
    <row r="1312" spans="1:16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 t="shared" si="20"/>
        <v>Pune</v>
      </c>
      <c r="M1312" t="str">
        <f>_xlfn.XLOOKUP(D1312, Products!A:A, Products!C:C)</f>
        <v>Electronics</v>
      </c>
      <c r="N1312" t="str">
        <f>_xlfn.XLOOKUP(E138, Sales_Reps!A:A, Sales_Reps!C:C)</f>
        <v>East</v>
      </c>
      <c r="O1312">
        <f>_xlfn.XLOOKUP(D1312, Products!A:A, Products!D:D)</f>
        <v>517</v>
      </c>
      <c r="P1312">
        <f>_xlfn.XLOOKUP(D1312, Products!A:A, Products!E:E)</f>
        <v>1220</v>
      </c>
    </row>
    <row r="1313" spans="1:16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 t="shared" si="20"/>
        <v>Chennai</v>
      </c>
      <c r="M1313" t="str">
        <f>_xlfn.XLOOKUP(D1313, Products!A:A, Products!C:C)</f>
        <v>Apparel</v>
      </c>
      <c r="N1313" t="str">
        <f>_xlfn.XLOOKUP(E139, Sales_Reps!A:A, Sales_Reps!C:C)</f>
        <v>East</v>
      </c>
      <c r="O1313">
        <f>_xlfn.XLOOKUP(D1313, Products!A:A, Products!D:D)</f>
        <v>2611</v>
      </c>
      <c r="P1313">
        <f>_xlfn.XLOOKUP(D1313, Products!A:A, Products!E:E)</f>
        <v>3640</v>
      </c>
    </row>
    <row r="1314" spans="1:16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 t="shared" si="20"/>
        <v>Mumbai</v>
      </c>
      <c r="M1314" t="str">
        <f>_xlfn.XLOOKUP(D1314, Products!A:A, Products!C:C)</f>
        <v>Beauty</v>
      </c>
      <c r="N1314" t="str">
        <f>_xlfn.XLOOKUP(E140, Sales_Reps!A:A, Sales_Reps!C:C)</f>
        <v>South</v>
      </c>
      <c r="O1314">
        <f>_xlfn.XLOOKUP(D1314, Products!A:A, Products!D:D)</f>
        <v>1626</v>
      </c>
      <c r="P1314">
        <f>_xlfn.XLOOKUP(D1314, Products!A:A, Products!E:E)</f>
        <v>3020</v>
      </c>
    </row>
    <row r="1315" spans="1:16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 t="shared" si="20"/>
        <v>Hyderabad</v>
      </c>
      <c r="M1315" t="str">
        <f>_xlfn.XLOOKUP(D1315, Products!A:A, Products!C:C)</f>
        <v>Beauty</v>
      </c>
      <c r="N1315" t="str">
        <f>_xlfn.XLOOKUP(E141, Sales_Reps!A:A, Sales_Reps!C:C)</f>
        <v>North</v>
      </c>
      <c r="O1315">
        <f>_xlfn.XLOOKUP(D1315, Products!A:A, Products!D:D)</f>
        <v>2237</v>
      </c>
      <c r="P1315">
        <f>_xlfn.XLOOKUP(D1315, Products!A:A, Products!E:E)</f>
        <v>5100</v>
      </c>
    </row>
    <row r="1316" spans="1:16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 t="shared" si="20"/>
        <v>Pune</v>
      </c>
      <c r="M1316" t="str">
        <f>_xlfn.XLOOKUP(D1316, Products!A:A, Products!C:C)</f>
        <v>Electronics</v>
      </c>
      <c r="N1316" t="str">
        <f>_xlfn.XLOOKUP(E142, Sales_Reps!A:A, Sales_Reps!C:C)</f>
        <v>East</v>
      </c>
      <c r="O1316">
        <f>_xlfn.XLOOKUP(D1316, Products!A:A, Products!D:D)</f>
        <v>128</v>
      </c>
      <c r="P1316">
        <f>_xlfn.XLOOKUP(D1316, Products!A:A, Products!E:E)</f>
        <v>300</v>
      </c>
    </row>
    <row r="1317" spans="1:16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 t="shared" si="20"/>
        <v>Pune</v>
      </c>
      <c r="M1317" t="str">
        <f>_xlfn.XLOOKUP(D1317, Products!A:A, Products!C:C)</f>
        <v>Beauty</v>
      </c>
      <c r="N1317" t="str">
        <f>_xlfn.XLOOKUP(E143, Sales_Reps!A:A, Sales_Reps!C:C)</f>
        <v>North</v>
      </c>
      <c r="O1317">
        <f>_xlfn.XLOOKUP(D1317, Products!A:A, Products!D:D)</f>
        <v>1219</v>
      </c>
      <c r="P1317">
        <f>_xlfn.XLOOKUP(D1317, Products!A:A, Products!E:E)</f>
        <v>2290</v>
      </c>
    </row>
    <row r="1318" spans="1:16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 t="shared" si="20"/>
        <v>Chennai</v>
      </c>
      <c r="M1318" t="str">
        <f>_xlfn.XLOOKUP(D1318, Products!A:A, Products!C:C)</f>
        <v>Apparel</v>
      </c>
      <c r="N1318" t="str">
        <f>_xlfn.XLOOKUP(E144, Sales_Reps!A:A, Sales_Reps!C:C)</f>
        <v>South</v>
      </c>
      <c r="O1318">
        <f>_xlfn.XLOOKUP(D1318, Products!A:A, Products!D:D)</f>
        <v>2611</v>
      </c>
      <c r="P1318">
        <f>_xlfn.XLOOKUP(D1318, Products!A:A, Products!E:E)</f>
        <v>3640</v>
      </c>
    </row>
    <row r="1319" spans="1:16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 t="shared" si="20"/>
        <v>Mumbai</v>
      </c>
      <c r="M1319" t="str">
        <f>_xlfn.XLOOKUP(D1319, Products!A:A, Products!C:C)</f>
        <v>Apparel</v>
      </c>
      <c r="N1319" t="str">
        <f>_xlfn.XLOOKUP(E145, Sales_Reps!A:A, Sales_Reps!C:C)</f>
        <v>North</v>
      </c>
      <c r="O1319">
        <f>_xlfn.XLOOKUP(D1319, Products!A:A, Products!D:D)</f>
        <v>391</v>
      </c>
      <c r="P1319">
        <f>_xlfn.XLOOKUP(D1319, Products!A:A, Products!E:E)</f>
        <v>820</v>
      </c>
    </row>
    <row r="1320" spans="1:16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 t="shared" si="20"/>
        <v>Mumbai</v>
      </c>
      <c r="M1320" t="str">
        <f>_xlfn.XLOOKUP(D1320, Products!A:A, Products!C:C)</f>
        <v>Grocery</v>
      </c>
      <c r="N1320" t="str">
        <f>_xlfn.XLOOKUP(E146, Sales_Reps!A:A, Sales_Reps!C:C)</f>
        <v>West</v>
      </c>
      <c r="O1320">
        <f>_xlfn.XLOOKUP(D1320, Products!A:A, Products!D:D)</f>
        <v>434</v>
      </c>
      <c r="P1320">
        <f>_xlfn.XLOOKUP(D1320, Products!A:A, Products!E:E)</f>
        <v>970</v>
      </c>
    </row>
    <row r="1321" spans="1:16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 t="shared" si="20"/>
        <v>Hyderabad</v>
      </c>
      <c r="M1321" t="str">
        <f>_xlfn.XLOOKUP(D1321, Products!A:A, Products!C:C)</f>
        <v>Apparel</v>
      </c>
      <c r="N1321" t="str">
        <f>_xlfn.XLOOKUP(E147, Sales_Reps!A:A, Sales_Reps!C:C)</f>
        <v>East</v>
      </c>
      <c r="O1321">
        <f>_xlfn.XLOOKUP(D1321, Products!A:A, Products!D:D)</f>
        <v>2629</v>
      </c>
      <c r="P1321">
        <f>_xlfn.XLOOKUP(D1321, Products!A:A, Products!E:E)</f>
        <v>3560</v>
      </c>
    </row>
    <row r="1322" spans="1:16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 t="shared" si="20"/>
        <v>Chennai</v>
      </c>
      <c r="M1322" t="str">
        <f>_xlfn.XLOOKUP(D1322, Products!A:A, Products!C:C)</f>
        <v>Home</v>
      </c>
      <c r="N1322" t="str">
        <f>_xlfn.XLOOKUP(E148, Sales_Reps!A:A, Sales_Reps!C:C)</f>
        <v>North</v>
      </c>
      <c r="O1322">
        <f>_xlfn.XLOOKUP(D1322, Products!A:A, Products!D:D)</f>
        <v>464</v>
      </c>
      <c r="P1322">
        <f>_xlfn.XLOOKUP(D1322, Products!A:A, Products!E:E)</f>
        <v>1090</v>
      </c>
    </row>
    <row r="1323" spans="1:16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 t="shared" si="20"/>
        <v>Mumbai</v>
      </c>
      <c r="M1323" t="str">
        <f>_xlfn.XLOOKUP(D1323, Products!A:A, Products!C:C)</f>
        <v>Electronics</v>
      </c>
      <c r="N1323" t="str">
        <f>_xlfn.XLOOKUP(E149, Sales_Reps!A:A, Sales_Reps!C:C)</f>
        <v>North</v>
      </c>
      <c r="O1323">
        <f>_xlfn.XLOOKUP(D1323, Products!A:A, Products!D:D)</f>
        <v>1259</v>
      </c>
      <c r="P1323">
        <f>_xlfn.XLOOKUP(D1323, Products!A:A, Products!E:E)</f>
        <v>2660</v>
      </c>
    </row>
    <row r="1324" spans="1:16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 t="shared" si="20"/>
        <v>Hyderabad</v>
      </c>
      <c r="M1324" t="str">
        <f>_xlfn.XLOOKUP(D1324, Products!A:A, Products!C:C)</f>
        <v>Electronics</v>
      </c>
      <c r="N1324" t="str">
        <f>_xlfn.XLOOKUP(E150, Sales_Reps!A:A, Sales_Reps!C:C)</f>
        <v>South</v>
      </c>
      <c r="O1324">
        <f>_xlfn.XLOOKUP(D1324, Products!A:A, Products!D:D)</f>
        <v>2865</v>
      </c>
      <c r="P1324">
        <f>_xlfn.XLOOKUP(D1324, Products!A:A, Products!E:E)</f>
        <v>3970</v>
      </c>
    </row>
    <row r="1325" spans="1:16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 t="shared" si="20"/>
        <v>Mumbai</v>
      </c>
      <c r="M1325" t="str">
        <f>_xlfn.XLOOKUP(D1325, Products!A:A, Products!C:C)</f>
        <v>Sports</v>
      </c>
      <c r="N1325" t="str">
        <f>_xlfn.XLOOKUP(E151, Sales_Reps!A:A, Sales_Reps!C:C)</f>
        <v>West</v>
      </c>
      <c r="O1325">
        <f>_xlfn.XLOOKUP(D1325, Products!A:A, Products!D:D)</f>
        <v>2827</v>
      </c>
      <c r="P1325">
        <f>_xlfn.XLOOKUP(D1325, Products!A:A, Products!E:E)</f>
        <v>6940</v>
      </c>
    </row>
    <row r="1326" spans="1:16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 t="shared" si="20"/>
        <v>Mumbai</v>
      </c>
      <c r="M1326" t="str">
        <f>_xlfn.XLOOKUP(D1326, Products!A:A, Products!C:C)</f>
        <v>Sports</v>
      </c>
      <c r="N1326" t="str">
        <f>_xlfn.XLOOKUP(E152, Sales_Reps!A:A, Sales_Reps!C:C)</f>
        <v>South</v>
      </c>
      <c r="O1326">
        <f>_xlfn.XLOOKUP(D1326, Products!A:A, Products!D:D)</f>
        <v>974</v>
      </c>
      <c r="P1326">
        <f>_xlfn.XLOOKUP(D1326, Products!A:A, Products!E:E)</f>
        <v>2400</v>
      </c>
    </row>
    <row r="1327" spans="1:16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 t="shared" si="20"/>
        <v>Pune</v>
      </c>
      <c r="M1327" t="str">
        <f>_xlfn.XLOOKUP(D1327, Products!A:A, Products!C:C)</f>
        <v>Sports</v>
      </c>
      <c r="N1327" t="str">
        <f>_xlfn.XLOOKUP(E153, Sales_Reps!A:A, Sales_Reps!C:C)</f>
        <v>South</v>
      </c>
      <c r="O1327">
        <f>_xlfn.XLOOKUP(D1327, Products!A:A, Products!D:D)</f>
        <v>2467</v>
      </c>
      <c r="P1327">
        <f>_xlfn.XLOOKUP(D1327, Products!A:A, Products!E:E)</f>
        <v>3450</v>
      </c>
    </row>
    <row r="1328" spans="1:16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 t="shared" si="20"/>
        <v>Pune</v>
      </c>
      <c r="M1328" t="str">
        <f>_xlfn.XLOOKUP(D1328, Products!A:A, Products!C:C)</f>
        <v>Electronics</v>
      </c>
      <c r="N1328" t="str">
        <f>_xlfn.XLOOKUP(E154, Sales_Reps!A:A, Sales_Reps!C:C)</f>
        <v>South</v>
      </c>
      <c r="O1328">
        <f>_xlfn.XLOOKUP(D1328, Products!A:A, Products!D:D)</f>
        <v>517</v>
      </c>
      <c r="P1328">
        <f>_xlfn.XLOOKUP(D1328, Products!A:A, Products!E:E)</f>
        <v>1220</v>
      </c>
    </row>
    <row r="1329" spans="1:16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 t="shared" si="20"/>
        <v>Delhi</v>
      </c>
      <c r="M1329" t="str">
        <f>_xlfn.XLOOKUP(D1329, Products!A:A, Products!C:C)</f>
        <v>Apparel</v>
      </c>
      <c r="N1329" t="str">
        <f>_xlfn.XLOOKUP(E155, Sales_Reps!A:A, Sales_Reps!C:C)</f>
        <v>North</v>
      </c>
      <c r="O1329">
        <f>_xlfn.XLOOKUP(D1329, Products!A:A, Products!D:D)</f>
        <v>396</v>
      </c>
      <c r="P1329">
        <f>_xlfn.XLOOKUP(D1329, Products!A:A, Products!E:E)</f>
        <v>620</v>
      </c>
    </row>
    <row r="1330" spans="1:16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 t="shared" si="20"/>
        <v>Bengaluru</v>
      </c>
      <c r="M1330" t="str">
        <f>_xlfn.XLOOKUP(D1330, Products!A:A, Products!C:C)</f>
        <v>Electronics</v>
      </c>
      <c r="N1330" t="str">
        <f>_xlfn.XLOOKUP(E156, Sales_Reps!A:A, Sales_Reps!C:C)</f>
        <v>South</v>
      </c>
      <c r="O1330">
        <f>_xlfn.XLOOKUP(D1330, Products!A:A, Products!D:D)</f>
        <v>128</v>
      </c>
      <c r="P1330">
        <f>_xlfn.XLOOKUP(D1330, Products!A:A, Products!E:E)</f>
        <v>300</v>
      </c>
    </row>
    <row r="1331" spans="1:16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 t="shared" si="20"/>
        <v>Bengaluru</v>
      </c>
      <c r="M1331" t="str">
        <f>_xlfn.XLOOKUP(D1331, Products!A:A, Products!C:C)</f>
        <v>Sports</v>
      </c>
      <c r="N1331" t="str">
        <f>_xlfn.XLOOKUP(E157, Sales_Reps!A:A, Sales_Reps!C:C)</f>
        <v>North</v>
      </c>
      <c r="O1331">
        <f>_xlfn.XLOOKUP(D1331, Products!A:A, Products!D:D)</f>
        <v>516</v>
      </c>
      <c r="P1331">
        <f>_xlfn.XLOOKUP(D1331, Products!A:A, Products!E:E)</f>
        <v>1010</v>
      </c>
    </row>
    <row r="1332" spans="1:16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 t="shared" si="20"/>
        <v>Delhi</v>
      </c>
      <c r="M1332" t="str">
        <f>_xlfn.XLOOKUP(D1332, Products!A:A, Products!C:C)</f>
        <v>Home</v>
      </c>
      <c r="N1332" t="str">
        <f>_xlfn.XLOOKUP(E158, Sales_Reps!A:A, Sales_Reps!C:C)</f>
        <v>West</v>
      </c>
      <c r="O1332">
        <f>_xlfn.XLOOKUP(D1332, Products!A:A, Products!D:D)</f>
        <v>2459</v>
      </c>
      <c r="P1332">
        <f>_xlfn.XLOOKUP(D1332, Products!A:A, Products!E:E)</f>
        <v>5080</v>
      </c>
    </row>
    <row r="1333" spans="1:16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 t="shared" si="20"/>
        <v>Hyderabad</v>
      </c>
      <c r="M1333" t="str">
        <f>_xlfn.XLOOKUP(D1333, Products!A:A, Products!C:C)</f>
        <v>Apparel</v>
      </c>
      <c r="N1333" t="str">
        <f>_xlfn.XLOOKUP(E159, Sales_Reps!A:A, Sales_Reps!C:C)</f>
        <v>East</v>
      </c>
      <c r="O1333">
        <f>_xlfn.XLOOKUP(D1333, Products!A:A, Products!D:D)</f>
        <v>1886</v>
      </c>
      <c r="P1333">
        <f>_xlfn.XLOOKUP(D1333, Products!A:A, Products!E:E)</f>
        <v>3160</v>
      </c>
    </row>
    <row r="1334" spans="1:16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 t="shared" si="20"/>
        <v>Bengaluru</v>
      </c>
      <c r="M1334" t="str">
        <f>_xlfn.XLOOKUP(D1334, Products!A:A, Products!C:C)</f>
        <v>Beauty</v>
      </c>
      <c r="N1334" t="str">
        <f>_xlfn.XLOOKUP(E160, Sales_Reps!A:A, Sales_Reps!C:C)</f>
        <v>East</v>
      </c>
      <c r="O1334">
        <f>_xlfn.XLOOKUP(D1334, Products!A:A, Products!D:D)</f>
        <v>2420</v>
      </c>
      <c r="P1334">
        <f>_xlfn.XLOOKUP(D1334, Products!A:A, Products!E:E)</f>
        <v>3450</v>
      </c>
    </row>
    <row r="1335" spans="1:16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 t="shared" si="20"/>
        <v>Delhi</v>
      </c>
      <c r="M1335" t="str">
        <f>_xlfn.XLOOKUP(D1335, Products!A:A, Products!C:C)</f>
        <v>Electronics</v>
      </c>
      <c r="N1335" t="str">
        <f>_xlfn.XLOOKUP(E161, Sales_Reps!A:A, Sales_Reps!C:C)</f>
        <v>South</v>
      </c>
      <c r="O1335">
        <f>_xlfn.XLOOKUP(D1335, Products!A:A, Products!D:D)</f>
        <v>2405</v>
      </c>
      <c r="P1335">
        <f>_xlfn.XLOOKUP(D1335, Products!A:A, Products!E:E)</f>
        <v>5330</v>
      </c>
    </row>
    <row r="1336" spans="1:16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 t="shared" si="20"/>
        <v>Mumbai</v>
      </c>
      <c r="M1336" t="str">
        <f>_xlfn.XLOOKUP(D1336, Products!A:A, Products!C:C)</f>
        <v>Sports</v>
      </c>
      <c r="N1336" t="str">
        <f>_xlfn.XLOOKUP(E162, Sales_Reps!A:A, Sales_Reps!C:C)</f>
        <v>East</v>
      </c>
      <c r="O1336">
        <f>_xlfn.XLOOKUP(D1336, Products!A:A, Products!D:D)</f>
        <v>2827</v>
      </c>
      <c r="P1336">
        <f>_xlfn.XLOOKUP(D1336, Products!A:A, Products!E:E)</f>
        <v>6940</v>
      </c>
    </row>
    <row r="1337" spans="1:16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 t="shared" si="20"/>
        <v>Bengaluru</v>
      </c>
      <c r="M1337" t="str">
        <f>_xlfn.XLOOKUP(D1337, Products!A:A, Products!C:C)</f>
        <v>Home</v>
      </c>
      <c r="N1337" t="str">
        <f>_xlfn.XLOOKUP(E163, Sales_Reps!A:A, Sales_Reps!C:C)</f>
        <v>West</v>
      </c>
      <c r="O1337">
        <f>_xlfn.XLOOKUP(D1337, Products!A:A, Products!D:D)</f>
        <v>329</v>
      </c>
      <c r="P1337">
        <f>_xlfn.XLOOKUP(D1337, Products!A:A, Products!E:E)</f>
        <v>660</v>
      </c>
    </row>
    <row r="1338" spans="1:16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 t="shared" si="20"/>
        <v>Chennai</v>
      </c>
      <c r="M1338" t="str">
        <f>_xlfn.XLOOKUP(D1338, Products!A:A, Products!C:C)</f>
        <v>Beauty</v>
      </c>
      <c r="N1338" t="str">
        <f>_xlfn.XLOOKUP(E164, Sales_Reps!A:A, Sales_Reps!C:C)</f>
        <v>East</v>
      </c>
      <c r="O1338">
        <f>_xlfn.XLOOKUP(D1338, Products!A:A, Products!D:D)</f>
        <v>2237</v>
      </c>
      <c r="P1338">
        <f>_xlfn.XLOOKUP(D1338, Products!A:A, Products!E:E)</f>
        <v>5100</v>
      </c>
    </row>
    <row r="1339" spans="1:16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 t="shared" si="20"/>
        <v>Chennai</v>
      </c>
      <c r="M1339" t="str">
        <f>_xlfn.XLOOKUP(D1339, Products!A:A, Products!C:C)</f>
        <v>Beauty</v>
      </c>
      <c r="N1339" t="str">
        <f>_xlfn.XLOOKUP(E165, Sales_Reps!A:A, Sales_Reps!C:C)</f>
        <v>South</v>
      </c>
      <c r="O1339">
        <f>_xlfn.XLOOKUP(D1339, Products!A:A, Products!D:D)</f>
        <v>1222</v>
      </c>
      <c r="P1339">
        <f>_xlfn.XLOOKUP(D1339, Products!A:A, Products!E:E)</f>
        <v>1650</v>
      </c>
    </row>
    <row r="1340" spans="1:16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 t="shared" si="20"/>
        <v>Chennai</v>
      </c>
      <c r="M1340" t="str">
        <f>_xlfn.XLOOKUP(D1340, Products!A:A, Products!C:C)</f>
        <v>Apparel</v>
      </c>
      <c r="N1340" t="str">
        <f>_xlfn.XLOOKUP(E166, Sales_Reps!A:A, Sales_Reps!C:C)</f>
        <v>South</v>
      </c>
      <c r="O1340">
        <f>_xlfn.XLOOKUP(D1340, Products!A:A, Products!D:D)</f>
        <v>2611</v>
      </c>
      <c r="P1340">
        <f>_xlfn.XLOOKUP(D1340, Products!A:A, Products!E:E)</f>
        <v>3640</v>
      </c>
    </row>
    <row r="1341" spans="1:16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 t="shared" si="20"/>
        <v>Hyderabad</v>
      </c>
      <c r="M1341" t="str">
        <f>_xlfn.XLOOKUP(D1341, Products!A:A, Products!C:C)</f>
        <v>Beauty</v>
      </c>
      <c r="N1341" t="str">
        <f>_xlfn.XLOOKUP(E167, Sales_Reps!A:A, Sales_Reps!C:C)</f>
        <v>South</v>
      </c>
      <c r="O1341">
        <f>_xlfn.XLOOKUP(D1341, Products!A:A, Products!D:D)</f>
        <v>2768</v>
      </c>
      <c r="P1341">
        <f>_xlfn.XLOOKUP(D1341, Products!A:A, Products!E:E)</f>
        <v>4880</v>
      </c>
    </row>
    <row r="1342" spans="1:16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 t="shared" si="20"/>
        <v>Bengaluru</v>
      </c>
      <c r="M1342" t="str">
        <f>_xlfn.XLOOKUP(D1342, Products!A:A, Products!C:C)</f>
        <v>Electronics</v>
      </c>
      <c r="N1342" t="str">
        <f>_xlfn.XLOOKUP(E168, Sales_Reps!A:A, Sales_Reps!C:C)</f>
        <v>East</v>
      </c>
      <c r="O1342">
        <f>_xlfn.XLOOKUP(D1342, Products!A:A, Products!D:D)</f>
        <v>2405</v>
      </c>
      <c r="P1342">
        <f>_xlfn.XLOOKUP(D1342, Products!A:A, Products!E:E)</f>
        <v>5330</v>
      </c>
    </row>
    <row r="1343" spans="1:16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 t="shared" si="20"/>
        <v>Pune</v>
      </c>
      <c r="M1343" t="str">
        <f>_xlfn.XLOOKUP(D1343, Products!A:A, Products!C:C)</f>
        <v>Home</v>
      </c>
      <c r="N1343" t="str">
        <f>_xlfn.XLOOKUP(E169, Sales_Reps!A:A, Sales_Reps!C:C)</f>
        <v>South</v>
      </c>
      <c r="O1343">
        <f>_xlfn.XLOOKUP(D1343, Products!A:A, Products!D:D)</f>
        <v>2549</v>
      </c>
      <c r="P1343">
        <f>_xlfn.XLOOKUP(D1343, Products!A:A, Products!E:E)</f>
        <v>5490</v>
      </c>
    </row>
    <row r="1344" spans="1:16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 t="shared" si="20"/>
        <v>Chennai</v>
      </c>
      <c r="M1344" t="str">
        <f>_xlfn.XLOOKUP(D1344, Products!A:A, Products!C:C)</f>
        <v>Sports</v>
      </c>
      <c r="N1344" t="str">
        <f>_xlfn.XLOOKUP(E170, Sales_Reps!A:A, Sales_Reps!C:C)</f>
        <v>North</v>
      </c>
      <c r="O1344">
        <f>_xlfn.XLOOKUP(D1344, Products!A:A, Products!D:D)</f>
        <v>147</v>
      </c>
      <c r="P1344">
        <f>_xlfn.XLOOKUP(D1344, Products!A:A, Products!E:E)</f>
        <v>190</v>
      </c>
    </row>
    <row r="1345" spans="1:16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 t="shared" si="20"/>
        <v>Bengaluru</v>
      </c>
      <c r="M1345" t="str">
        <f>_xlfn.XLOOKUP(D1345, Products!A:A, Products!C:C)</f>
        <v>Apparel</v>
      </c>
      <c r="N1345" t="str">
        <f>_xlfn.XLOOKUP(E171, Sales_Reps!A:A, Sales_Reps!C:C)</f>
        <v>North</v>
      </c>
      <c r="O1345">
        <f>_xlfn.XLOOKUP(D1345, Products!A:A, Products!D:D)</f>
        <v>1886</v>
      </c>
      <c r="P1345">
        <f>_xlfn.XLOOKUP(D1345, Products!A:A, Products!E:E)</f>
        <v>3160</v>
      </c>
    </row>
    <row r="1346" spans="1:16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 t="shared" si="20"/>
        <v>Bengaluru</v>
      </c>
      <c r="M1346" t="str">
        <f>_xlfn.XLOOKUP(D1346, Products!A:A, Products!C:C)</f>
        <v>Home</v>
      </c>
      <c r="N1346" t="str">
        <f>_xlfn.XLOOKUP(E172, Sales_Reps!A:A, Sales_Reps!C:C)</f>
        <v>East</v>
      </c>
      <c r="O1346">
        <f>_xlfn.XLOOKUP(D1346, Products!A:A, Products!D:D)</f>
        <v>464</v>
      </c>
      <c r="P1346">
        <f>_xlfn.XLOOKUP(D1346, Products!A:A, Products!E:E)</f>
        <v>1090</v>
      </c>
    </row>
    <row r="1347" spans="1:16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 t="shared" ref="L1347:L1410" si="21">PROPER(TRIM(K1347))</f>
        <v>Delhi</v>
      </c>
      <c r="M1347" t="str">
        <f>_xlfn.XLOOKUP(D1347, Products!A:A, Products!C:C)</f>
        <v>Home</v>
      </c>
      <c r="N1347" t="str">
        <f>_xlfn.XLOOKUP(E173, Sales_Reps!A:A, Sales_Reps!C:C)</f>
        <v>South</v>
      </c>
      <c r="O1347">
        <f>_xlfn.XLOOKUP(D1347, Products!A:A, Products!D:D)</f>
        <v>288</v>
      </c>
      <c r="P1347">
        <f>_xlfn.XLOOKUP(D1347, Products!A:A, Products!E:E)</f>
        <v>370</v>
      </c>
    </row>
    <row r="1348" spans="1:16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 t="shared" si="21"/>
        <v>Chennai</v>
      </c>
      <c r="M1348" t="str">
        <f>_xlfn.XLOOKUP(D1348, Products!A:A, Products!C:C)</f>
        <v>Electronics</v>
      </c>
      <c r="N1348" t="str">
        <f>_xlfn.XLOOKUP(E174, Sales_Reps!A:A, Sales_Reps!C:C)</f>
        <v>West</v>
      </c>
      <c r="O1348">
        <f>_xlfn.XLOOKUP(D1348, Products!A:A, Products!D:D)</f>
        <v>1259</v>
      </c>
      <c r="P1348">
        <f>_xlfn.XLOOKUP(D1348, Products!A:A, Products!E:E)</f>
        <v>2660</v>
      </c>
    </row>
    <row r="1349" spans="1:16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 t="shared" si="21"/>
        <v>Chennai</v>
      </c>
      <c r="M1349" t="str">
        <f>_xlfn.XLOOKUP(D1349, Products!A:A, Products!C:C)</f>
        <v>Apparel</v>
      </c>
      <c r="N1349" t="str">
        <f>_xlfn.XLOOKUP(E175, Sales_Reps!A:A, Sales_Reps!C:C)</f>
        <v>East</v>
      </c>
      <c r="O1349">
        <f>_xlfn.XLOOKUP(D1349, Products!A:A, Products!D:D)</f>
        <v>2629</v>
      </c>
      <c r="P1349">
        <f>_xlfn.XLOOKUP(D1349, Products!A:A, Products!E:E)</f>
        <v>3560</v>
      </c>
    </row>
    <row r="1350" spans="1:16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 t="shared" si="21"/>
        <v>Chennai</v>
      </c>
      <c r="M1350" t="str">
        <f>_xlfn.XLOOKUP(D1350, Products!A:A, Products!C:C)</f>
        <v>Beauty</v>
      </c>
      <c r="N1350" t="str">
        <f>_xlfn.XLOOKUP(E176, Sales_Reps!A:A, Sales_Reps!C:C)</f>
        <v>East</v>
      </c>
      <c r="O1350">
        <f>_xlfn.XLOOKUP(D1350, Products!A:A, Products!D:D)</f>
        <v>675</v>
      </c>
      <c r="P1350">
        <f>_xlfn.XLOOKUP(D1350, Products!A:A, Products!E:E)</f>
        <v>960</v>
      </c>
    </row>
    <row r="1351" spans="1:16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 t="shared" si="21"/>
        <v>Chennai</v>
      </c>
      <c r="M1351" t="str">
        <f>_xlfn.XLOOKUP(D1351, Products!A:A, Products!C:C)</f>
        <v>Home</v>
      </c>
      <c r="N1351" t="str">
        <f>_xlfn.XLOOKUP(E177, Sales_Reps!A:A, Sales_Reps!C:C)</f>
        <v>East</v>
      </c>
      <c r="O1351">
        <f>_xlfn.XLOOKUP(D1351, Products!A:A, Products!D:D)</f>
        <v>288</v>
      </c>
      <c r="P1351">
        <f>_xlfn.XLOOKUP(D1351, Products!A:A, Products!E:E)</f>
        <v>370</v>
      </c>
    </row>
    <row r="1352" spans="1:16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 t="shared" si="21"/>
        <v>Bengaluru</v>
      </c>
      <c r="M1352" t="str">
        <f>_xlfn.XLOOKUP(D1352, Products!A:A, Products!C:C)</f>
        <v>Apparel</v>
      </c>
      <c r="N1352" t="str">
        <f>_xlfn.XLOOKUP(E178, Sales_Reps!A:A, Sales_Reps!C:C)</f>
        <v>West</v>
      </c>
      <c r="O1352">
        <f>_xlfn.XLOOKUP(D1352, Products!A:A, Products!D:D)</f>
        <v>1962</v>
      </c>
      <c r="P1352">
        <f>_xlfn.XLOOKUP(D1352, Products!A:A, Products!E:E)</f>
        <v>2720</v>
      </c>
    </row>
    <row r="1353" spans="1:16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 t="shared" si="21"/>
        <v>Chennai</v>
      </c>
      <c r="M1353" t="str">
        <f>_xlfn.XLOOKUP(D1353, Products!A:A, Products!C:C)</f>
        <v>Home</v>
      </c>
      <c r="N1353" t="str">
        <f>_xlfn.XLOOKUP(E179, Sales_Reps!A:A, Sales_Reps!C:C)</f>
        <v>South</v>
      </c>
      <c r="O1353">
        <f>_xlfn.XLOOKUP(D1353, Products!A:A, Products!D:D)</f>
        <v>2459</v>
      </c>
      <c r="P1353">
        <f>_xlfn.XLOOKUP(D1353, Products!A:A, Products!E:E)</f>
        <v>5080</v>
      </c>
    </row>
    <row r="1354" spans="1:16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 t="shared" si="21"/>
        <v>Hyderabad</v>
      </c>
      <c r="M1354" t="str">
        <f>_xlfn.XLOOKUP(D1354, Products!A:A, Products!C:C)</f>
        <v>Beauty</v>
      </c>
      <c r="N1354" t="str">
        <f>_xlfn.XLOOKUP(E180, Sales_Reps!A:A, Sales_Reps!C:C)</f>
        <v>South</v>
      </c>
      <c r="O1354">
        <f>_xlfn.XLOOKUP(D1354, Products!A:A, Products!D:D)</f>
        <v>1219</v>
      </c>
      <c r="P1354">
        <f>_xlfn.XLOOKUP(D1354, Products!A:A, Products!E:E)</f>
        <v>2290</v>
      </c>
    </row>
    <row r="1355" spans="1:16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 t="shared" si="21"/>
        <v>Pune</v>
      </c>
      <c r="M1355" t="str">
        <f>_xlfn.XLOOKUP(D1355, Products!A:A, Products!C:C)</f>
        <v>Grocery</v>
      </c>
      <c r="N1355" t="str">
        <f>_xlfn.XLOOKUP(E181, Sales_Reps!A:A, Sales_Reps!C:C)</f>
        <v>North</v>
      </c>
      <c r="O1355">
        <f>_xlfn.XLOOKUP(D1355, Products!A:A, Products!D:D)</f>
        <v>1435</v>
      </c>
      <c r="P1355">
        <f>_xlfn.XLOOKUP(D1355, Products!A:A, Products!E:E)</f>
        <v>2760</v>
      </c>
    </row>
    <row r="1356" spans="1:16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 t="shared" si="21"/>
        <v>Pune</v>
      </c>
      <c r="M1356" t="str">
        <f>_xlfn.XLOOKUP(D1356, Products!A:A, Products!C:C)</f>
        <v>Grocery</v>
      </c>
      <c r="N1356" t="str">
        <f>_xlfn.XLOOKUP(E182, Sales_Reps!A:A, Sales_Reps!C:C)</f>
        <v>South</v>
      </c>
      <c r="O1356">
        <f>_xlfn.XLOOKUP(D1356, Products!A:A, Products!D:D)</f>
        <v>1203</v>
      </c>
      <c r="P1356">
        <f>_xlfn.XLOOKUP(D1356, Products!A:A, Products!E:E)</f>
        <v>2270</v>
      </c>
    </row>
    <row r="1357" spans="1:16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 t="shared" si="21"/>
        <v>Chennai</v>
      </c>
      <c r="M1357" t="str">
        <f>_xlfn.XLOOKUP(D1357, Products!A:A, Products!C:C)</f>
        <v>Apparel</v>
      </c>
      <c r="N1357" t="str">
        <f>_xlfn.XLOOKUP(E183, Sales_Reps!A:A, Sales_Reps!C:C)</f>
        <v>West</v>
      </c>
      <c r="O1357">
        <f>_xlfn.XLOOKUP(D1357, Products!A:A, Products!D:D)</f>
        <v>1075</v>
      </c>
      <c r="P1357">
        <f>_xlfn.XLOOKUP(D1357, Products!A:A, Products!E:E)</f>
        <v>2510</v>
      </c>
    </row>
    <row r="1358" spans="1:16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 t="shared" si="21"/>
        <v>Hyderabad</v>
      </c>
      <c r="M1358" t="str">
        <f>_xlfn.XLOOKUP(D1358, Products!A:A, Products!C:C)</f>
        <v>Grocery</v>
      </c>
      <c r="N1358" t="str">
        <f>_xlfn.XLOOKUP(E184, Sales_Reps!A:A, Sales_Reps!C:C)</f>
        <v>West</v>
      </c>
      <c r="O1358">
        <f>_xlfn.XLOOKUP(D1358, Products!A:A, Products!D:D)</f>
        <v>1182</v>
      </c>
      <c r="P1358">
        <f>_xlfn.XLOOKUP(D1358, Products!A:A, Products!E:E)</f>
        <v>2380</v>
      </c>
    </row>
    <row r="1359" spans="1:16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 t="shared" si="21"/>
        <v>Bengaluru</v>
      </c>
      <c r="M1359" t="str">
        <f>_xlfn.XLOOKUP(D1359, Products!A:A, Products!C:C)</f>
        <v>Sports</v>
      </c>
      <c r="N1359" t="str">
        <f>_xlfn.XLOOKUP(E185, Sales_Reps!A:A, Sales_Reps!C:C)</f>
        <v>South</v>
      </c>
      <c r="O1359">
        <f>_xlfn.XLOOKUP(D1359, Products!A:A, Products!D:D)</f>
        <v>1860</v>
      </c>
      <c r="P1359">
        <f>_xlfn.XLOOKUP(D1359, Products!A:A, Products!E:E)</f>
        <v>3780</v>
      </c>
    </row>
    <row r="1360" spans="1:16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 t="shared" si="21"/>
        <v>Hyderabad</v>
      </c>
      <c r="M1360" t="str">
        <f>_xlfn.XLOOKUP(D1360, Products!A:A, Products!C:C)</f>
        <v>Apparel</v>
      </c>
      <c r="N1360" t="str">
        <f>_xlfn.XLOOKUP(E186, Sales_Reps!A:A, Sales_Reps!C:C)</f>
        <v>North</v>
      </c>
      <c r="O1360">
        <f>_xlfn.XLOOKUP(D1360, Products!A:A, Products!D:D)</f>
        <v>1748</v>
      </c>
      <c r="P1360">
        <f>_xlfn.XLOOKUP(D1360, Products!A:A, Products!E:E)</f>
        <v>3450</v>
      </c>
    </row>
    <row r="1361" spans="1:16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 t="shared" si="21"/>
        <v>Hyderabad</v>
      </c>
      <c r="M1361" t="str">
        <f>_xlfn.XLOOKUP(D1361, Products!A:A, Products!C:C)</f>
        <v>Beauty</v>
      </c>
      <c r="N1361" t="str">
        <f>_xlfn.XLOOKUP(E187, Sales_Reps!A:A, Sales_Reps!C:C)</f>
        <v>East</v>
      </c>
      <c r="O1361">
        <f>_xlfn.XLOOKUP(D1361, Products!A:A, Products!D:D)</f>
        <v>2768</v>
      </c>
      <c r="P1361">
        <f>_xlfn.XLOOKUP(D1361, Products!A:A, Products!E:E)</f>
        <v>4880</v>
      </c>
    </row>
    <row r="1362" spans="1:16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 t="shared" si="21"/>
        <v>Hyderabad</v>
      </c>
      <c r="M1362" t="str">
        <f>_xlfn.XLOOKUP(D1362, Products!A:A, Products!C:C)</f>
        <v>Beauty</v>
      </c>
      <c r="N1362" t="str">
        <f>_xlfn.XLOOKUP(E188, Sales_Reps!A:A, Sales_Reps!C:C)</f>
        <v>West</v>
      </c>
      <c r="O1362">
        <f>_xlfn.XLOOKUP(D1362, Products!A:A, Products!D:D)</f>
        <v>675</v>
      </c>
      <c r="P1362">
        <f>_xlfn.XLOOKUP(D1362, Products!A:A, Products!E:E)</f>
        <v>960</v>
      </c>
    </row>
    <row r="1363" spans="1:16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 t="shared" si="21"/>
        <v>Pune</v>
      </c>
      <c r="M1363" t="str">
        <f>_xlfn.XLOOKUP(D1363, Products!A:A, Products!C:C)</f>
        <v>Apparel</v>
      </c>
      <c r="N1363" t="str">
        <f>_xlfn.XLOOKUP(E189, Sales_Reps!A:A, Sales_Reps!C:C)</f>
        <v>East</v>
      </c>
      <c r="O1363">
        <f>_xlfn.XLOOKUP(D1363, Products!A:A, Products!D:D)</f>
        <v>2629</v>
      </c>
      <c r="P1363">
        <f>_xlfn.XLOOKUP(D1363, Products!A:A, Products!E:E)</f>
        <v>3560</v>
      </c>
    </row>
    <row r="1364" spans="1:16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 t="shared" si="21"/>
        <v>Chennai</v>
      </c>
      <c r="M1364" t="str">
        <f>_xlfn.XLOOKUP(D1364, Products!A:A, Products!C:C)</f>
        <v>Grocery</v>
      </c>
      <c r="N1364" t="str">
        <f>_xlfn.XLOOKUP(E190, Sales_Reps!A:A, Sales_Reps!C:C)</f>
        <v>North</v>
      </c>
      <c r="O1364">
        <f>_xlfn.XLOOKUP(D1364, Products!A:A, Products!D:D)</f>
        <v>2911</v>
      </c>
      <c r="P1364">
        <f>_xlfn.XLOOKUP(D1364, Products!A:A, Products!E:E)</f>
        <v>4060</v>
      </c>
    </row>
    <row r="1365" spans="1:16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 t="shared" si="21"/>
        <v>Delhi</v>
      </c>
      <c r="M1365" t="str">
        <f>_xlfn.XLOOKUP(D1365, Products!A:A, Products!C:C)</f>
        <v>Apparel</v>
      </c>
      <c r="N1365" t="str">
        <f>_xlfn.XLOOKUP(E191, Sales_Reps!A:A, Sales_Reps!C:C)</f>
        <v>East</v>
      </c>
      <c r="O1365">
        <f>_xlfn.XLOOKUP(D1365, Products!A:A, Products!D:D)</f>
        <v>1962</v>
      </c>
      <c r="P1365">
        <f>_xlfn.XLOOKUP(D1365, Products!A:A, Products!E:E)</f>
        <v>2720</v>
      </c>
    </row>
    <row r="1366" spans="1:16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 t="shared" si="21"/>
        <v>Hyderabad</v>
      </c>
      <c r="M1366" t="str">
        <f>_xlfn.XLOOKUP(D1366, Products!A:A, Products!C:C)</f>
        <v>Grocery</v>
      </c>
      <c r="N1366" t="str">
        <f>_xlfn.XLOOKUP(E192, Sales_Reps!A:A, Sales_Reps!C:C)</f>
        <v>South</v>
      </c>
      <c r="O1366">
        <f>_xlfn.XLOOKUP(D1366, Products!A:A, Products!D:D)</f>
        <v>1010</v>
      </c>
      <c r="P1366">
        <f>_xlfn.XLOOKUP(D1366, Products!A:A, Products!E:E)</f>
        <v>2210</v>
      </c>
    </row>
    <row r="1367" spans="1:16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 t="shared" si="21"/>
        <v>Mumbai</v>
      </c>
      <c r="M1367" t="str">
        <f>_xlfn.XLOOKUP(D1367, Products!A:A, Products!C:C)</f>
        <v>Beauty</v>
      </c>
      <c r="N1367" t="str">
        <f>_xlfn.XLOOKUP(E193, Sales_Reps!A:A, Sales_Reps!C:C)</f>
        <v>North</v>
      </c>
      <c r="O1367">
        <f>_xlfn.XLOOKUP(D1367, Products!A:A, Products!D:D)</f>
        <v>2420</v>
      </c>
      <c r="P1367">
        <f>_xlfn.XLOOKUP(D1367, Products!A:A, Products!E:E)</f>
        <v>3450</v>
      </c>
    </row>
    <row r="1368" spans="1:16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 t="shared" si="21"/>
        <v>Mumbai</v>
      </c>
      <c r="M1368" t="str">
        <f>_xlfn.XLOOKUP(D1368, Products!A:A, Products!C:C)</f>
        <v>Grocery</v>
      </c>
      <c r="N1368" t="str">
        <f>_xlfn.XLOOKUP(E194, Sales_Reps!A:A, Sales_Reps!C:C)</f>
        <v>West</v>
      </c>
      <c r="O1368">
        <f>_xlfn.XLOOKUP(D1368, Products!A:A, Products!D:D)</f>
        <v>1182</v>
      </c>
      <c r="P1368">
        <f>_xlfn.XLOOKUP(D1368, Products!A:A, Products!E:E)</f>
        <v>2380</v>
      </c>
    </row>
    <row r="1369" spans="1:16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 t="shared" si="21"/>
        <v>Delhi</v>
      </c>
      <c r="M1369" t="str">
        <f>_xlfn.XLOOKUP(D1369, Products!A:A, Products!C:C)</f>
        <v>Grocery</v>
      </c>
      <c r="N1369" t="str">
        <f>_xlfn.XLOOKUP(E195, Sales_Reps!A:A, Sales_Reps!C:C)</f>
        <v>West</v>
      </c>
      <c r="O1369">
        <f>_xlfn.XLOOKUP(D1369, Products!A:A, Products!D:D)</f>
        <v>1182</v>
      </c>
      <c r="P1369">
        <f>_xlfn.XLOOKUP(D1369, Products!A:A, Products!E:E)</f>
        <v>2380</v>
      </c>
    </row>
    <row r="1370" spans="1:16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 t="shared" si="21"/>
        <v>Delhi</v>
      </c>
      <c r="M1370" t="str">
        <f>_xlfn.XLOOKUP(D1370, Products!A:A, Products!C:C)</f>
        <v>Apparel</v>
      </c>
      <c r="N1370" t="str">
        <f>_xlfn.XLOOKUP(E196, Sales_Reps!A:A, Sales_Reps!C:C)</f>
        <v>South</v>
      </c>
      <c r="O1370">
        <f>_xlfn.XLOOKUP(D1370, Products!A:A, Products!D:D)</f>
        <v>2629</v>
      </c>
      <c r="P1370">
        <f>_xlfn.XLOOKUP(D1370, Products!A:A, Products!E:E)</f>
        <v>3560</v>
      </c>
    </row>
    <row r="1371" spans="1:16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 t="shared" si="21"/>
        <v>Chennai</v>
      </c>
      <c r="M1371" t="str">
        <f>_xlfn.XLOOKUP(D1371, Products!A:A, Products!C:C)</f>
        <v>Electronics</v>
      </c>
      <c r="N1371" t="str">
        <f>_xlfn.XLOOKUP(E197, Sales_Reps!A:A, Sales_Reps!C:C)</f>
        <v>West</v>
      </c>
      <c r="O1371">
        <f>_xlfn.XLOOKUP(D1371, Products!A:A, Products!D:D)</f>
        <v>517</v>
      </c>
      <c r="P1371">
        <f>_xlfn.XLOOKUP(D1371, Products!A:A, Products!E:E)</f>
        <v>1220</v>
      </c>
    </row>
    <row r="1372" spans="1:16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 t="shared" si="21"/>
        <v>Mumbai</v>
      </c>
      <c r="M1372" t="str">
        <f>_xlfn.XLOOKUP(D1372, Products!A:A, Products!C:C)</f>
        <v>Sports</v>
      </c>
      <c r="N1372" t="str">
        <f>_xlfn.XLOOKUP(E198, Sales_Reps!A:A, Sales_Reps!C:C)</f>
        <v>East</v>
      </c>
      <c r="O1372">
        <f>_xlfn.XLOOKUP(D1372, Products!A:A, Products!D:D)</f>
        <v>2827</v>
      </c>
      <c r="P1372">
        <f>_xlfn.XLOOKUP(D1372, Products!A:A, Products!E:E)</f>
        <v>6940</v>
      </c>
    </row>
    <row r="1373" spans="1:16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 t="shared" si="21"/>
        <v>Mumbai</v>
      </c>
      <c r="M1373" t="str">
        <f>_xlfn.XLOOKUP(D1373, Products!A:A, Products!C:C)</f>
        <v>Home</v>
      </c>
      <c r="N1373" t="str">
        <f>_xlfn.XLOOKUP(E199, Sales_Reps!A:A, Sales_Reps!C:C)</f>
        <v>South</v>
      </c>
      <c r="O1373">
        <f>_xlfn.XLOOKUP(D1373, Products!A:A, Products!D:D)</f>
        <v>464</v>
      </c>
      <c r="P1373">
        <f>_xlfn.XLOOKUP(D1373, Products!A:A, Products!E:E)</f>
        <v>1090</v>
      </c>
    </row>
    <row r="1374" spans="1:16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 t="shared" si="21"/>
        <v>Pune</v>
      </c>
      <c r="M1374" t="str">
        <f>_xlfn.XLOOKUP(D1374, Products!A:A, Products!C:C)</f>
        <v>Grocery</v>
      </c>
      <c r="N1374" t="str">
        <f>_xlfn.XLOOKUP(E200, Sales_Reps!A:A, Sales_Reps!C:C)</f>
        <v>South</v>
      </c>
      <c r="O1374">
        <f>_xlfn.XLOOKUP(D1374, Products!A:A, Products!D:D)</f>
        <v>1182</v>
      </c>
      <c r="P1374">
        <f>_xlfn.XLOOKUP(D1374, Products!A:A, Products!E:E)</f>
        <v>2380</v>
      </c>
    </row>
    <row r="1375" spans="1:16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 t="shared" si="21"/>
        <v>Mumbai</v>
      </c>
      <c r="M1375" t="str">
        <f>_xlfn.XLOOKUP(D1375, Products!A:A, Products!C:C)</f>
        <v>Grocery</v>
      </c>
      <c r="N1375" t="str">
        <f>_xlfn.XLOOKUP(E201, Sales_Reps!A:A, Sales_Reps!C:C)</f>
        <v>North</v>
      </c>
      <c r="O1375">
        <f>_xlfn.XLOOKUP(D1375, Products!A:A, Products!D:D)</f>
        <v>1203</v>
      </c>
      <c r="P1375">
        <f>_xlfn.XLOOKUP(D1375, Products!A:A, Products!E:E)</f>
        <v>2270</v>
      </c>
    </row>
    <row r="1376" spans="1:16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 t="shared" si="21"/>
        <v>Pune</v>
      </c>
      <c r="M1376" t="str">
        <f>_xlfn.XLOOKUP(D1376, Products!A:A, Products!C:C)</f>
        <v>Home</v>
      </c>
      <c r="N1376" t="str">
        <f>_xlfn.XLOOKUP(E202, Sales_Reps!A:A, Sales_Reps!C:C)</f>
        <v>South</v>
      </c>
      <c r="O1376">
        <f>_xlfn.XLOOKUP(D1376, Products!A:A, Products!D:D)</f>
        <v>1143</v>
      </c>
      <c r="P1376">
        <f>_xlfn.XLOOKUP(D1376, Products!A:A, Products!E:E)</f>
        <v>2030</v>
      </c>
    </row>
    <row r="1377" spans="1:16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 t="shared" si="21"/>
        <v>Pune</v>
      </c>
      <c r="M1377" t="str">
        <f>_xlfn.XLOOKUP(D1377, Products!A:A, Products!C:C)</f>
        <v>Home</v>
      </c>
      <c r="N1377" t="str">
        <f>_xlfn.XLOOKUP(E203, Sales_Reps!A:A, Sales_Reps!C:C)</f>
        <v>West</v>
      </c>
      <c r="O1377">
        <f>_xlfn.XLOOKUP(D1377, Products!A:A, Products!D:D)</f>
        <v>464</v>
      </c>
      <c r="P1377">
        <f>_xlfn.XLOOKUP(D1377, Products!A:A, Products!E:E)</f>
        <v>1090</v>
      </c>
    </row>
    <row r="1378" spans="1:16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 t="shared" si="21"/>
        <v>Mumbai</v>
      </c>
      <c r="M1378" t="str">
        <f>_xlfn.XLOOKUP(D1378, Products!A:A, Products!C:C)</f>
        <v>Apparel</v>
      </c>
      <c r="N1378" t="str">
        <f>_xlfn.XLOOKUP(E204, Sales_Reps!A:A, Sales_Reps!C:C)</f>
        <v>South</v>
      </c>
      <c r="O1378">
        <f>_xlfn.XLOOKUP(D1378, Products!A:A, Products!D:D)</f>
        <v>1075</v>
      </c>
      <c r="P1378">
        <f>_xlfn.XLOOKUP(D1378, Products!A:A, Products!E:E)</f>
        <v>2510</v>
      </c>
    </row>
    <row r="1379" spans="1:16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 t="shared" si="21"/>
        <v>Bengaluru</v>
      </c>
      <c r="M1379" t="str">
        <f>_xlfn.XLOOKUP(D1379, Products!A:A, Products!C:C)</f>
        <v>Grocery</v>
      </c>
      <c r="N1379" t="str">
        <f>_xlfn.XLOOKUP(E205, Sales_Reps!A:A, Sales_Reps!C:C)</f>
        <v>South</v>
      </c>
      <c r="O1379">
        <f>_xlfn.XLOOKUP(D1379, Products!A:A, Products!D:D)</f>
        <v>1203</v>
      </c>
      <c r="P1379">
        <f>_xlfn.XLOOKUP(D1379, Products!A:A, Products!E:E)</f>
        <v>2270</v>
      </c>
    </row>
    <row r="1380" spans="1:16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 t="shared" si="21"/>
        <v>Delhi</v>
      </c>
      <c r="M1380" t="str">
        <f>_xlfn.XLOOKUP(D1380, Products!A:A, Products!C:C)</f>
        <v>Electronics</v>
      </c>
      <c r="N1380" t="str">
        <f>_xlfn.XLOOKUP(E206, Sales_Reps!A:A, Sales_Reps!C:C)</f>
        <v>South</v>
      </c>
      <c r="O1380">
        <f>_xlfn.XLOOKUP(D1380, Products!A:A, Products!D:D)</f>
        <v>2865</v>
      </c>
      <c r="P1380">
        <f>_xlfn.XLOOKUP(D1380, Products!A:A, Products!E:E)</f>
        <v>3970</v>
      </c>
    </row>
    <row r="1381" spans="1:16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 t="shared" si="21"/>
        <v>Mumbai</v>
      </c>
      <c r="M1381" t="str">
        <f>_xlfn.XLOOKUP(D1381, Products!A:A, Products!C:C)</f>
        <v>Grocery</v>
      </c>
      <c r="N1381" t="str">
        <f>_xlfn.XLOOKUP(E207, Sales_Reps!A:A, Sales_Reps!C:C)</f>
        <v>East</v>
      </c>
      <c r="O1381">
        <f>_xlfn.XLOOKUP(D1381, Products!A:A, Products!D:D)</f>
        <v>1010</v>
      </c>
      <c r="P1381">
        <f>_xlfn.XLOOKUP(D1381, Products!A:A, Products!E:E)</f>
        <v>2210</v>
      </c>
    </row>
    <row r="1382" spans="1:16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 t="shared" si="21"/>
        <v>Pune</v>
      </c>
      <c r="M1382" t="str">
        <f>_xlfn.XLOOKUP(D1382, Products!A:A, Products!C:C)</f>
        <v>Beauty</v>
      </c>
      <c r="N1382" t="str">
        <f>_xlfn.XLOOKUP(E208, Sales_Reps!A:A, Sales_Reps!C:C)</f>
        <v>North</v>
      </c>
      <c r="O1382">
        <f>_xlfn.XLOOKUP(D1382, Products!A:A, Products!D:D)</f>
        <v>647</v>
      </c>
      <c r="P1382">
        <f>_xlfn.XLOOKUP(D1382, Products!A:A, Products!E:E)</f>
        <v>1540</v>
      </c>
    </row>
    <row r="1383" spans="1:16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 t="shared" si="21"/>
        <v>Delhi</v>
      </c>
      <c r="M1383" t="str">
        <f>_xlfn.XLOOKUP(D1383, Products!A:A, Products!C:C)</f>
        <v>Home</v>
      </c>
      <c r="N1383" t="str">
        <f>_xlfn.XLOOKUP(E209, Sales_Reps!A:A, Sales_Reps!C:C)</f>
        <v>South</v>
      </c>
      <c r="O1383">
        <f>_xlfn.XLOOKUP(D1383, Products!A:A, Products!D:D)</f>
        <v>1850</v>
      </c>
      <c r="P1383">
        <f>_xlfn.XLOOKUP(D1383, Products!A:A, Products!E:E)</f>
        <v>4610</v>
      </c>
    </row>
    <row r="1384" spans="1:16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 t="shared" si="21"/>
        <v>Mumbai</v>
      </c>
      <c r="M1384" t="str">
        <f>_xlfn.XLOOKUP(D1384, Products!A:A, Products!C:C)</f>
        <v>Electronics</v>
      </c>
      <c r="N1384" t="str">
        <f>_xlfn.XLOOKUP(E210, Sales_Reps!A:A, Sales_Reps!C:C)</f>
        <v>South</v>
      </c>
      <c r="O1384">
        <f>_xlfn.XLOOKUP(D1384, Products!A:A, Products!D:D)</f>
        <v>2865</v>
      </c>
      <c r="P1384">
        <f>_xlfn.XLOOKUP(D1384, Products!A:A, Products!E:E)</f>
        <v>3970</v>
      </c>
    </row>
    <row r="1385" spans="1:16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 t="shared" si="21"/>
        <v>Delhi</v>
      </c>
      <c r="M1385" t="str">
        <f>_xlfn.XLOOKUP(D1385, Products!A:A, Products!C:C)</f>
        <v>Electronics</v>
      </c>
      <c r="N1385" t="str">
        <f>_xlfn.XLOOKUP(E211, Sales_Reps!A:A, Sales_Reps!C:C)</f>
        <v>South</v>
      </c>
      <c r="O1385">
        <f>_xlfn.XLOOKUP(D1385, Products!A:A, Products!D:D)</f>
        <v>1259</v>
      </c>
      <c r="P1385">
        <f>_xlfn.XLOOKUP(D1385, Products!A:A, Products!E:E)</f>
        <v>2660</v>
      </c>
    </row>
    <row r="1386" spans="1:16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 t="shared" si="21"/>
        <v>Chennai</v>
      </c>
      <c r="M1386" t="str">
        <f>_xlfn.XLOOKUP(D1386, Products!A:A, Products!C:C)</f>
        <v>Beauty</v>
      </c>
      <c r="N1386" t="str">
        <f>_xlfn.XLOOKUP(E212, Sales_Reps!A:A, Sales_Reps!C:C)</f>
        <v>East</v>
      </c>
      <c r="O1386">
        <f>_xlfn.XLOOKUP(D1386, Products!A:A, Products!D:D)</f>
        <v>2420</v>
      </c>
      <c r="P1386">
        <f>_xlfn.XLOOKUP(D1386, Products!A:A, Products!E:E)</f>
        <v>3450</v>
      </c>
    </row>
    <row r="1387" spans="1:16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 t="shared" si="21"/>
        <v>Delhi</v>
      </c>
      <c r="M1387" t="str">
        <f>_xlfn.XLOOKUP(D1387, Products!A:A, Products!C:C)</f>
        <v>Sports</v>
      </c>
      <c r="N1387" t="str">
        <f>_xlfn.XLOOKUP(E213, Sales_Reps!A:A, Sales_Reps!C:C)</f>
        <v>East</v>
      </c>
      <c r="O1387">
        <f>_xlfn.XLOOKUP(D1387, Products!A:A, Products!D:D)</f>
        <v>302</v>
      </c>
      <c r="P1387">
        <f>_xlfn.XLOOKUP(D1387, Products!A:A, Products!E:E)</f>
        <v>470</v>
      </c>
    </row>
    <row r="1388" spans="1:16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 t="shared" si="21"/>
        <v>Pune</v>
      </c>
      <c r="M1388" t="str">
        <f>_xlfn.XLOOKUP(D1388, Products!A:A, Products!C:C)</f>
        <v>Sports</v>
      </c>
      <c r="N1388" t="str">
        <f>_xlfn.XLOOKUP(E214, Sales_Reps!A:A, Sales_Reps!C:C)</f>
        <v>West</v>
      </c>
      <c r="O1388">
        <f>_xlfn.XLOOKUP(D1388, Products!A:A, Products!D:D)</f>
        <v>1860</v>
      </c>
      <c r="P1388">
        <f>_xlfn.XLOOKUP(D1388, Products!A:A, Products!E:E)</f>
        <v>3780</v>
      </c>
    </row>
    <row r="1389" spans="1:16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 t="shared" si="21"/>
        <v>Bengaluru</v>
      </c>
      <c r="M1389" t="str">
        <f>_xlfn.XLOOKUP(D1389, Products!A:A, Products!C:C)</f>
        <v>Apparel</v>
      </c>
      <c r="N1389" t="str">
        <f>_xlfn.XLOOKUP(E215, Sales_Reps!A:A, Sales_Reps!C:C)</f>
        <v>North</v>
      </c>
      <c r="O1389">
        <f>_xlfn.XLOOKUP(D1389, Products!A:A, Products!D:D)</f>
        <v>2509</v>
      </c>
      <c r="P1389">
        <f>_xlfn.XLOOKUP(D1389, Products!A:A, Products!E:E)</f>
        <v>3620</v>
      </c>
    </row>
    <row r="1390" spans="1:16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 t="shared" si="21"/>
        <v>Hyderabad</v>
      </c>
      <c r="M1390" t="str">
        <f>_xlfn.XLOOKUP(D1390, Products!A:A, Products!C:C)</f>
        <v>Beauty</v>
      </c>
      <c r="N1390" t="str">
        <f>_xlfn.XLOOKUP(E216, Sales_Reps!A:A, Sales_Reps!C:C)</f>
        <v>West</v>
      </c>
      <c r="O1390">
        <f>_xlfn.XLOOKUP(D1390, Products!A:A, Products!D:D)</f>
        <v>675</v>
      </c>
      <c r="P1390">
        <f>_xlfn.XLOOKUP(D1390, Products!A:A, Products!E:E)</f>
        <v>960</v>
      </c>
    </row>
    <row r="1391" spans="1:16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 t="shared" si="21"/>
        <v>Hyderabad</v>
      </c>
      <c r="M1391" t="str">
        <f>_xlfn.XLOOKUP(D1391, Products!A:A, Products!C:C)</f>
        <v>Beauty</v>
      </c>
      <c r="N1391" t="str">
        <f>_xlfn.XLOOKUP(E217, Sales_Reps!A:A, Sales_Reps!C:C)</f>
        <v>South</v>
      </c>
      <c r="O1391">
        <f>_xlfn.XLOOKUP(D1391, Products!A:A, Products!D:D)</f>
        <v>1728</v>
      </c>
      <c r="P1391">
        <f>_xlfn.XLOOKUP(D1391, Products!A:A, Products!E:E)</f>
        <v>3350</v>
      </c>
    </row>
    <row r="1392" spans="1:16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 t="shared" si="21"/>
        <v>Delhi</v>
      </c>
      <c r="M1392" t="str">
        <f>_xlfn.XLOOKUP(D1392, Products!A:A, Products!C:C)</f>
        <v>Sports</v>
      </c>
      <c r="N1392" t="str">
        <f>_xlfn.XLOOKUP(E218, Sales_Reps!A:A, Sales_Reps!C:C)</f>
        <v>East</v>
      </c>
      <c r="O1392">
        <f>_xlfn.XLOOKUP(D1392, Products!A:A, Products!D:D)</f>
        <v>974</v>
      </c>
      <c r="P1392">
        <f>_xlfn.XLOOKUP(D1392, Products!A:A, Products!E:E)</f>
        <v>2400</v>
      </c>
    </row>
    <row r="1393" spans="1:16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 t="shared" si="21"/>
        <v>Bengaluru</v>
      </c>
      <c r="M1393" t="str">
        <f>_xlfn.XLOOKUP(D1393, Products!A:A, Products!C:C)</f>
        <v>Sports</v>
      </c>
      <c r="N1393" t="str">
        <f>_xlfn.XLOOKUP(E219, Sales_Reps!A:A, Sales_Reps!C:C)</f>
        <v>North</v>
      </c>
      <c r="O1393">
        <f>_xlfn.XLOOKUP(D1393, Products!A:A, Products!D:D)</f>
        <v>2028</v>
      </c>
      <c r="P1393">
        <f>_xlfn.XLOOKUP(D1393, Products!A:A, Products!E:E)</f>
        <v>2860</v>
      </c>
    </row>
    <row r="1394" spans="1:16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 t="shared" si="21"/>
        <v>Chennai</v>
      </c>
      <c r="M1394" t="str">
        <f>_xlfn.XLOOKUP(D1394, Products!A:A, Products!C:C)</f>
        <v>Beauty</v>
      </c>
      <c r="N1394" t="str">
        <f>_xlfn.XLOOKUP(E220, Sales_Reps!A:A, Sales_Reps!C:C)</f>
        <v>North</v>
      </c>
      <c r="O1394">
        <f>_xlfn.XLOOKUP(D1394, Products!A:A, Products!D:D)</f>
        <v>1219</v>
      </c>
      <c r="P1394">
        <f>_xlfn.XLOOKUP(D1394, Products!A:A, Products!E:E)</f>
        <v>2290</v>
      </c>
    </row>
    <row r="1395" spans="1:16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 t="shared" si="21"/>
        <v>Mumbai</v>
      </c>
      <c r="M1395" t="str">
        <f>_xlfn.XLOOKUP(D1395, Products!A:A, Products!C:C)</f>
        <v>Electronics</v>
      </c>
      <c r="N1395" t="str">
        <f>_xlfn.XLOOKUP(E221, Sales_Reps!A:A, Sales_Reps!C:C)</f>
        <v>North</v>
      </c>
      <c r="O1395">
        <f>_xlfn.XLOOKUP(D1395, Products!A:A, Products!D:D)</f>
        <v>2405</v>
      </c>
      <c r="P1395">
        <f>_xlfn.XLOOKUP(D1395, Products!A:A, Products!E:E)</f>
        <v>5330</v>
      </c>
    </row>
    <row r="1396" spans="1:16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 t="shared" si="21"/>
        <v>Chennai</v>
      </c>
      <c r="M1396" t="str">
        <f>_xlfn.XLOOKUP(D1396, Products!A:A, Products!C:C)</f>
        <v>Apparel</v>
      </c>
      <c r="N1396" t="str">
        <f>_xlfn.XLOOKUP(E222, Sales_Reps!A:A, Sales_Reps!C:C)</f>
        <v>East</v>
      </c>
      <c r="O1396">
        <f>_xlfn.XLOOKUP(D1396, Products!A:A, Products!D:D)</f>
        <v>2611</v>
      </c>
      <c r="P1396">
        <f>_xlfn.XLOOKUP(D1396, Products!A:A, Products!E:E)</f>
        <v>3640</v>
      </c>
    </row>
    <row r="1397" spans="1:16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 t="shared" si="21"/>
        <v>Hyderabad</v>
      </c>
      <c r="M1397" t="str">
        <f>_xlfn.XLOOKUP(D1397, Products!A:A, Products!C:C)</f>
        <v>Home</v>
      </c>
      <c r="N1397" t="str">
        <f>_xlfn.XLOOKUP(E223, Sales_Reps!A:A, Sales_Reps!C:C)</f>
        <v>North</v>
      </c>
      <c r="O1397">
        <f>_xlfn.XLOOKUP(D1397, Products!A:A, Products!D:D)</f>
        <v>2459</v>
      </c>
      <c r="P1397">
        <f>_xlfn.XLOOKUP(D1397, Products!A:A, Products!E:E)</f>
        <v>5080</v>
      </c>
    </row>
    <row r="1398" spans="1:16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 t="shared" si="21"/>
        <v>Delhi</v>
      </c>
      <c r="M1398" t="str">
        <f>_xlfn.XLOOKUP(D1398, Products!A:A, Products!C:C)</f>
        <v>Home</v>
      </c>
      <c r="N1398" t="str">
        <f>_xlfn.XLOOKUP(E224, Sales_Reps!A:A, Sales_Reps!C:C)</f>
        <v>North</v>
      </c>
      <c r="O1398">
        <f>_xlfn.XLOOKUP(D1398, Products!A:A, Products!D:D)</f>
        <v>464</v>
      </c>
      <c r="P1398">
        <f>_xlfn.XLOOKUP(D1398, Products!A:A, Products!E:E)</f>
        <v>1090</v>
      </c>
    </row>
    <row r="1399" spans="1:16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 t="shared" si="21"/>
        <v>Delhi</v>
      </c>
      <c r="M1399" t="str">
        <f>_xlfn.XLOOKUP(D1399, Products!A:A, Products!C:C)</f>
        <v>Beauty</v>
      </c>
      <c r="N1399" t="str">
        <f>_xlfn.XLOOKUP(E225, Sales_Reps!A:A, Sales_Reps!C:C)</f>
        <v>East</v>
      </c>
      <c r="O1399">
        <f>_xlfn.XLOOKUP(D1399, Products!A:A, Products!D:D)</f>
        <v>2420</v>
      </c>
      <c r="P1399">
        <f>_xlfn.XLOOKUP(D1399, Products!A:A, Products!E:E)</f>
        <v>3450</v>
      </c>
    </row>
    <row r="1400" spans="1:16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 t="shared" si="21"/>
        <v>Hyderabad</v>
      </c>
      <c r="M1400" t="str">
        <f>_xlfn.XLOOKUP(D1400, Products!A:A, Products!C:C)</f>
        <v>Sports</v>
      </c>
      <c r="N1400" t="str">
        <f>_xlfn.XLOOKUP(E226, Sales_Reps!A:A, Sales_Reps!C:C)</f>
        <v>East</v>
      </c>
      <c r="O1400">
        <f>_xlfn.XLOOKUP(D1400, Products!A:A, Products!D:D)</f>
        <v>2265</v>
      </c>
      <c r="P1400">
        <f>_xlfn.XLOOKUP(D1400, Products!A:A, Products!E:E)</f>
        <v>5410</v>
      </c>
    </row>
    <row r="1401" spans="1:16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 t="shared" si="21"/>
        <v>Hyderabad</v>
      </c>
      <c r="M1401" t="str">
        <f>_xlfn.XLOOKUP(D1401, Products!A:A, Products!C:C)</f>
        <v>Apparel</v>
      </c>
      <c r="N1401" t="str">
        <f>_xlfn.XLOOKUP(E227, Sales_Reps!A:A, Sales_Reps!C:C)</f>
        <v>North</v>
      </c>
      <c r="O1401">
        <f>_xlfn.XLOOKUP(D1401, Products!A:A, Products!D:D)</f>
        <v>1748</v>
      </c>
      <c r="P1401">
        <f>_xlfn.XLOOKUP(D1401, Products!A:A, Products!E:E)</f>
        <v>3450</v>
      </c>
    </row>
    <row r="1402" spans="1:16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 t="shared" si="21"/>
        <v>Pune</v>
      </c>
      <c r="M1402" t="str">
        <f>_xlfn.XLOOKUP(D1402, Products!A:A, Products!C:C)</f>
        <v>Apparel</v>
      </c>
      <c r="N1402" t="str">
        <f>_xlfn.XLOOKUP(E228, Sales_Reps!A:A, Sales_Reps!C:C)</f>
        <v>East</v>
      </c>
      <c r="O1402">
        <f>_xlfn.XLOOKUP(D1402, Products!A:A, Products!D:D)</f>
        <v>1886</v>
      </c>
      <c r="P1402">
        <f>_xlfn.XLOOKUP(D1402, Products!A:A, Products!E:E)</f>
        <v>3160</v>
      </c>
    </row>
    <row r="1403" spans="1:16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 t="shared" si="21"/>
        <v>Bengaluru</v>
      </c>
      <c r="M1403" t="str">
        <f>_xlfn.XLOOKUP(D1403, Products!A:A, Products!C:C)</f>
        <v>Beauty</v>
      </c>
      <c r="N1403" t="str">
        <f>_xlfn.XLOOKUP(E229, Sales_Reps!A:A, Sales_Reps!C:C)</f>
        <v>East</v>
      </c>
      <c r="O1403">
        <f>_xlfn.XLOOKUP(D1403, Products!A:A, Products!D:D)</f>
        <v>647</v>
      </c>
      <c r="P1403">
        <f>_xlfn.XLOOKUP(D1403, Products!A:A, Products!E:E)</f>
        <v>1540</v>
      </c>
    </row>
    <row r="1404" spans="1:16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 t="shared" si="21"/>
        <v>Pune</v>
      </c>
      <c r="M1404" t="str">
        <f>_xlfn.XLOOKUP(D1404, Products!A:A, Products!C:C)</f>
        <v>Apparel</v>
      </c>
      <c r="N1404" t="str">
        <f>_xlfn.XLOOKUP(E230, Sales_Reps!A:A, Sales_Reps!C:C)</f>
        <v>South</v>
      </c>
      <c r="O1404">
        <f>_xlfn.XLOOKUP(D1404, Products!A:A, Products!D:D)</f>
        <v>2611</v>
      </c>
      <c r="P1404">
        <f>_xlfn.XLOOKUP(D1404, Products!A:A, Products!E:E)</f>
        <v>3640</v>
      </c>
    </row>
    <row r="1405" spans="1:16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 t="shared" si="21"/>
        <v>Hyderabad</v>
      </c>
      <c r="M1405" t="str">
        <f>_xlfn.XLOOKUP(D1405, Products!A:A, Products!C:C)</f>
        <v>Sports</v>
      </c>
      <c r="N1405" t="str">
        <f>_xlfn.XLOOKUP(E231, Sales_Reps!A:A, Sales_Reps!C:C)</f>
        <v>South</v>
      </c>
      <c r="O1405">
        <f>_xlfn.XLOOKUP(D1405, Products!A:A, Products!D:D)</f>
        <v>1860</v>
      </c>
      <c r="P1405">
        <f>_xlfn.XLOOKUP(D1405, Products!A:A, Products!E:E)</f>
        <v>3780</v>
      </c>
    </row>
    <row r="1406" spans="1:16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 t="shared" si="21"/>
        <v>Bengaluru</v>
      </c>
      <c r="M1406" t="str">
        <f>_xlfn.XLOOKUP(D1406, Products!A:A, Products!C:C)</f>
        <v>Apparel</v>
      </c>
      <c r="N1406" t="str">
        <f>_xlfn.XLOOKUP(E232, Sales_Reps!A:A, Sales_Reps!C:C)</f>
        <v>North</v>
      </c>
      <c r="O1406">
        <f>_xlfn.XLOOKUP(D1406, Products!A:A, Products!D:D)</f>
        <v>1962</v>
      </c>
      <c r="P1406">
        <f>_xlfn.XLOOKUP(D1406, Products!A:A, Products!E:E)</f>
        <v>2720</v>
      </c>
    </row>
    <row r="1407" spans="1:16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 t="shared" si="21"/>
        <v>Chennai</v>
      </c>
      <c r="M1407" t="str">
        <f>_xlfn.XLOOKUP(D1407, Products!A:A, Products!C:C)</f>
        <v>Apparel</v>
      </c>
      <c r="N1407" t="str">
        <f>_xlfn.XLOOKUP(E233, Sales_Reps!A:A, Sales_Reps!C:C)</f>
        <v>West</v>
      </c>
      <c r="O1407">
        <f>_xlfn.XLOOKUP(D1407, Products!A:A, Products!D:D)</f>
        <v>2509</v>
      </c>
      <c r="P1407">
        <f>_xlfn.XLOOKUP(D1407, Products!A:A, Products!E:E)</f>
        <v>3620</v>
      </c>
    </row>
    <row r="1408" spans="1:16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 t="shared" si="21"/>
        <v>Hyderabad</v>
      </c>
      <c r="M1408" t="str">
        <f>_xlfn.XLOOKUP(D1408, Products!A:A, Products!C:C)</f>
        <v>Apparel</v>
      </c>
      <c r="N1408" t="str">
        <f>_xlfn.XLOOKUP(E234, Sales_Reps!A:A, Sales_Reps!C:C)</f>
        <v>West</v>
      </c>
      <c r="O1408">
        <f>_xlfn.XLOOKUP(D1408, Products!A:A, Products!D:D)</f>
        <v>1748</v>
      </c>
      <c r="P1408">
        <f>_xlfn.XLOOKUP(D1408, Products!A:A, Products!E:E)</f>
        <v>3450</v>
      </c>
    </row>
    <row r="1409" spans="1:16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 t="shared" si="21"/>
        <v>Delhi</v>
      </c>
      <c r="M1409" t="str">
        <f>_xlfn.XLOOKUP(D1409, Products!A:A, Products!C:C)</f>
        <v>Apparel</v>
      </c>
      <c r="N1409" t="str">
        <f>_xlfn.XLOOKUP(E235, Sales_Reps!A:A, Sales_Reps!C:C)</f>
        <v>West</v>
      </c>
      <c r="O1409">
        <f>_xlfn.XLOOKUP(D1409, Products!A:A, Products!D:D)</f>
        <v>2611</v>
      </c>
      <c r="P1409">
        <f>_xlfn.XLOOKUP(D1409, Products!A:A, Products!E:E)</f>
        <v>3640</v>
      </c>
    </row>
    <row r="1410" spans="1:16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 t="shared" si="21"/>
        <v>Mumbai</v>
      </c>
      <c r="M1410" t="str">
        <f>_xlfn.XLOOKUP(D1410, Products!A:A, Products!C:C)</f>
        <v>Apparel</v>
      </c>
      <c r="N1410" t="str">
        <f>_xlfn.XLOOKUP(E236, Sales_Reps!A:A, Sales_Reps!C:C)</f>
        <v>South</v>
      </c>
      <c r="O1410">
        <f>_xlfn.XLOOKUP(D1410, Products!A:A, Products!D:D)</f>
        <v>396</v>
      </c>
      <c r="P1410">
        <f>_xlfn.XLOOKUP(D1410, Products!A:A, Products!E:E)</f>
        <v>620</v>
      </c>
    </row>
    <row r="1411" spans="1:16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 t="shared" ref="L1411:L1474" si="22">PROPER(TRIM(K1411))</f>
        <v>Delhi</v>
      </c>
      <c r="M1411" t="str">
        <f>_xlfn.XLOOKUP(D1411, Products!A:A, Products!C:C)</f>
        <v>Sports</v>
      </c>
      <c r="N1411" t="str">
        <f>_xlfn.XLOOKUP(E237, Sales_Reps!A:A, Sales_Reps!C:C)</f>
        <v>East</v>
      </c>
      <c r="O1411">
        <f>_xlfn.XLOOKUP(D1411, Products!A:A, Products!D:D)</f>
        <v>1860</v>
      </c>
      <c r="P1411">
        <f>_xlfn.XLOOKUP(D1411, Products!A:A, Products!E:E)</f>
        <v>3780</v>
      </c>
    </row>
    <row r="1412" spans="1:16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 t="shared" si="22"/>
        <v>Delhi</v>
      </c>
      <c r="M1412" t="str">
        <f>_xlfn.XLOOKUP(D1412, Products!A:A, Products!C:C)</f>
        <v>Electronics</v>
      </c>
      <c r="N1412" t="str">
        <f>_xlfn.XLOOKUP(E238, Sales_Reps!A:A, Sales_Reps!C:C)</f>
        <v>North</v>
      </c>
      <c r="O1412">
        <f>_xlfn.XLOOKUP(D1412, Products!A:A, Products!D:D)</f>
        <v>1665</v>
      </c>
      <c r="P1412">
        <f>_xlfn.XLOOKUP(D1412, Products!A:A, Products!E:E)</f>
        <v>3570</v>
      </c>
    </row>
    <row r="1413" spans="1:16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 t="shared" si="22"/>
        <v>Delhi</v>
      </c>
      <c r="M1413" t="str">
        <f>_xlfn.XLOOKUP(D1413, Products!A:A, Products!C:C)</f>
        <v>Beauty</v>
      </c>
      <c r="N1413" t="str">
        <f>_xlfn.XLOOKUP(E239, Sales_Reps!A:A, Sales_Reps!C:C)</f>
        <v>East</v>
      </c>
      <c r="O1413">
        <f>_xlfn.XLOOKUP(D1413, Products!A:A, Products!D:D)</f>
        <v>1222</v>
      </c>
      <c r="P1413">
        <f>_xlfn.XLOOKUP(D1413, Products!A:A, Products!E:E)</f>
        <v>1650</v>
      </c>
    </row>
    <row r="1414" spans="1:16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 t="shared" si="22"/>
        <v>Bengaluru</v>
      </c>
      <c r="M1414" t="str">
        <f>_xlfn.XLOOKUP(D1414, Products!A:A, Products!C:C)</f>
        <v>Beauty</v>
      </c>
      <c r="N1414" t="str">
        <f>_xlfn.XLOOKUP(E240, Sales_Reps!A:A, Sales_Reps!C:C)</f>
        <v>West</v>
      </c>
      <c r="O1414">
        <f>_xlfn.XLOOKUP(D1414, Products!A:A, Products!D:D)</f>
        <v>675</v>
      </c>
      <c r="P1414">
        <f>_xlfn.XLOOKUP(D1414, Products!A:A, Products!E:E)</f>
        <v>960</v>
      </c>
    </row>
    <row r="1415" spans="1:16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 t="shared" si="22"/>
        <v>Mumbai</v>
      </c>
      <c r="M1415" t="str">
        <f>_xlfn.XLOOKUP(D1415, Products!A:A, Products!C:C)</f>
        <v>Electronics</v>
      </c>
      <c r="N1415" t="str">
        <f>_xlfn.XLOOKUP(E241, Sales_Reps!A:A, Sales_Reps!C:C)</f>
        <v>North</v>
      </c>
      <c r="O1415">
        <f>_xlfn.XLOOKUP(D1415, Products!A:A, Products!D:D)</f>
        <v>128</v>
      </c>
      <c r="P1415">
        <f>_xlfn.XLOOKUP(D1415, Products!A:A, Products!E:E)</f>
        <v>300</v>
      </c>
    </row>
    <row r="1416" spans="1:16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 t="shared" si="22"/>
        <v>Pune</v>
      </c>
      <c r="M1416" t="str">
        <f>_xlfn.XLOOKUP(D1416, Products!A:A, Products!C:C)</f>
        <v>Grocery</v>
      </c>
      <c r="N1416" t="str">
        <f>_xlfn.XLOOKUP(E242, Sales_Reps!A:A, Sales_Reps!C:C)</f>
        <v>South</v>
      </c>
      <c r="O1416">
        <f>_xlfn.XLOOKUP(D1416, Products!A:A, Products!D:D)</f>
        <v>2911</v>
      </c>
      <c r="P1416">
        <f>_xlfn.XLOOKUP(D1416, Products!A:A, Products!E:E)</f>
        <v>4060</v>
      </c>
    </row>
    <row r="1417" spans="1:16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 t="shared" si="22"/>
        <v>Bengaluru</v>
      </c>
      <c r="M1417" t="str">
        <f>_xlfn.XLOOKUP(D1417, Products!A:A, Products!C:C)</f>
        <v>Electronics</v>
      </c>
      <c r="N1417" t="str">
        <f>_xlfn.XLOOKUP(E243, Sales_Reps!A:A, Sales_Reps!C:C)</f>
        <v>West</v>
      </c>
      <c r="O1417">
        <f>_xlfn.XLOOKUP(D1417, Products!A:A, Products!D:D)</f>
        <v>2405</v>
      </c>
      <c r="P1417">
        <f>_xlfn.XLOOKUP(D1417, Products!A:A, Products!E:E)</f>
        <v>5330</v>
      </c>
    </row>
    <row r="1418" spans="1:16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 t="shared" si="22"/>
        <v>Delhi</v>
      </c>
      <c r="M1418" t="str">
        <f>_xlfn.XLOOKUP(D1418, Products!A:A, Products!C:C)</f>
        <v>Home</v>
      </c>
      <c r="N1418" t="str">
        <f>_xlfn.XLOOKUP(E244, Sales_Reps!A:A, Sales_Reps!C:C)</f>
        <v>North</v>
      </c>
      <c r="O1418">
        <f>_xlfn.XLOOKUP(D1418, Products!A:A, Products!D:D)</f>
        <v>2135</v>
      </c>
      <c r="P1418">
        <f>_xlfn.XLOOKUP(D1418, Products!A:A, Products!E:E)</f>
        <v>3730</v>
      </c>
    </row>
    <row r="1419" spans="1:16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 t="shared" si="22"/>
        <v>Chennai</v>
      </c>
      <c r="M1419" t="str">
        <f>_xlfn.XLOOKUP(D1419, Products!A:A, Products!C:C)</f>
        <v>Beauty</v>
      </c>
      <c r="N1419" t="str">
        <f>_xlfn.XLOOKUP(E245, Sales_Reps!A:A, Sales_Reps!C:C)</f>
        <v>South</v>
      </c>
      <c r="O1419">
        <f>_xlfn.XLOOKUP(D1419, Products!A:A, Products!D:D)</f>
        <v>2617</v>
      </c>
      <c r="P1419">
        <f>_xlfn.XLOOKUP(D1419, Products!A:A, Products!E:E)</f>
        <v>6080</v>
      </c>
    </row>
    <row r="1420" spans="1:16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 t="shared" si="22"/>
        <v>Mumbai</v>
      </c>
      <c r="M1420" t="str">
        <f>_xlfn.XLOOKUP(D1420, Products!A:A, Products!C:C)</f>
        <v>Apparel</v>
      </c>
      <c r="N1420" t="str">
        <f>_xlfn.XLOOKUP(E246, Sales_Reps!A:A, Sales_Reps!C:C)</f>
        <v>South</v>
      </c>
      <c r="O1420">
        <f>_xlfn.XLOOKUP(D1420, Products!A:A, Products!D:D)</f>
        <v>1962</v>
      </c>
      <c r="P1420">
        <f>_xlfn.XLOOKUP(D1420, Products!A:A, Products!E:E)</f>
        <v>2720</v>
      </c>
    </row>
    <row r="1421" spans="1:16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 t="shared" si="22"/>
        <v>Mumbai</v>
      </c>
      <c r="M1421" t="str">
        <f>_xlfn.XLOOKUP(D1421, Products!A:A, Products!C:C)</f>
        <v>Apparel</v>
      </c>
      <c r="N1421" t="str">
        <f>_xlfn.XLOOKUP(E247, Sales_Reps!A:A, Sales_Reps!C:C)</f>
        <v>North</v>
      </c>
      <c r="O1421">
        <f>_xlfn.XLOOKUP(D1421, Products!A:A, Products!D:D)</f>
        <v>1748</v>
      </c>
      <c r="P1421">
        <f>_xlfn.XLOOKUP(D1421, Products!A:A, Products!E:E)</f>
        <v>3450</v>
      </c>
    </row>
    <row r="1422" spans="1:16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 t="shared" si="22"/>
        <v>Bengaluru</v>
      </c>
      <c r="M1422" t="str">
        <f>_xlfn.XLOOKUP(D1422, Products!A:A, Products!C:C)</f>
        <v>Home</v>
      </c>
      <c r="N1422" t="str">
        <f>_xlfn.XLOOKUP(E248, Sales_Reps!A:A, Sales_Reps!C:C)</f>
        <v>South</v>
      </c>
      <c r="O1422">
        <f>_xlfn.XLOOKUP(D1422, Products!A:A, Products!D:D)</f>
        <v>464</v>
      </c>
      <c r="P1422">
        <f>_xlfn.XLOOKUP(D1422, Products!A:A, Products!E:E)</f>
        <v>1090</v>
      </c>
    </row>
    <row r="1423" spans="1:16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 t="shared" si="22"/>
        <v>Hyderabad</v>
      </c>
      <c r="M1423" t="str">
        <f>_xlfn.XLOOKUP(D1423, Products!A:A, Products!C:C)</f>
        <v>Electronics</v>
      </c>
      <c r="N1423" t="str">
        <f>_xlfn.XLOOKUP(E249, Sales_Reps!A:A, Sales_Reps!C:C)</f>
        <v>West</v>
      </c>
      <c r="O1423">
        <f>_xlfn.XLOOKUP(D1423, Products!A:A, Products!D:D)</f>
        <v>1665</v>
      </c>
      <c r="P1423">
        <f>_xlfn.XLOOKUP(D1423, Products!A:A, Products!E:E)</f>
        <v>3570</v>
      </c>
    </row>
    <row r="1424" spans="1:16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 t="shared" si="22"/>
        <v>Delhi</v>
      </c>
      <c r="M1424" t="str">
        <f>_xlfn.XLOOKUP(D1424, Products!A:A, Products!C:C)</f>
        <v>Apparel</v>
      </c>
      <c r="N1424" t="str">
        <f>_xlfn.XLOOKUP(E250, Sales_Reps!A:A, Sales_Reps!C:C)</f>
        <v>South</v>
      </c>
      <c r="O1424">
        <f>_xlfn.XLOOKUP(D1424, Products!A:A, Products!D:D)</f>
        <v>1173</v>
      </c>
      <c r="P1424">
        <f>_xlfn.XLOOKUP(D1424, Products!A:A, Products!E:E)</f>
        <v>2480</v>
      </c>
    </row>
    <row r="1425" spans="1:16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 t="shared" si="22"/>
        <v>Hyderabad</v>
      </c>
      <c r="M1425" t="str">
        <f>_xlfn.XLOOKUP(D1425, Products!A:A, Products!C:C)</f>
        <v>Grocery</v>
      </c>
      <c r="N1425" t="str">
        <f>_xlfn.XLOOKUP(E251, Sales_Reps!A:A, Sales_Reps!C:C)</f>
        <v>East</v>
      </c>
      <c r="O1425">
        <f>_xlfn.XLOOKUP(D1425, Products!A:A, Products!D:D)</f>
        <v>2436</v>
      </c>
      <c r="P1425">
        <f>_xlfn.XLOOKUP(D1425, Products!A:A, Products!E:E)</f>
        <v>3780</v>
      </c>
    </row>
    <row r="1426" spans="1:16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 t="shared" si="22"/>
        <v>Delhi</v>
      </c>
      <c r="M1426" t="str">
        <f>_xlfn.XLOOKUP(D1426, Products!A:A, Products!C:C)</f>
        <v>Grocery</v>
      </c>
      <c r="N1426" t="str">
        <f>_xlfn.XLOOKUP(E252, Sales_Reps!A:A, Sales_Reps!C:C)</f>
        <v>South</v>
      </c>
      <c r="O1426">
        <f>_xlfn.XLOOKUP(D1426, Products!A:A, Products!D:D)</f>
        <v>2911</v>
      </c>
      <c r="P1426">
        <f>_xlfn.XLOOKUP(D1426, Products!A:A, Products!E:E)</f>
        <v>4060</v>
      </c>
    </row>
    <row r="1427" spans="1:16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 t="shared" si="22"/>
        <v>Pune</v>
      </c>
      <c r="M1427" t="str">
        <f>_xlfn.XLOOKUP(D1427, Products!A:A, Products!C:C)</f>
        <v>Electronics</v>
      </c>
      <c r="N1427" t="str">
        <f>_xlfn.XLOOKUP(E253, Sales_Reps!A:A, Sales_Reps!C:C)</f>
        <v>North</v>
      </c>
      <c r="O1427">
        <f>_xlfn.XLOOKUP(D1427, Products!A:A, Products!D:D)</f>
        <v>128</v>
      </c>
      <c r="P1427">
        <f>_xlfn.XLOOKUP(D1427, Products!A:A, Products!E:E)</f>
        <v>300</v>
      </c>
    </row>
    <row r="1428" spans="1:16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 t="shared" si="22"/>
        <v>Mumbai</v>
      </c>
      <c r="M1428" t="str">
        <f>_xlfn.XLOOKUP(D1428, Products!A:A, Products!C:C)</f>
        <v>Home</v>
      </c>
      <c r="N1428" t="str">
        <f>_xlfn.XLOOKUP(E254, Sales_Reps!A:A, Sales_Reps!C:C)</f>
        <v>South</v>
      </c>
      <c r="O1428">
        <f>_xlfn.XLOOKUP(D1428, Products!A:A, Products!D:D)</f>
        <v>1556</v>
      </c>
      <c r="P1428">
        <f>_xlfn.XLOOKUP(D1428, Products!A:A, Products!E:E)</f>
        <v>3250</v>
      </c>
    </row>
    <row r="1429" spans="1:16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 t="shared" si="22"/>
        <v>Chennai</v>
      </c>
      <c r="M1429" t="str">
        <f>_xlfn.XLOOKUP(D1429, Products!A:A, Products!C:C)</f>
        <v>Sports</v>
      </c>
      <c r="N1429" t="str">
        <f>_xlfn.XLOOKUP(E255, Sales_Reps!A:A, Sales_Reps!C:C)</f>
        <v>East</v>
      </c>
      <c r="O1429">
        <f>_xlfn.XLOOKUP(D1429, Products!A:A, Products!D:D)</f>
        <v>2028</v>
      </c>
      <c r="P1429">
        <f>_xlfn.XLOOKUP(D1429, Products!A:A, Products!E:E)</f>
        <v>2860</v>
      </c>
    </row>
    <row r="1430" spans="1:16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 t="shared" si="22"/>
        <v>Delhi</v>
      </c>
      <c r="M1430" t="str">
        <f>_xlfn.XLOOKUP(D1430, Products!A:A, Products!C:C)</f>
        <v>Electronics</v>
      </c>
      <c r="N1430" t="str">
        <f>_xlfn.XLOOKUP(E256, Sales_Reps!A:A, Sales_Reps!C:C)</f>
        <v>South</v>
      </c>
      <c r="O1430">
        <f>_xlfn.XLOOKUP(D1430, Products!A:A, Products!D:D)</f>
        <v>517</v>
      </c>
      <c r="P1430">
        <f>_xlfn.XLOOKUP(D1430, Products!A:A, Products!E:E)</f>
        <v>1220</v>
      </c>
    </row>
    <row r="1431" spans="1:16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 t="shared" si="22"/>
        <v>Hyderabad</v>
      </c>
      <c r="M1431" t="str">
        <f>_xlfn.XLOOKUP(D1431, Products!A:A, Products!C:C)</f>
        <v>Grocery</v>
      </c>
      <c r="N1431" t="str">
        <f>_xlfn.XLOOKUP(E257, Sales_Reps!A:A, Sales_Reps!C:C)</f>
        <v>North</v>
      </c>
      <c r="O1431">
        <f>_xlfn.XLOOKUP(D1431, Products!A:A, Products!D:D)</f>
        <v>2436</v>
      </c>
      <c r="P1431">
        <f>_xlfn.XLOOKUP(D1431, Products!A:A, Products!E:E)</f>
        <v>3780</v>
      </c>
    </row>
    <row r="1432" spans="1:16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 t="shared" si="22"/>
        <v>Delhi</v>
      </c>
      <c r="M1432" t="str">
        <f>_xlfn.XLOOKUP(D1432, Products!A:A, Products!C:C)</f>
        <v>Home</v>
      </c>
      <c r="N1432" t="str">
        <f>_xlfn.XLOOKUP(E258, Sales_Reps!A:A, Sales_Reps!C:C)</f>
        <v>East</v>
      </c>
      <c r="O1432">
        <f>_xlfn.XLOOKUP(D1432, Products!A:A, Products!D:D)</f>
        <v>2549</v>
      </c>
      <c r="P1432">
        <f>_xlfn.XLOOKUP(D1432, Products!A:A, Products!E:E)</f>
        <v>5490</v>
      </c>
    </row>
    <row r="1433" spans="1:16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 t="shared" si="22"/>
        <v>Chennai</v>
      </c>
      <c r="M1433" t="str">
        <f>_xlfn.XLOOKUP(D1433, Products!A:A, Products!C:C)</f>
        <v>Grocery</v>
      </c>
      <c r="N1433" t="str">
        <f>_xlfn.XLOOKUP(E259, Sales_Reps!A:A, Sales_Reps!C:C)</f>
        <v>West</v>
      </c>
      <c r="O1433">
        <f>_xlfn.XLOOKUP(D1433, Products!A:A, Products!D:D)</f>
        <v>1412</v>
      </c>
      <c r="P1433">
        <f>_xlfn.XLOOKUP(D1433, Products!A:A, Products!E:E)</f>
        <v>2270</v>
      </c>
    </row>
    <row r="1434" spans="1:16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 t="shared" si="22"/>
        <v>Chennai</v>
      </c>
      <c r="M1434" t="str">
        <f>_xlfn.XLOOKUP(D1434, Products!A:A, Products!C:C)</f>
        <v>Grocery</v>
      </c>
      <c r="N1434" t="str">
        <f>_xlfn.XLOOKUP(E260, Sales_Reps!A:A, Sales_Reps!C:C)</f>
        <v>South</v>
      </c>
      <c r="O1434">
        <f>_xlfn.XLOOKUP(D1434, Products!A:A, Products!D:D)</f>
        <v>1010</v>
      </c>
      <c r="P1434">
        <f>_xlfn.XLOOKUP(D1434, Products!A:A, Products!E:E)</f>
        <v>2210</v>
      </c>
    </row>
    <row r="1435" spans="1:16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 t="shared" si="22"/>
        <v>Pune</v>
      </c>
      <c r="M1435" t="str">
        <f>_xlfn.XLOOKUP(D1435, Products!A:A, Products!C:C)</f>
        <v>Home</v>
      </c>
      <c r="N1435" t="str">
        <f>_xlfn.XLOOKUP(E261, Sales_Reps!A:A, Sales_Reps!C:C)</f>
        <v>South</v>
      </c>
      <c r="O1435">
        <f>_xlfn.XLOOKUP(D1435, Products!A:A, Products!D:D)</f>
        <v>464</v>
      </c>
      <c r="P1435">
        <f>_xlfn.XLOOKUP(D1435, Products!A:A, Products!E:E)</f>
        <v>1090</v>
      </c>
    </row>
    <row r="1436" spans="1:16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 t="shared" si="22"/>
        <v>Bengaluru</v>
      </c>
      <c r="M1436" t="str">
        <f>_xlfn.XLOOKUP(D1436, Products!A:A, Products!C:C)</f>
        <v>Apparel</v>
      </c>
      <c r="N1436" t="str">
        <f>_xlfn.XLOOKUP(E262, Sales_Reps!A:A, Sales_Reps!C:C)</f>
        <v>East</v>
      </c>
      <c r="O1436">
        <f>_xlfn.XLOOKUP(D1436, Products!A:A, Products!D:D)</f>
        <v>2629</v>
      </c>
      <c r="P1436">
        <f>_xlfn.XLOOKUP(D1436, Products!A:A, Products!E:E)</f>
        <v>3560</v>
      </c>
    </row>
    <row r="1437" spans="1:16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 t="shared" si="22"/>
        <v>Pune</v>
      </c>
      <c r="M1437" t="str">
        <f>_xlfn.XLOOKUP(D1437, Products!A:A, Products!C:C)</f>
        <v>Sports</v>
      </c>
      <c r="N1437" t="str">
        <f>_xlfn.XLOOKUP(E263, Sales_Reps!A:A, Sales_Reps!C:C)</f>
        <v>South</v>
      </c>
      <c r="O1437">
        <f>_xlfn.XLOOKUP(D1437, Products!A:A, Products!D:D)</f>
        <v>516</v>
      </c>
      <c r="P1437">
        <f>_xlfn.XLOOKUP(D1437, Products!A:A, Products!E:E)</f>
        <v>1010</v>
      </c>
    </row>
    <row r="1438" spans="1:16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 t="shared" si="22"/>
        <v>Mumbai</v>
      </c>
      <c r="M1438" t="str">
        <f>_xlfn.XLOOKUP(D1438, Products!A:A, Products!C:C)</f>
        <v>Home</v>
      </c>
      <c r="N1438" t="str">
        <f>_xlfn.XLOOKUP(E264, Sales_Reps!A:A, Sales_Reps!C:C)</f>
        <v>North</v>
      </c>
      <c r="O1438">
        <f>_xlfn.XLOOKUP(D1438, Products!A:A, Products!D:D)</f>
        <v>1143</v>
      </c>
      <c r="P1438">
        <f>_xlfn.XLOOKUP(D1438, Products!A:A, Products!E:E)</f>
        <v>2030</v>
      </c>
    </row>
    <row r="1439" spans="1:16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 t="shared" si="22"/>
        <v>Delhi</v>
      </c>
      <c r="M1439" t="str">
        <f>_xlfn.XLOOKUP(D1439, Products!A:A, Products!C:C)</f>
        <v>Electronics</v>
      </c>
      <c r="N1439" t="str">
        <f>_xlfn.XLOOKUP(E265, Sales_Reps!A:A, Sales_Reps!C:C)</f>
        <v>North</v>
      </c>
      <c r="O1439">
        <f>_xlfn.XLOOKUP(D1439, Products!A:A, Products!D:D)</f>
        <v>2405</v>
      </c>
      <c r="P1439">
        <f>_xlfn.XLOOKUP(D1439, Products!A:A, Products!E:E)</f>
        <v>5330</v>
      </c>
    </row>
    <row r="1440" spans="1:16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 t="shared" si="22"/>
        <v>Bengaluru</v>
      </c>
      <c r="M1440" t="str">
        <f>_xlfn.XLOOKUP(D1440, Products!A:A, Products!C:C)</f>
        <v>Electronics</v>
      </c>
      <c r="N1440" t="str">
        <f>_xlfn.XLOOKUP(E266, Sales_Reps!A:A, Sales_Reps!C:C)</f>
        <v>East</v>
      </c>
      <c r="O1440">
        <f>_xlfn.XLOOKUP(D1440, Products!A:A, Products!D:D)</f>
        <v>1149</v>
      </c>
      <c r="P1440">
        <f>_xlfn.XLOOKUP(D1440, Products!A:A, Products!E:E)</f>
        <v>2640</v>
      </c>
    </row>
    <row r="1441" spans="1:16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 t="shared" si="22"/>
        <v>Mumbai</v>
      </c>
      <c r="M1441" t="str">
        <f>_xlfn.XLOOKUP(D1441, Products!A:A, Products!C:C)</f>
        <v>Electronics</v>
      </c>
      <c r="N1441" t="str">
        <f>_xlfn.XLOOKUP(E267, Sales_Reps!A:A, Sales_Reps!C:C)</f>
        <v>East</v>
      </c>
      <c r="O1441">
        <f>_xlfn.XLOOKUP(D1441, Products!A:A, Products!D:D)</f>
        <v>1259</v>
      </c>
      <c r="P1441">
        <f>_xlfn.XLOOKUP(D1441, Products!A:A, Products!E:E)</f>
        <v>2660</v>
      </c>
    </row>
    <row r="1442" spans="1:16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 t="shared" si="22"/>
        <v>Mumbai</v>
      </c>
      <c r="M1442" t="str">
        <f>_xlfn.XLOOKUP(D1442, Products!A:A, Products!C:C)</f>
        <v>Home</v>
      </c>
      <c r="N1442" t="str">
        <f>_xlfn.XLOOKUP(E268, Sales_Reps!A:A, Sales_Reps!C:C)</f>
        <v>East</v>
      </c>
      <c r="O1442">
        <f>_xlfn.XLOOKUP(D1442, Products!A:A, Products!D:D)</f>
        <v>1556</v>
      </c>
      <c r="P1442">
        <f>_xlfn.XLOOKUP(D1442, Products!A:A, Products!E:E)</f>
        <v>3250</v>
      </c>
    </row>
    <row r="1443" spans="1:16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 t="shared" si="22"/>
        <v>Pune</v>
      </c>
      <c r="M1443" t="str">
        <f>_xlfn.XLOOKUP(D1443, Products!A:A, Products!C:C)</f>
        <v>Grocery</v>
      </c>
      <c r="N1443" t="str">
        <f>_xlfn.XLOOKUP(E269, Sales_Reps!A:A, Sales_Reps!C:C)</f>
        <v>West</v>
      </c>
      <c r="O1443">
        <f>_xlfn.XLOOKUP(D1443, Products!A:A, Products!D:D)</f>
        <v>1010</v>
      </c>
      <c r="P1443">
        <f>_xlfn.XLOOKUP(D1443, Products!A:A, Products!E:E)</f>
        <v>2210</v>
      </c>
    </row>
    <row r="1444" spans="1:16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 t="shared" si="22"/>
        <v>Pune</v>
      </c>
      <c r="M1444" t="str">
        <f>_xlfn.XLOOKUP(D1444, Products!A:A, Products!C:C)</f>
        <v>Home</v>
      </c>
      <c r="N1444" t="str">
        <f>_xlfn.XLOOKUP(E270, Sales_Reps!A:A, Sales_Reps!C:C)</f>
        <v>South</v>
      </c>
      <c r="O1444">
        <f>_xlfn.XLOOKUP(D1444, Products!A:A, Products!D:D)</f>
        <v>288</v>
      </c>
      <c r="P1444">
        <f>_xlfn.XLOOKUP(D1444, Products!A:A, Products!E:E)</f>
        <v>370</v>
      </c>
    </row>
    <row r="1445" spans="1:16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 t="shared" si="22"/>
        <v>Chennai</v>
      </c>
      <c r="M1445" t="str">
        <f>_xlfn.XLOOKUP(D1445, Products!A:A, Products!C:C)</f>
        <v>Sports</v>
      </c>
      <c r="N1445" t="str">
        <f>_xlfn.XLOOKUP(E271, Sales_Reps!A:A, Sales_Reps!C:C)</f>
        <v>South</v>
      </c>
      <c r="O1445">
        <f>_xlfn.XLOOKUP(D1445, Products!A:A, Products!D:D)</f>
        <v>1860</v>
      </c>
      <c r="P1445">
        <f>_xlfn.XLOOKUP(D1445, Products!A:A, Products!E:E)</f>
        <v>3780</v>
      </c>
    </row>
    <row r="1446" spans="1:16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 t="shared" si="22"/>
        <v>Hyderabad</v>
      </c>
      <c r="M1446" t="str">
        <f>_xlfn.XLOOKUP(D1446, Products!A:A, Products!C:C)</f>
        <v>Sports</v>
      </c>
      <c r="N1446" t="str">
        <f>_xlfn.XLOOKUP(E272, Sales_Reps!A:A, Sales_Reps!C:C)</f>
        <v>North</v>
      </c>
      <c r="O1446">
        <f>_xlfn.XLOOKUP(D1446, Products!A:A, Products!D:D)</f>
        <v>516</v>
      </c>
      <c r="P1446">
        <f>_xlfn.XLOOKUP(D1446, Products!A:A, Products!E:E)</f>
        <v>1010</v>
      </c>
    </row>
    <row r="1447" spans="1:16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 t="shared" si="22"/>
        <v>Bengaluru</v>
      </c>
      <c r="M1447" t="str">
        <f>_xlfn.XLOOKUP(D1447, Products!A:A, Products!C:C)</f>
        <v>Apparel</v>
      </c>
      <c r="N1447" t="str">
        <f>_xlfn.XLOOKUP(E273, Sales_Reps!A:A, Sales_Reps!C:C)</f>
        <v>North</v>
      </c>
      <c r="O1447">
        <f>_xlfn.XLOOKUP(D1447, Products!A:A, Products!D:D)</f>
        <v>391</v>
      </c>
      <c r="P1447">
        <f>_xlfn.XLOOKUP(D1447, Products!A:A, Products!E:E)</f>
        <v>820</v>
      </c>
    </row>
    <row r="1448" spans="1:16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 t="shared" si="22"/>
        <v>Pune</v>
      </c>
      <c r="M1448" t="str">
        <f>_xlfn.XLOOKUP(D1448, Products!A:A, Products!C:C)</f>
        <v>Grocery</v>
      </c>
      <c r="N1448" t="str">
        <f>_xlfn.XLOOKUP(E274, Sales_Reps!A:A, Sales_Reps!C:C)</f>
        <v>West</v>
      </c>
      <c r="O1448">
        <f>_xlfn.XLOOKUP(D1448, Products!A:A, Products!D:D)</f>
        <v>2214</v>
      </c>
      <c r="P1448">
        <f>_xlfn.XLOOKUP(D1448, Products!A:A, Products!E:E)</f>
        <v>3660</v>
      </c>
    </row>
    <row r="1449" spans="1:16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 t="shared" si="22"/>
        <v>Chennai</v>
      </c>
      <c r="M1449" t="str">
        <f>_xlfn.XLOOKUP(D1449, Products!A:A, Products!C:C)</f>
        <v>Grocery</v>
      </c>
      <c r="N1449" t="str">
        <f>_xlfn.XLOOKUP(E275, Sales_Reps!A:A, Sales_Reps!C:C)</f>
        <v>South</v>
      </c>
      <c r="O1449">
        <f>_xlfn.XLOOKUP(D1449, Products!A:A, Products!D:D)</f>
        <v>1412</v>
      </c>
      <c r="P1449">
        <f>_xlfn.XLOOKUP(D1449, Products!A:A, Products!E:E)</f>
        <v>2270</v>
      </c>
    </row>
    <row r="1450" spans="1:16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 t="shared" si="22"/>
        <v>Mumbai</v>
      </c>
      <c r="M1450" t="str">
        <f>_xlfn.XLOOKUP(D1450, Products!A:A, Products!C:C)</f>
        <v>Beauty</v>
      </c>
      <c r="N1450" t="str">
        <f>_xlfn.XLOOKUP(E276, Sales_Reps!A:A, Sales_Reps!C:C)</f>
        <v>South</v>
      </c>
      <c r="O1450">
        <f>_xlfn.XLOOKUP(D1450, Products!A:A, Products!D:D)</f>
        <v>675</v>
      </c>
      <c r="P1450">
        <f>_xlfn.XLOOKUP(D1450, Products!A:A, Products!E:E)</f>
        <v>960</v>
      </c>
    </row>
    <row r="1451" spans="1:16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 t="shared" si="22"/>
        <v>Pune</v>
      </c>
      <c r="M1451" t="str">
        <f>_xlfn.XLOOKUP(D1451, Products!A:A, Products!C:C)</f>
        <v>Home</v>
      </c>
      <c r="N1451" t="str">
        <f>_xlfn.XLOOKUP(E277, Sales_Reps!A:A, Sales_Reps!C:C)</f>
        <v>North</v>
      </c>
      <c r="O1451">
        <f>_xlfn.XLOOKUP(D1451, Products!A:A, Products!D:D)</f>
        <v>1143</v>
      </c>
      <c r="P1451">
        <f>_xlfn.XLOOKUP(D1451, Products!A:A, Products!E:E)</f>
        <v>2030</v>
      </c>
    </row>
    <row r="1452" spans="1:16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 t="shared" si="22"/>
        <v>Bengaluru</v>
      </c>
      <c r="M1452" t="str">
        <f>_xlfn.XLOOKUP(D1452, Products!A:A, Products!C:C)</f>
        <v>Grocery</v>
      </c>
      <c r="N1452" t="str">
        <f>_xlfn.XLOOKUP(E278, Sales_Reps!A:A, Sales_Reps!C:C)</f>
        <v>East</v>
      </c>
      <c r="O1452">
        <f>_xlfn.XLOOKUP(D1452, Products!A:A, Products!D:D)</f>
        <v>1182</v>
      </c>
      <c r="P1452">
        <f>_xlfn.XLOOKUP(D1452, Products!A:A, Products!E:E)</f>
        <v>2380</v>
      </c>
    </row>
    <row r="1453" spans="1:16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 t="shared" si="22"/>
        <v>Chennai</v>
      </c>
      <c r="M1453" t="str">
        <f>_xlfn.XLOOKUP(D1453, Products!A:A, Products!C:C)</f>
        <v>Beauty</v>
      </c>
      <c r="N1453" t="str">
        <f>_xlfn.XLOOKUP(E279, Sales_Reps!A:A, Sales_Reps!C:C)</f>
        <v>South</v>
      </c>
      <c r="O1453">
        <f>_xlfn.XLOOKUP(D1453, Products!A:A, Products!D:D)</f>
        <v>2420</v>
      </c>
      <c r="P1453">
        <f>_xlfn.XLOOKUP(D1453, Products!A:A, Products!E:E)</f>
        <v>3450</v>
      </c>
    </row>
    <row r="1454" spans="1:16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 t="shared" si="22"/>
        <v>Bengaluru</v>
      </c>
      <c r="M1454" t="str">
        <f>_xlfn.XLOOKUP(D1454, Products!A:A, Products!C:C)</f>
        <v>Beauty</v>
      </c>
      <c r="N1454" t="str">
        <f>_xlfn.XLOOKUP(E280, Sales_Reps!A:A, Sales_Reps!C:C)</f>
        <v>North</v>
      </c>
      <c r="O1454">
        <f>_xlfn.XLOOKUP(D1454, Products!A:A, Products!D:D)</f>
        <v>675</v>
      </c>
      <c r="P1454">
        <f>_xlfn.XLOOKUP(D1454, Products!A:A, Products!E:E)</f>
        <v>960</v>
      </c>
    </row>
    <row r="1455" spans="1:16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 t="shared" si="22"/>
        <v>Delhi</v>
      </c>
      <c r="M1455" t="str">
        <f>_xlfn.XLOOKUP(D1455, Products!A:A, Products!C:C)</f>
        <v>Apparel</v>
      </c>
      <c r="N1455" t="str">
        <f>_xlfn.XLOOKUP(E281, Sales_Reps!A:A, Sales_Reps!C:C)</f>
        <v>North</v>
      </c>
      <c r="O1455">
        <f>_xlfn.XLOOKUP(D1455, Products!A:A, Products!D:D)</f>
        <v>2629</v>
      </c>
      <c r="P1455">
        <f>_xlfn.XLOOKUP(D1455, Products!A:A, Products!E:E)</f>
        <v>3560</v>
      </c>
    </row>
    <row r="1456" spans="1:16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 t="shared" si="22"/>
        <v>Delhi</v>
      </c>
      <c r="M1456" t="str">
        <f>_xlfn.XLOOKUP(D1456, Products!A:A, Products!C:C)</f>
        <v>Apparel</v>
      </c>
      <c r="N1456" t="str">
        <f>_xlfn.XLOOKUP(E282, Sales_Reps!A:A, Sales_Reps!C:C)</f>
        <v>West</v>
      </c>
      <c r="O1456">
        <f>_xlfn.XLOOKUP(D1456, Products!A:A, Products!D:D)</f>
        <v>1962</v>
      </c>
      <c r="P1456">
        <f>_xlfn.XLOOKUP(D1456, Products!A:A, Products!E:E)</f>
        <v>2720</v>
      </c>
    </row>
    <row r="1457" spans="1:16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 t="shared" si="22"/>
        <v>Hyderabad</v>
      </c>
      <c r="M1457" t="str">
        <f>_xlfn.XLOOKUP(D1457, Products!A:A, Products!C:C)</f>
        <v>Electronics</v>
      </c>
      <c r="N1457" t="str">
        <f>_xlfn.XLOOKUP(E283, Sales_Reps!A:A, Sales_Reps!C:C)</f>
        <v>East</v>
      </c>
      <c r="O1457">
        <f>_xlfn.XLOOKUP(D1457, Products!A:A, Products!D:D)</f>
        <v>517</v>
      </c>
      <c r="P1457">
        <f>_xlfn.XLOOKUP(D1457, Products!A:A, Products!E:E)</f>
        <v>1220</v>
      </c>
    </row>
    <row r="1458" spans="1:16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 t="shared" si="22"/>
        <v>Hyderabad</v>
      </c>
      <c r="M1458" t="str">
        <f>_xlfn.XLOOKUP(D1458, Products!A:A, Products!C:C)</f>
        <v>Home</v>
      </c>
      <c r="N1458" t="str">
        <f>_xlfn.XLOOKUP(E284, Sales_Reps!A:A, Sales_Reps!C:C)</f>
        <v>North</v>
      </c>
      <c r="O1458">
        <f>_xlfn.XLOOKUP(D1458, Products!A:A, Products!D:D)</f>
        <v>464</v>
      </c>
      <c r="P1458">
        <f>_xlfn.XLOOKUP(D1458, Products!A:A, Products!E:E)</f>
        <v>1090</v>
      </c>
    </row>
    <row r="1459" spans="1:16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 t="shared" si="22"/>
        <v>Mumbai</v>
      </c>
      <c r="M1459" t="str">
        <f>_xlfn.XLOOKUP(D1459, Products!A:A, Products!C:C)</f>
        <v>Home</v>
      </c>
      <c r="N1459" t="str">
        <f>_xlfn.XLOOKUP(E285, Sales_Reps!A:A, Sales_Reps!C:C)</f>
        <v>North</v>
      </c>
      <c r="O1459">
        <f>_xlfn.XLOOKUP(D1459, Products!A:A, Products!D:D)</f>
        <v>288</v>
      </c>
      <c r="P1459">
        <f>_xlfn.XLOOKUP(D1459, Products!A:A, Products!E:E)</f>
        <v>370</v>
      </c>
    </row>
    <row r="1460" spans="1:16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 t="shared" si="22"/>
        <v>Mumbai</v>
      </c>
      <c r="M1460" t="str">
        <f>_xlfn.XLOOKUP(D1460, Products!A:A, Products!C:C)</f>
        <v>Sports</v>
      </c>
      <c r="N1460" t="str">
        <f>_xlfn.XLOOKUP(E286, Sales_Reps!A:A, Sales_Reps!C:C)</f>
        <v>North</v>
      </c>
      <c r="O1460">
        <f>_xlfn.XLOOKUP(D1460, Products!A:A, Products!D:D)</f>
        <v>2028</v>
      </c>
      <c r="P1460">
        <f>_xlfn.XLOOKUP(D1460, Products!A:A, Products!E:E)</f>
        <v>2860</v>
      </c>
    </row>
    <row r="1461" spans="1:16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 t="shared" si="22"/>
        <v>Bengaluru</v>
      </c>
      <c r="M1461" t="str">
        <f>_xlfn.XLOOKUP(D1461, Products!A:A, Products!C:C)</f>
        <v>Grocery</v>
      </c>
      <c r="N1461" t="str">
        <f>_xlfn.XLOOKUP(E287, Sales_Reps!A:A, Sales_Reps!C:C)</f>
        <v>North</v>
      </c>
      <c r="O1461">
        <f>_xlfn.XLOOKUP(D1461, Products!A:A, Products!D:D)</f>
        <v>1010</v>
      </c>
      <c r="P1461">
        <f>_xlfn.XLOOKUP(D1461, Products!A:A, Products!E:E)</f>
        <v>2210</v>
      </c>
    </row>
    <row r="1462" spans="1:16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 t="shared" si="22"/>
        <v>Pune</v>
      </c>
      <c r="M1462" t="str">
        <f>_xlfn.XLOOKUP(D1462, Products!A:A, Products!C:C)</f>
        <v>Grocery</v>
      </c>
      <c r="N1462" t="str">
        <f>_xlfn.XLOOKUP(E288, Sales_Reps!A:A, Sales_Reps!C:C)</f>
        <v>West</v>
      </c>
      <c r="O1462">
        <f>_xlfn.XLOOKUP(D1462, Products!A:A, Products!D:D)</f>
        <v>434</v>
      </c>
      <c r="P1462">
        <f>_xlfn.XLOOKUP(D1462, Products!A:A, Products!E:E)</f>
        <v>970</v>
      </c>
    </row>
    <row r="1463" spans="1:16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 t="shared" si="22"/>
        <v>Bengaluru</v>
      </c>
      <c r="M1463" t="str">
        <f>_xlfn.XLOOKUP(D1463, Products!A:A, Products!C:C)</f>
        <v>Apparel</v>
      </c>
      <c r="N1463" t="str">
        <f>_xlfn.XLOOKUP(E289, Sales_Reps!A:A, Sales_Reps!C:C)</f>
        <v>North</v>
      </c>
      <c r="O1463">
        <f>_xlfn.XLOOKUP(D1463, Products!A:A, Products!D:D)</f>
        <v>2629</v>
      </c>
      <c r="P1463">
        <f>_xlfn.XLOOKUP(D1463, Products!A:A, Products!E:E)</f>
        <v>3560</v>
      </c>
    </row>
    <row r="1464" spans="1:16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 t="shared" si="22"/>
        <v>Hyderabad</v>
      </c>
      <c r="M1464" t="str">
        <f>_xlfn.XLOOKUP(D1464, Products!A:A, Products!C:C)</f>
        <v>Home</v>
      </c>
      <c r="N1464" t="str">
        <f>_xlfn.XLOOKUP(E290, Sales_Reps!A:A, Sales_Reps!C:C)</f>
        <v>North</v>
      </c>
      <c r="O1464">
        <f>_xlfn.XLOOKUP(D1464, Products!A:A, Products!D:D)</f>
        <v>519</v>
      </c>
      <c r="P1464">
        <f>_xlfn.XLOOKUP(D1464, Products!A:A, Products!E:E)</f>
        <v>1080</v>
      </c>
    </row>
    <row r="1465" spans="1:16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 t="shared" si="22"/>
        <v>Pune</v>
      </c>
      <c r="M1465" t="str">
        <f>_xlfn.XLOOKUP(D1465, Products!A:A, Products!C:C)</f>
        <v>Electronics</v>
      </c>
      <c r="N1465" t="str">
        <f>_xlfn.XLOOKUP(E291, Sales_Reps!A:A, Sales_Reps!C:C)</f>
        <v>West</v>
      </c>
      <c r="O1465">
        <f>_xlfn.XLOOKUP(D1465, Products!A:A, Products!D:D)</f>
        <v>517</v>
      </c>
      <c r="P1465">
        <f>_xlfn.XLOOKUP(D1465, Products!A:A, Products!E:E)</f>
        <v>1220</v>
      </c>
    </row>
    <row r="1466" spans="1:16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 t="shared" si="22"/>
        <v>Pune</v>
      </c>
      <c r="M1466" t="str">
        <f>_xlfn.XLOOKUP(D1466, Products!A:A, Products!C:C)</f>
        <v>Home</v>
      </c>
      <c r="N1466" t="str">
        <f>_xlfn.XLOOKUP(E292, Sales_Reps!A:A, Sales_Reps!C:C)</f>
        <v>West</v>
      </c>
      <c r="O1466">
        <f>_xlfn.XLOOKUP(D1466, Products!A:A, Products!D:D)</f>
        <v>2135</v>
      </c>
      <c r="P1466">
        <f>_xlfn.XLOOKUP(D1466, Products!A:A, Products!E:E)</f>
        <v>3730</v>
      </c>
    </row>
    <row r="1467" spans="1:16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 t="shared" si="22"/>
        <v>Chennai</v>
      </c>
      <c r="M1467" t="str">
        <f>_xlfn.XLOOKUP(D1467, Products!A:A, Products!C:C)</f>
        <v>Electronics</v>
      </c>
      <c r="N1467" t="str">
        <f>_xlfn.XLOOKUP(E293, Sales_Reps!A:A, Sales_Reps!C:C)</f>
        <v>North</v>
      </c>
      <c r="O1467">
        <f>_xlfn.XLOOKUP(D1467, Products!A:A, Products!D:D)</f>
        <v>861</v>
      </c>
      <c r="P1467">
        <f>_xlfn.XLOOKUP(D1467, Products!A:A, Products!E:E)</f>
        <v>1430</v>
      </c>
    </row>
    <row r="1468" spans="1:16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 t="shared" si="22"/>
        <v>Hyderabad</v>
      </c>
      <c r="M1468" t="str">
        <f>_xlfn.XLOOKUP(D1468, Products!A:A, Products!C:C)</f>
        <v>Beauty</v>
      </c>
      <c r="N1468" t="str">
        <f>_xlfn.XLOOKUP(E294, Sales_Reps!A:A, Sales_Reps!C:C)</f>
        <v>South</v>
      </c>
      <c r="O1468">
        <f>_xlfn.XLOOKUP(D1468, Products!A:A, Products!D:D)</f>
        <v>2617</v>
      </c>
      <c r="P1468">
        <f>_xlfn.XLOOKUP(D1468, Products!A:A, Products!E:E)</f>
        <v>6080</v>
      </c>
    </row>
    <row r="1469" spans="1:16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 t="shared" si="22"/>
        <v>Chennai</v>
      </c>
      <c r="M1469" t="str">
        <f>_xlfn.XLOOKUP(D1469, Products!A:A, Products!C:C)</f>
        <v>Beauty</v>
      </c>
      <c r="N1469" t="str">
        <f>_xlfn.XLOOKUP(E295, Sales_Reps!A:A, Sales_Reps!C:C)</f>
        <v>North</v>
      </c>
      <c r="O1469">
        <f>_xlfn.XLOOKUP(D1469, Products!A:A, Products!D:D)</f>
        <v>2237</v>
      </c>
      <c r="P1469">
        <f>_xlfn.XLOOKUP(D1469, Products!A:A, Products!E:E)</f>
        <v>5100</v>
      </c>
    </row>
    <row r="1470" spans="1:16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 t="shared" si="22"/>
        <v>Mumbai</v>
      </c>
      <c r="M1470" t="str">
        <f>_xlfn.XLOOKUP(D1470, Products!A:A, Products!C:C)</f>
        <v>Apparel</v>
      </c>
      <c r="N1470" t="str">
        <f>_xlfn.XLOOKUP(E296, Sales_Reps!A:A, Sales_Reps!C:C)</f>
        <v>North</v>
      </c>
      <c r="O1470">
        <f>_xlfn.XLOOKUP(D1470, Products!A:A, Products!D:D)</f>
        <v>1748</v>
      </c>
      <c r="P1470">
        <f>_xlfn.XLOOKUP(D1470, Products!A:A, Products!E:E)</f>
        <v>3450</v>
      </c>
    </row>
    <row r="1471" spans="1:16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 t="shared" si="22"/>
        <v>Hyderabad</v>
      </c>
      <c r="M1471" t="str">
        <f>_xlfn.XLOOKUP(D1471, Products!A:A, Products!C:C)</f>
        <v>Electronics</v>
      </c>
      <c r="N1471" t="str">
        <f>_xlfn.XLOOKUP(E297, Sales_Reps!A:A, Sales_Reps!C:C)</f>
        <v>West</v>
      </c>
      <c r="O1471">
        <f>_xlfn.XLOOKUP(D1471, Products!A:A, Products!D:D)</f>
        <v>1665</v>
      </c>
      <c r="P1471">
        <f>_xlfn.XLOOKUP(D1471, Products!A:A, Products!E:E)</f>
        <v>3570</v>
      </c>
    </row>
    <row r="1472" spans="1:16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 t="shared" si="22"/>
        <v>Chennai</v>
      </c>
      <c r="M1472" t="str">
        <f>_xlfn.XLOOKUP(D1472, Products!A:A, Products!C:C)</f>
        <v>Home</v>
      </c>
      <c r="N1472" t="str">
        <f>_xlfn.XLOOKUP(E298, Sales_Reps!A:A, Sales_Reps!C:C)</f>
        <v>South</v>
      </c>
      <c r="O1472">
        <f>_xlfn.XLOOKUP(D1472, Products!A:A, Products!D:D)</f>
        <v>2135</v>
      </c>
      <c r="P1472">
        <f>_xlfn.XLOOKUP(D1472, Products!A:A, Products!E:E)</f>
        <v>3730</v>
      </c>
    </row>
    <row r="1473" spans="1:16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 t="shared" si="22"/>
        <v>Bengaluru</v>
      </c>
      <c r="M1473" t="str">
        <f>_xlfn.XLOOKUP(D1473, Products!A:A, Products!C:C)</f>
        <v>Sports</v>
      </c>
      <c r="N1473" t="str">
        <f>_xlfn.XLOOKUP(E299, Sales_Reps!A:A, Sales_Reps!C:C)</f>
        <v>South</v>
      </c>
      <c r="O1473">
        <f>_xlfn.XLOOKUP(D1473, Products!A:A, Products!D:D)</f>
        <v>1860</v>
      </c>
      <c r="P1473">
        <f>_xlfn.XLOOKUP(D1473, Products!A:A, Products!E:E)</f>
        <v>3780</v>
      </c>
    </row>
    <row r="1474" spans="1:16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 t="shared" si="22"/>
        <v>Bengaluru</v>
      </c>
      <c r="M1474" t="str">
        <f>_xlfn.XLOOKUP(D1474, Products!A:A, Products!C:C)</f>
        <v>Apparel</v>
      </c>
      <c r="N1474" t="str">
        <f>_xlfn.XLOOKUP(E300, Sales_Reps!A:A, Sales_Reps!C:C)</f>
        <v>West</v>
      </c>
      <c r="O1474">
        <f>_xlfn.XLOOKUP(D1474, Products!A:A, Products!D:D)</f>
        <v>1075</v>
      </c>
      <c r="P1474">
        <f>_xlfn.XLOOKUP(D1474, Products!A:A, Products!E:E)</f>
        <v>2510</v>
      </c>
    </row>
    <row r="1475" spans="1:16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 t="shared" ref="L1475:L1538" si="23">PROPER(TRIM(K1475))</f>
        <v>Delhi</v>
      </c>
      <c r="M1475" t="str">
        <f>_xlfn.XLOOKUP(D1475, Products!A:A, Products!C:C)</f>
        <v>Home</v>
      </c>
      <c r="N1475" t="str">
        <f>_xlfn.XLOOKUP(E301, Sales_Reps!A:A, Sales_Reps!C:C)</f>
        <v>North</v>
      </c>
      <c r="O1475">
        <f>_xlfn.XLOOKUP(D1475, Products!A:A, Products!D:D)</f>
        <v>329</v>
      </c>
      <c r="P1475">
        <f>_xlfn.XLOOKUP(D1475, Products!A:A, Products!E:E)</f>
        <v>660</v>
      </c>
    </row>
    <row r="1476" spans="1:16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 t="shared" si="23"/>
        <v>Mumbai</v>
      </c>
      <c r="M1476" t="str">
        <f>_xlfn.XLOOKUP(D1476, Products!A:A, Products!C:C)</f>
        <v>Apparel</v>
      </c>
      <c r="N1476" t="str">
        <f>_xlfn.XLOOKUP(E302, Sales_Reps!A:A, Sales_Reps!C:C)</f>
        <v>South</v>
      </c>
      <c r="O1476">
        <f>_xlfn.XLOOKUP(D1476, Products!A:A, Products!D:D)</f>
        <v>2611</v>
      </c>
      <c r="P1476">
        <f>_xlfn.XLOOKUP(D1476, Products!A:A, Products!E:E)</f>
        <v>3640</v>
      </c>
    </row>
    <row r="1477" spans="1:16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 t="shared" si="23"/>
        <v>Chennai</v>
      </c>
      <c r="M1477" t="str">
        <f>_xlfn.XLOOKUP(D1477, Products!A:A, Products!C:C)</f>
        <v>Sports</v>
      </c>
      <c r="N1477" t="str">
        <f>_xlfn.XLOOKUP(E303, Sales_Reps!A:A, Sales_Reps!C:C)</f>
        <v>East</v>
      </c>
      <c r="O1477">
        <f>_xlfn.XLOOKUP(D1477, Products!A:A, Products!D:D)</f>
        <v>2265</v>
      </c>
      <c r="P1477">
        <f>_xlfn.XLOOKUP(D1477, Products!A:A, Products!E:E)</f>
        <v>5410</v>
      </c>
    </row>
    <row r="1478" spans="1:16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 t="shared" si="23"/>
        <v>Mumbai</v>
      </c>
      <c r="M1478" t="str">
        <f>_xlfn.XLOOKUP(D1478, Products!A:A, Products!C:C)</f>
        <v>Sports</v>
      </c>
      <c r="N1478" t="str">
        <f>_xlfn.XLOOKUP(E304, Sales_Reps!A:A, Sales_Reps!C:C)</f>
        <v>South</v>
      </c>
      <c r="O1478">
        <f>_xlfn.XLOOKUP(D1478, Products!A:A, Products!D:D)</f>
        <v>974</v>
      </c>
      <c r="P1478">
        <f>_xlfn.XLOOKUP(D1478, Products!A:A, Products!E:E)</f>
        <v>2400</v>
      </c>
    </row>
    <row r="1479" spans="1:16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 t="shared" si="23"/>
        <v>Chennai</v>
      </c>
      <c r="M1479" t="str">
        <f>_xlfn.XLOOKUP(D1479, Products!A:A, Products!C:C)</f>
        <v>Home</v>
      </c>
      <c r="N1479" t="str">
        <f>_xlfn.XLOOKUP(E305, Sales_Reps!A:A, Sales_Reps!C:C)</f>
        <v>South</v>
      </c>
      <c r="O1479">
        <f>_xlfn.XLOOKUP(D1479, Products!A:A, Products!D:D)</f>
        <v>2549</v>
      </c>
      <c r="P1479">
        <f>_xlfn.XLOOKUP(D1479, Products!A:A, Products!E:E)</f>
        <v>5490</v>
      </c>
    </row>
    <row r="1480" spans="1:16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 t="shared" si="23"/>
        <v>Pune</v>
      </c>
      <c r="M1480" t="str">
        <f>_xlfn.XLOOKUP(D1480, Products!A:A, Products!C:C)</f>
        <v>Beauty</v>
      </c>
      <c r="N1480" t="str">
        <f>_xlfn.XLOOKUP(E306, Sales_Reps!A:A, Sales_Reps!C:C)</f>
        <v>South</v>
      </c>
      <c r="O1480">
        <f>_xlfn.XLOOKUP(D1480, Products!A:A, Products!D:D)</f>
        <v>647</v>
      </c>
      <c r="P1480">
        <f>_xlfn.XLOOKUP(D1480, Products!A:A, Products!E:E)</f>
        <v>1540</v>
      </c>
    </row>
    <row r="1481" spans="1:16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 t="shared" si="23"/>
        <v>Hyderabad</v>
      </c>
      <c r="M1481" t="str">
        <f>_xlfn.XLOOKUP(D1481, Products!A:A, Products!C:C)</f>
        <v>Electronics</v>
      </c>
      <c r="N1481" t="str">
        <f>_xlfn.XLOOKUP(E307, Sales_Reps!A:A, Sales_Reps!C:C)</f>
        <v>North</v>
      </c>
      <c r="O1481">
        <f>_xlfn.XLOOKUP(D1481, Products!A:A, Products!D:D)</f>
        <v>2405</v>
      </c>
      <c r="P1481">
        <f>_xlfn.XLOOKUP(D1481, Products!A:A, Products!E:E)</f>
        <v>5330</v>
      </c>
    </row>
    <row r="1482" spans="1:16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 t="shared" si="23"/>
        <v>Hyderabad</v>
      </c>
      <c r="M1482" t="str">
        <f>_xlfn.XLOOKUP(D1482, Products!A:A, Products!C:C)</f>
        <v>Sports</v>
      </c>
      <c r="N1482" t="str">
        <f>_xlfn.XLOOKUP(E308, Sales_Reps!A:A, Sales_Reps!C:C)</f>
        <v>South</v>
      </c>
      <c r="O1482">
        <f>_xlfn.XLOOKUP(D1482, Products!A:A, Products!D:D)</f>
        <v>2028</v>
      </c>
      <c r="P1482">
        <f>_xlfn.XLOOKUP(D1482, Products!A:A, Products!E:E)</f>
        <v>2860</v>
      </c>
    </row>
    <row r="1483" spans="1:16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 t="shared" si="23"/>
        <v>Mumbai</v>
      </c>
      <c r="M1483" t="str">
        <f>_xlfn.XLOOKUP(D1483, Products!A:A, Products!C:C)</f>
        <v>Beauty</v>
      </c>
      <c r="N1483" t="str">
        <f>_xlfn.XLOOKUP(E309, Sales_Reps!A:A, Sales_Reps!C:C)</f>
        <v>South</v>
      </c>
      <c r="O1483">
        <f>_xlfn.XLOOKUP(D1483, Products!A:A, Products!D:D)</f>
        <v>2768</v>
      </c>
      <c r="P1483">
        <f>_xlfn.XLOOKUP(D1483, Products!A:A, Products!E:E)</f>
        <v>4880</v>
      </c>
    </row>
    <row r="1484" spans="1:16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 t="shared" si="23"/>
        <v>Delhi</v>
      </c>
      <c r="M1484" t="str">
        <f>_xlfn.XLOOKUP(D1484, Products!A:A, Products!C:C)</f>
        <v>Apparel</v>
      </c>
      <c r="N1484" t="str">
        <f>_xlfn.XLOOKUP(E310, Sales_Reps!A:A, Sales_Reps!C:C)</f>
        <v>West</v>
      </c>
      <c r="O1484">
        <f>_xlfn.XLOOKUP(D1484, Products!A:A, Products!D:D)</f>
        <v>1075</v>
      </c>
      <c r="P1484">
        <f>_xlfn.XLOOKUP(D1484, Products!A:A, Products!E:E)</f>
        <v>2510</v>
      </c>
    </row>
    <row r="1485" spans="1:16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 t="shared" si="23"/>
        <v>Pune</v>
      </c>
      <c r="M1485" t="str">
        <f>_xlfn.XLOOKUP(D1485, Products!A:A, Products!C:C)</f>
        <v>Electronics</v>
      </c>
      <c r="N1485" t="str">
        <f>_xlfn.XLOOKUP(E311, Sales_Reps!A:A, Sales_Reps!C:C)</f>
        <v>West</v>
      </c>
      <c r="O1485">
        <f>_xlfn.XLOOKUP(D1485, Products!A:A, Products!D:D)</f>
        <v>2865</v>
      </c>
      <c r="P1485">
        <f>_xlfn.XLOOKUP(D1485, Products!A:A, Products!E:E)</f>
        <v>3970</v>
      </c>
    </row>
    <row r="1486" spans="1:16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 t="shared" si="23"/>
        <v>Mumbai</v>
      </c>
      <c r="M1486" t="str">
        <f>_xlfn.XLOOKUP(D1486, Products!A:A, Products!C:C)</f>
        <v>Sports</v>
      </c>
      <c r="N1486" t="str">
        <f>_xlfn.XLOOKUP(E312, Sales_Reps!A:A, Sales_Reps!C:C)</f>
        <v>North</v>
      </c>
      <c r="O1486">
        <f>_xlfn.XLOOKUP(D1486, Products!A:A, Products!D:D)</f>
        <v>302</v>
      </c>
      <c r="P1486">
        <f>_xlfn.XLOOKUP(D1486, Products!A:A, Products!E:E)</f>
        <v>470</v>
      </c>
    </row>
    <row r="1487" spans="1:16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 t="shared" si="23"/>
        <v>Hyderabad</v>
      </c>
      <c r="M1487" t="str">
        <f>_xlfn.XLOOKUP(D1487, Products!A:A, Products!C:C)</f>
        <v>Electronics</v>
      </c>
      <c r="N1487" t="str">
        <f>_xlfn.XLOOKUP(E313, Sales_Reps!A:A, Sales_Reps!C:C)</f>
        <v>East</v>
      </c>
      <c r="O1487">
        <f>_xlfn.XLOOKUP(D1487, Products!A:A, Products!D:D)</f>
        <v>2405</v>
      </c>
      <c r="P1487">
        <f>_xlfn.XLOOKUP(D1487, Products!A:A, Products!E:E)</f>
        <v>5330</v>
      </c>
    </row>
    <row r="1488" spans="1:16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 t="shared" si="23"/>
        <v>Bengaluru</v>
      </c>
      <c r="M1488" t="str">
        <f>_xlfn.XLOOKUP(D1488, Products!A:A, Products!C:C)</f>
        <v>Home</v>
      </c>
      <c r="N1488" t="str">
        <f>_xlfn.XLOOKUP(E314, Sales_Reps!A:A, Sales_Reps!C:C)</f>
        <v>South</v>
      </c>
      <c r="O1488">
        <f>_xlfn.XLOOKUP(D1488, Products!A:A, Products!D:D)</f>
        <v>464</v>
      </c>
      <c r="P1488">
        <f>_xlfn.XLOOKUP(D1488, Products!A:A, Products!E:E)</f>
        <v>1090</v>
      </c>
    </row>
    <row r="1489" spans="1:16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 t="shared" si="23"/>
        <v>Pune</v>
      </c>
      <c r="M1489" t="str">
        <f>_xlfn.XLOOKUP(D1489, Products!A:A, Products!C:C)</f>
        <v>Sports</v>
      </c>
      <c r="N1489" t="str">
        <f>_xlfn.XLOOKUP(E315, Sales_Reps!A:A, Sales_Reps!C:C)</f>
        <v>South</v>
      </c>
      <c r="O1489">
        <f>_xlfn.XLOOKUP(D1489, Products!A:A, Products!D:D)</f>
        <v>516</v>
      </c>
      <c r="P1489">
        <f>_xlfn.XLOOKUP(D1489, Products!A:A, Products!E:E)</f>
        <v>1010</v>
      </c>
    </row>
    <row r="1490" spans="1:16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 t="shared" si="23"/>
        <v>Pune</v>
      </c>
      <c r="M1490" t="str">
        <f>_xlfn.XLOOKUP(D1490, Products!A:A, Products!C:C)</f>
        <v>Electronics</v>
      </c>
      <c r="N1490" t="str">
        <f>_xlfn.XLOOKUP(E316, Sales_Reps!A:A, Sales_Reps!C:C)</f>
        <v>South</v>
      </c>
      <c r="O1490">
        <f>_xlfn.XLOOKUP(D1490, Products!A:A, Products!D:D)</f>
        <v>1559</v>
      </c>
      <c r="P1490">
        <f>_xlfn.XLOOKUP(D1490, Products!A:A, Products!E:E)</f>
        <v>3870</v>
      </c>
    </row>
    <row r="1491" spans="1:16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 t="shared" si="23"/>
        <v>Hyderabad</v>
      </c>
      <c r="M1491" t="str">
        <f>_xlfn.XLOOKUP(D1491, Products!A:A, Products!C:C)</f>
        <v>Electronics</v>
      </c>
      <c r="N1491" t="str">
        <f>_xlfn.XLOOKUP(E317, Sales_Reps!A:A, Sales_Reps!C:C)</f>
        <v>East</v>
      </c>
      <c r="O1491">
        <f>_xlfn.XLOOKUP(D1491, Products!A:A, Products!D:D)</f>
        <v>1259</v>
      </c>
      <c r="P1491">
        <f>_xlfn.XLOOKUP(D1491, Products!A:A, Products!E:E)</f>
        <v>2660</v>
      </c>
    </row>
    <row r="1492" spans="1:16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 t="shared" si="23"/>
        <v>Mumbai</v>
      </c>
      <c r="M1492" t="str">
        <f>_xlfn.XLOOKUP(D1492, Products!A:A, Products!C:C)</f>
        <v>Electronics</v>
      </c>
      <c r="N1492" t="str">
        <f>_xlfn.XLOOKUP(E318, Sales_Reps!A:A, Sales_Reps!C:C)</f>
        <v>North</v>
      </c>
      <c r="O1492">
        <f>_xlfn.XLOOKUP(D1492, Products!A:A, Products!D:D)</f>
        <v>861</v>
      </c>
      <c r="P1492">
        <f>_xlfn.XLOOKUP(D1492, Products!A:A, Products!E:E)</f>
        <v>1430</v>
      </c>
    </row>
    <row r="1493" spans="1:16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 t="shared" si="23"/>
        <v>Bengaluru</v>
      </c>
      <c r="M1493" t="str">
        <f>_xlfn.XLOOKUP(D1493, Products!A:A, Products!C:C)</f>
        <v>Beauty</v>
      </c>
      <c r="N1493" t="str">
        <f>_xlfn.XLOOKUP(E319, Sales_Reps!A:A, Sales_Reps!C:C)</f>
        <v>South</v>
      </c>
      <c r="O1493">
        <f>_xlfn.XLOOKUP(D1493, Products!A:A, Products!D:D)</f>
        <v>2768</v>
      </c>
      <c r="P1493">
        <f>_xlfn.XLOOKUP(D1493, Products!A:A, Products!E:E)</f>
        <v>4880</v>
      </c>
    </row>
    <row r="1494" spans="1:16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 t="shared" si="23"/>
        <v>Bengaluru</v>
      </c>
      <c r="M1494" t="str">
        <f>_xlfn.XLOOKUP(D1494, Products!A:A, Products!C:C)</f>
        <v>Sports</v>
      </c>
      <c r="N1494" t="str">
        <f>_xlfn.XLOOKUP(E320, Sales_Reps!A:A, Sales_Reps!C:C)</f>
        <v>East</v>
      </c>
      <c r="O1494">
        <f>_xlfn.XLOOKUP(D1494, Products!A:A, Products!D:D)</f>
        <v>147</v>
      </c>
      <c r="P1494">
        <f>_xlfn.XLOOKUP(D1494, Products!A:A, Products!E:E)</f>
        <v>190</v>
      </c>
    </row>
    <row r="1495" spans="1:16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 t="shared" si="23"/>
        <v>Delhi</v>
      </c>
      <c r="M1495" t="str">
        <f>_xlfn.XLOOKUP(D1495, Products!A:A, Products!C:C)</f>
        <v>Beauty</v>
      </c>
      <c r="N1495" t="str">
        <f>_xlfn.XLOOKUP(E321, Sales_Reps!A:A, Sales_Reps!C:C)</f>
        <v>West</v>
      </c>
      <c r="O1495">
        <f>_xlfn.XLOOKUP(D1495, Products!A:A, Products!D:D)</f>
        <v>1626</v>
      </c>
      <c r="P1495">
        <f>_xlfn.XLOOKUP(D1495, Products!A:A, Products!E:E)</f>
        <v>3020</v>
      </c>
    </row>
    <row r="1496" spans="1:16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 t="shared" si="23"/>
        <v>Bengaluru</v>
      </c>
      <c r="M1496" t="str">
        <f>_xlfn.XLOOKUP(D1496, Products!A:A, Products!C:C)</f>
        <v>Beauty</v>
      </c>
      <c r="N1496" t="str">
        <f>_xlfn.XLOOKUP(E322, Sales_Reps!A:A, Sales_Reps!C:C)</f>
        <v>North</v>
      </c>
      <c r="O1496">
        <f>_xlfn.XLOOKUP(D1496, Products!A:A, Products!D:D)</f>
        <v>2768</v>
      </c>
      <c r="P1496">
        <f>_xlfn.XLOOKUP(D1496, Products!A:A, Products!E:E)</f>
        <v>4880</v>
      </c>
    </row>
    <row r="1497" spans="1:16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 t="shared" si="23"/>
        <v>Bengaluru</v>
      </c>
      <c r="M1497" t="str">
        <f>_xlfn.XLOOKUP(D1497, Products!A:A, Products!C:C)</f>
        <v>Sports</v>
      </c>
      <c r="N1497" t="str">
        <f>_xlfn.XLOOKUP(E323, Sales_Reps!A:A, Sales_Reps!C:C)</f>
        <v>North</v>
      </c>
      <c r="O1497">
        <f>_xlfn.XLOOKUP(D1497, Products!A:A, Products!D:D)</f>
        <v>974</v>
      </c>
      <c r="P1497">
        <f>_xlfn.XLOOKUP(D1497, Products!A:A, Products!E:E)</f>
        <v>2400</v>
      </c>
    </row>
    <row r="1498" spans="1:16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 t="shared" si="23"/>
        <v>Mumbai</v>
      </c>
      <c r="M1498" t="str">
        <f>_xlfn.XLOOKUP(D1498, Products!A:A, Products!C:C)</f>
        <v>Beauty</v>
      </c>
      <c r="N1498" t="str">
        <f>_xlfn.XLOOKUP(E324, Sales_Reps!A:A, Sales_Reps!C:C)</f>
        <v>South</v>
      </c>
      <c r="O1498">
        <f>_xlfn.XLOOKUP(D1498, Products!A:A, Products!D:D)</f>
        <v>2617</v>
      </c>
      <c r="P1498">
        <f>_xlfn.XLOOKUP(D1498, Products!A:A, Products!E:E)</f>
        <v>6080</v>
      </c>
    </row>
    <row r="1499" spans="1:16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 t="shared" si="23"/>
        <v>Chennai</v>
      </c>
      <c r="M1499" t="str">
        <f>_xlfn.XLOOKUP(D1499, Products!A:A, Products!C:C)</f>
        <v>Grocery</v>
      </c>
      <c r="N1499" t="str">
        <f>_xlfn.XLOOKUP(E325, Sales_Reps!A:A, Sales_Reps!C:C)</f>
        <v>North</v>
      </c>
      <c r="O1499">
        <f>_xlfn.XLOOKUP(D1499, Products!A:A, Products!D:D)</f>
        <v>1182</v>
      </c>
      <c r="P1499">
        <f>_xlfn.XLOOKUP(D1499, Products!A:A, Products!E:E)</f>
        <v>2380</v>
      </c>
    </row>
    <row r="1500" spans="1:16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 t="shared" si="23"/>
        <v>Chennai</v>
      </c>
      <c r="M1500" t="str">
        <f>_xlfn.XLOOKUP(D1500, Products!A:A, Products!C:C)</f>
        <v>Beauty</v>
      </c>
      <c r="N1500" t="str">
        <f>_xlfn.XLOOKUP(E326, Sales_Reps!A:A, Sales_Reps!C:C)</f>
        <v>West</v>
      </c>
      <c r="O1500">
        <f>_xlfn.XLOOKUP(D1500, Products!A:A, Products!D:D)</f>
        <v>647</v>
      </c>
      <c r="P1500">
        <f>_xlfn.XLOOKUP(D1500, Products!A:A, Products!E:E)</f>
        <v>1540</v>
      </c>
    </row>
    <row r="1501" spans="1:16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 t="shared" si="23"/>
        <v>Chennai</v>
      </c>
      <c r="M1501" t="str">
        <f>_xlfn.XLOOKUP(D1501, Products!A:A, Products!C:C)</f>
        <v>Electronics</v>
      </c>
      <c r="N1501" t="str">
        <f>_xlfn.XLOOKUP(E327, Sales_Reps!A:A, Sales_Reps!C:C)</f>
        <v>West</v>
      </c>
      <c r="O1501">
        <f>_xlfn.XLOOKUP(D1501, Products!A:A, Products!D:D)</f>
        <v>1559</v>
      </c>
      <c r="P1501">
        <f>_xlfn.XLOOKUP(D1501, Products!A:A, Products!E:E)</f>
        <v>3870</v>
      </c>
    </row>
    <row r="1502" spans="1:16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 t="shared" si="23"/>
        <v>Pune</v>
      </c>
      <c r="M1502" t="str">
        <f>_xlfn.XLOOKUP(D1502, Products!A:A, Products!C:C)</f>
        <v>Home</v>
      </c>
      <c r="N1502" t="str">
        <f>_xlfn.XLOOKUP(E328, Sales_Reps!A:A, Sales_Reps!C:C)</f>
        <v>North</v>
      </c>
      <c r="O1502">
        <f>_xlfn.XLOOKUP(D1502, Products!A:A, Products!D:D)</f>
        <v>288</v>
      </c>
      <c r="P1502">
        <f>_xlfn.XLOOKUP(D1502, Products!A:A, Products!E:E)</f>
        <v>370</v>
      </c>
    </row>
    <row r="1503" spans="1:16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 t="shared" si="23"/>
        <v>Mumbai</v>
      </c>
      <c r="M1503" t="str">
        <f>_xlfn.XLOOKUP(D1503, Products!A:A, Products!C:C)</f>
        <v>Sports</v>
      </c>
      <c r="N1503" t="str">
        <f>_xlfn.XLOOKUP(E329, Sales_Reps!A:A, Sales_Reps!C:C)</f>
        <v>East</v>
      </c>
      <c r="O1503">
        <f>_xlfn.XLOOKUP(D1503, Products!A:A, Products!D:D)</f>
        <v>147</v>
      </c>
      <c r="P1503">
        <f>_xlfn.XLOOKUP(D1503, Products!A:A, Products!E:E)</f>
        <v>190</v>
      </c>
    </row>
    <row r="1504" spans="1:16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 t="shared" si="23"/>
        <v>Chennai</v>
      </c>
      <c r="M1504" t="str">
        <f>_xlfn.XLOOKUP(D1504, Products!A:A, Products!C:C)</f>
        <v>Electronics</v>
      </c>
      <c r="N1504" t="str">
        <f>_xlfn.XLOOKUP(E330, Sales_Reps!A:A, Sales_Reps!C:C)</f>
        <v>West</v>
      </c>
      <c r="O1504">
        <f>_xlfn.XLOOKUP(D1504, Products!A:A, Products!D:D)</f>
        <v>861</v>
      </c>
      <c r="P1504">
        <f>_xlfn.XLOOKUP(D1504, Products!A:A, Products!E:E)</f>
        <v>1430</v>
      </c>
    </row>
    <row r="1505" spans="1:16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 t="shared" si="23"/>
        <v>Chennai</v>
      </c>
      <c r="M1505" t="str">
        <f>_xlfn.XLOOKUP(D1505, Products!A:A, Products!C:C)</f>
        <v>Sports</v>
      </c>
      <c r="N1505" t="str">
        <f>_xlfn.XLOOKUP(E331, Sales_Reps!A:A, Sales_Reps!C:C)</f>
        <v>West</v>
      </c>
      <c r="O1505">
        <f>_xlfn.XLOOKUP(D1505, Products!A:A, Products!D:D)</f>
        <v>302</v>
      </c>
      <c r="P1505">
        <f>_xlfn.XLOOKUP(D1505, Products!A:A, Products!E:E)</f>
        <v>470</v>
      </c>
    </row>
    <row r="1506" spans="1:16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 t="shared" si="23"/>
        <v>Pune</v>
      </c>
      <c r="M1506" t="str">
        <f>_xlfn.XLOOKUP(D1506, Products!A:A, Products!C:C)</f>
        <v>Apparel</v>
      </c>
      <c r="N1506" t="str">
        <f>_xlfn.XLOOKUP(E332, Sales_Reps!A:A, Sales_Reps!C:C)</f>
        <v>West</v>
      </c>
      <c r="O1506">
        <f>_xlfn.XLOOKUP(D1506, Products!A:A, Products!D:D)</f>
        <v>2629</v>
      </c>
      <c r="P1506">
        <f>_xlfn.XLOOKUP(D1506, Products!A:A, Products!E:E)</f>
        <v>3560</v>
      </c>
    </row>
    <row r="1507" spans="1:16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 t="shared" si="23"/>
        <v>Delhi</v>
      </c>
      <c r="M1507" t="str">
        <f>_xlfn.XLOOKUP(D1507, Products!A:A, Products!C:C)</f>
        <v>Beauty</v>
      </c>
      <c r="N1507" t="str">
        <f>_xlfn.XLOOKUP(E333, Sales_Reps!A:A, Sales_Reps!C:C)</f>
        <v>North</v>
      </c>
      <c r="O1507">
        <f>_xlfn.XLOOKUP(D1507, Products!A:A, Products!D:D)</f>
        <v>2768</v>
      </c>
      <c r="P1507">
        <f>_xlfn.XLOOKUP(D1507, Products!A:A, Products!E:E)</f>
        <v>4880</v>
      </c>
    </row>
    <row r="1508" spans="1:16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 t="shared" si="23"/>
        <v>Chennai</v>
      </c>
      <c r="M1508" t="str">
        <f>_xlfn.XLOOKUP(D1508, Products!A:A, Products!C:C)</f>
        <v>Electronics</v>
      </c>
      <c r="N1508" t="str">
        <f>_xlfn.XLOOKUP(E334, Sales_Reps!A:A, Sales_Reps!C:C)</f>
        <v>North</v>
      </c>
      <c r="O1508">
        <f>_xlfn.XLOOKUP(D1508, Products!A:A, Products!D:D)</f>
        <v>1665</v>
      </c>
      <c r="P1508">
        <f>_xlfn.XLOOKUP(D1508, Products!A:A, Products!E:E)</f>
        <v>3570</v>
      </c>
    </row>
    <row r="1509" spans="1:16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 t="shared" si="23"/>
        <v>Chennai</v>
      </c>
      <c r="M1509" t="str">
        <f>_xlfn.XLOOKUP(D1509, Products!A:A, Products!C:C)</f>
        <v>Sports</v>
      </c>
      <c r="N1509" t="str">
        <f>_xlfn.XLOOKUP(E335, Sales_Reps!A:A, Sales_Reps!C:C)</f>
        <v>North</v>
      </c>
      <c r="O1509">
        <f>_xlfn.XLOOKUP(D1509, Products!A:A, Products!D:D)</f>
        <v>2467</v>
      </c>
      <c r="P1509">
        <f>_xlfn.XLOOKUP(D1509, Products!A:A, Products!E:E)</f>
        <v>3450</v>
      </c>
    </row>
    <row r="1510" spans="1:16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 t="shared" si="23"/>
        <v>Chennai</v>
      </c>
      <c r="M1510" t="str">
        <f>_xlfn.XLOOKUP(D1510, Products!A:A, Products!C:C)</f>
        <v>Home</v>
      </c>
      <c r="N1510" t="str">
        <f>_xlfn.XLOOKUP(E336, Sales_Reps!A:A, Sales_Reps!C:C)</f>
        <v>East</v>
      </c>
      <c r="O1510">
        <f>_xlfn.XLOOKUP(D1510, Products!A:A, Products!D:D)</f>
        <v>519</v>
      </c>
      <c r="P1510">
        <f>_xlfn.XLOOKUP(D1510, Products!A:A, Products!E:E)</f>
        <v>1080</v>
      </c>
    </row>
    <row r="1511" spans="1:16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 t="shared" si="23"/>
        <v>Pune</v>
      </c>
      <c r="M1511" t="str">
        <f>_xlfn.XLOOKUP(D1511, Products!A:A, Products!C:C)</f>
        <v>Beauty</v>
      </c>
      <c r="N1511" t="str">
        <f>_xlfn.XLOOKUP(E337, Sales_Reps!A:A, Sales_Reps!C:C)</f>
        <v>West</v>
      </c>
      <c r="O1511">
        <f>_xlfn.XLOOKUP(D1511, Products!A:A, Products!D:D)</f>
        <v>647</v>
      </c>
      <c r="P1511">
        <f>_xlfn.XLOOKUP(D1511, Products!A:A, Products!E:E)</f>
        <v>1540</v>
      </c>
    </row>
    <row r="1512" spans="1:16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 t="shared" si="23"/>
        <v>Mumbai</v>
      </c>
      <c r="M1512" t="str">
        <f>_xlfn.XLOOKUP(D1512, Products!A:A, Products!C:C)</f>
        <v>Apparel</v>
      </c>
      <c r="N1512" t="str">
        <f>_xlfn.XLOOKUP(E338, Sales_Reps!A:A, Sales_Reps!C:C)</f>
        <v>East</v>
      </c>
      <c r="O1512">
        <f>_xlfn.XLOOKUP(D1512, Products!A:A, Products!D:D)</f>
        <v>1962</v>
      </c>
      <c r="P1512">
        <f>_xlfn.XLOOKUP(D1512, Products!A:A, Products!E:E)</f>
        <v>2720</v>
      </c>
    </row>
    <row r="1513" spans="1:16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 t="shared" si="23"/>
        <v>Hyderabad</v>
      </c>
      <c r="M1513" t="str">
        <f>_xlfn.XLOOKUP(D1513, Products!A:A, Products!C:C)</f>
        <v>Home</v>
      </c>
      <c r="N1513" t="str">
        <f>_xlfn.XLOOKUP(E339, Sales_Reps!A:A, Sales_Reps!C:C)</f>
        <v>North</v>
      </c>
      <c r="O1513">
        <f>_xlfn.XLOOKUP(D1513, Products!A:A, Products!D:D)</f>
        <v>2459</v>
      </c>
      <c r="P1513">
        <f>_xlfn.XLOOKUP(D1513, Products!A:A, Products!E:E)</f>
        <v>5080</v>
      </c>
    </row>
    <row r="1514" spans="1:16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 t="shared" si="23"/>
        <v>Chennai</v>
      </c>
      <c r="M1514" t="str">
        <f>_xlfn.XLOOKUP(D1514, Products!A:A, Products!C:C)</f>
        <v>Apparel</v>
      </c>
      <c r="N1514" t="str">
        <f>_xlfn.XLOOKUP(E340, Sales_Reps!A:A, Sales_Reps!C:C)</f>
        <v>North</v>
      </c>
      <c r="O1514">
        <f>_xlfn.XLOOKUP(D1514, Products!A:A, Products!D:D)</f>
        <v>396</v>
      </c>
      <c r="P1514">
        <f>_xlfn.XLOOKUP(D1514, Products!A:A, Products!E:E)</f>
        <v>620</v>
      </c>
    </row>
    <row r="1515" spans="1:16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 t="shared" si="23"/>
        <v>Pune</v>
      </c>
      <c r="M1515" t="str">
        <f>_xlfn.XLOOKUP(D1515, Products!A:A, Products!C:C)</f>
        <v>Apparel</v>
      </c>
      <c r="N1515" t="str">
        <f>_xlfn.XLOOKUP(E341, Sales_Reps!A:A, Sales_Reps!C:C)</f>
        <v>West</v>
      </c>
      <c r="O1515">
        <f>_xlfn.XLOOKUP(D1515, Products!A:A, Products!D:D)</f>
        <v>1173</v>
      </c>
      <c r="P1515">
        <f>_xlfn.XLOOKUP(D1515, Products!A:A, Products!E:E)</f>
        <v>2480</v>
      </c>
    </row>
    <row r="1516" spans="1:16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 t="shared" si="23"/>
        <v>Mumbai</v>
      </c>
      <c r="M1516" t="str">
        <f>_xlfn.XLOOKUP(D1516, Products!A:A, Products!C:C)</f>
        <v>Sports</v>
      </c>
      <c r="N1516" t="str">
        <f>_xlfn.XLOOKUP(E342, Sales_Reps!A:A, Sales_Reps!C:C)</f>
        <v>West</v>
      </c>
      <c r="O1516">
        <f>_xlfn.XLOOKUP(D1516, Products!A:A, Products!D:D)</f>
        <v>516</v>
      </c>
      <c r="P1516">
        <f>_xlfn.XLOOKUP(D1516, Products!A:A, Products!E:E)</f>
        <v>1010</v>
      </c>
    </row>
    <row r="1517" spans="1:16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 t="shared" si="23"/>
        <v>Pune</v>
      </c>
      <c r="M1517" t="str">
        <f>_xlfn.XLOOKUP(D1517, Products!A:A, Products!C:C)</f>
        <v>Home</v>
      </c>
      <c r="N1517" t="str">
        <f>_xlfn.XLOOKUP(E343, Sales_Reps!A:A, Sales_Reps!C:C)</f>
        <v>South</v>
      </c>
      <c r="O1517">
        <f>_xlfn.XLOOKUP(D1517, Products!A:A, Products!D:D)</f>
        <v>519</v>
      </c>
      <c r="P1517">
        <f>_xlfn.XLOOKUP(D1517, Products!A:A, Products!E:E)</f>
        <v>1080</v>
      </c>
    </row>
    <row r="1518" spans="1:16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 t="shared" si="23"/>
        <v>Delhi</v>
      </c>
      <c r="M1518" t="str">
        <f>_xlfn.XLOOKUP(D1518, Products!A:A, Products!C:C)</f>
        <v>Sports</v>
      </c>
      <c r="N1518" t="str">
        <f>_xlfn.XLOOKUP(E344, Sales_Reps!A:A, Sales_Reps!C:C)</f>
        <v>South</v>
      </c>
      <c r="O1518">
        <f>_xlfn.XLOOKUP(D1518, Products!A:A, Products!D:D)</f>
        <v>302</v>
      </c>
      <c r="P1518">
        <f>_xlfn.XLOOKUP(D1518, Products!A:A, Products!E:E)</f>
        <v>470</v>
      </c>
    </row>
    <row r="1519" spans="1:16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 t="shared" si="23"/>
        <v>Pune</v>
      </c>
      <c r="M1519" t="str">
        <f>_xlfn.XLOOKUP(D1519, Products!A:A, Products!C:C)</f>
        <v>Electronics</v>
      </c>
      <c r="N1519" t="str">
        <f>_xlfn.XLOOKUP(E345, Sales_Reps!A:A, Sales_Reps!C:C)</f>
        <v>South</v>
      </c>
      <c r="O1519">
        <f>_xlfn.XLOOKUP(D1519, Products!A:A, Products!D:D)</f>
        <v>2865</v>
      </c>
      <c r="P1519">
        <f>_xlfn.XLOOKUP(D1519, Products!A:A, Products!E:E)</f>
        <v>3970</v>
      </c>
    </row>
    <row r="1520" spans="1:16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 t="shared" si="23"/>
        <v>Mumbai</v>
      </c>
      <c r="M1520" t="str">
        <f>_xlfn.XLOOKUP(D1520, Products!A:A, Products!C:C)</f>
        <v>Beauty</v>
      </c>
      <c r="N1520" t="str">
        <f>_xlfn.XLOOKUP(E346, Sales_Reps!A:A, Sales_Reps!C:C)</f>
        <v>South</v>
      </c>
      <c r="O1520">
        <f>_xlfn.XLOOKUP(D1520, Products!A:A, Products!D:D)</f>
        <v>1222</v>
      </c>
      <c r="P1520">
        <f>_xlfn.XLOOKUP(D1520, Products!A:A, Products!E:E)</f>
        <v>1650</v>
      </c>
    </row>
    <row r="1521" spans="1:16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 t="shared" si="23"/>
        <v>Hyderabad</v>
      </c>
      <c r="M1521" t="str">
        <f>_xlfn.XLOOKUP(D1521, Products!A:A, Products!C:C)</f>
        <v>Beauty</v>
      </c>
      <c r="N1521" t="str">
        <f>_xlfn.XLOOKUP(E347, Sales_Reps!A:A, Sales_Reps!C:C)</f>
        <v>North</v>
      </c>
      <c r="O1521">
        <f>_xlfn.XLOOKUP(D1521, Products!A:A, Products!D:D)</f>
        <v>1728</v>
      </c>
      <c r="P1521">
        <f>_xlfn.XLOOKUP(D1521, Products!A:A, Products!E:E)</f>
        <v>3350</v>
      </c>
    </row>
    <row r="1522" spans="1:16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 t="shared" si="23"/>
        <v>Delhi</v>
      </c>
      <c r="M1522" t="str">
        <f>_xlfn.XLOOKUP(D1522, Products!A:A, Products!C:C)</f>
        <v>Electronics</v>
      </c>
      <c r="N1522" t="str">
        <f>_xlfn.XLOOKUP(E348, Sales_Reps!A:A, Sales_Reps!C:C)</f>
        <v>South</v>
      </c>
      <c r="O1522">
        <f>_xlfn.XLOOKUP(D1522, Products!A:A, Products!D:D)</f>
        <v>2865</v>
      </c>
      <c r="P1522">
        <f>_xlfn.XLOOKUP(D1522, Products!A:A, Products!E:E)</f>
        <v>3970</v>
      </c>
    </row>
    <row r="1523" spans="1:16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 t="shared" si="23"/>
        <v>Pune</v>
      </c>
      <c r="M1523" t="str">
        <f>_xlfn.XLOOKUP(D1523, Products!A:A, Products!C:C)</f>
        <v>Grocery</v>
      </c>
      <c r="N1523" t="str">
        <f>_xlfn.XLOOKUP(E349, Sales_Reps!A:A, Sales_Reps!C:C)</f>
        <v>West</v>
      </c>
      <c r="O1523">
        <f>_xlfn.XLOOKUP(D1523, Products!A:A, Products!D:D)</f>
        <v>2436</v>
      </c>
      <c r="P1523">
        <f>_xlfn.XLOOKUP(D1523, Products!A:A, Products!E:E)</f>
        <v>3780</v>
      </c>
    </row>
    <row r="1524" spans="1:16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 t="shared" si="23"/>
        <v>Delhi</v>
      </c>
      <c r="M1524" t="str">
        <f>_xlfn.XLOOKUP(D1524, Products!A:A, Products!C:C)</f>
        <v>Apparel</v>
      </c>
      <c r="N1524" t="str">
        <f>_xlfn.XLOOKUP(E350, Sales_Reps!A:A, Sales_Reps!C:C)</f>
        <v>West</v>
      </c>
      <c r="O1524">
        <f>_xlfn.XLOOKUP(D1524, Products!A:A, Products!D:D)</f>
        <v>391</v>
      </c>
      <c r="P1524">
        <f>_xlfn.XLOOKUP(D1524, Products!A:A, Products!E:E)</f>
        <v>820</v>
      </c>
    </row>
    <row r="1525" spans="1:16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 t="shared" si="23"/>
        <v>Mumbai</v>
      </c>
      <c r="M1525" t="str">
        <f>_xlfn.XLOOKUP(D1525, Products!A:A, Products!C:C)</f>
        <v>Beauty</v>
      </c>
      <c r="N1525" t="str">
        <f>_xlfn.XLOOKUP(E351, Sales_Reps!A:A, Sales_Reps!C:C)</f>
        <v>West</v>
      </c>
      <c r="O1525">
        <f>_xlfn.XLOOKUP(D1525, Products!A:A, Products!D:D)</f>
        <v>1222</v>
      </c>
      <c r="P1525">
        <f>_xlfn.XLOOKUP(D1525, Products!A:A, Products!E:E)</f>
        <v>1650</v>
      </c>
    </row>
    <row r="1526" spans="1:16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 t="shared" si="23"/>
        <v>Pune</v>
      </c>
      <c r="M1526" t="str">
        <f>_xlfn.XLOOKUP(D1526, Products!A:A, Products!C:C)</f>
        <v>Grocery</v>
      </c>
      <c r="N1526" t="str">
        <f>_xlfn.XLOOKUP(E352, Sales_Reps!A:A, Sales_Reps!C:C)</f>
        <v>East</v>
      </c>
      <c r="O1526">
        <f>_xlfn.XLOOKUP(D1526, Products!A:A, Products!D:D)</f>
        <v>2436</v>
      </c>
      <c r="P1526">
        <f>_xlfn.XLOOKUP(D1526, Products!A:A, Products!E:E)</f>
        <v>3780</v>
      </c>
    </row>
    <row r="1527" spans="1:16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 t="shared" si="23"/>
        <v>Mumbai</v>
      </c>
      <c r="M1527" t="str">
        <f>_xlfn.XLOOKUP(D1527, Products!A:A, Products!C:C)</f>
        <v>Grocery</v>
      </c>
      <c r="N1527" t="str">
        <f>_xlfn.XLOOKUP(E353, Sales_Reps!A:A, Sales_Reps!C:C)</f>
        <v>East</v>
      </c>
      <c r="O1527">
        <f>_xlfn.XLOOKUP(D1527, Products!A:A, Products!D:D)</f>
        <v>1010</v>
      </c>
      <c r="P1527">
        <f>_xlfn.XLOOKUP(D1527, Products!A:A, Products!E:E)</f>
        <v>2210</v>
      </c>
    </row>
    <row r="1528" spans="1:16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 t="shared" si="23"/>
        <v>Hyderabad</v>
      </c>
      <c r="M1528" t="str">
        <f>_xlfn.XLOOKUP(D1528, Products!A:A, Products!C:C)</f>
        <v>Sports</v>
      </c>
      <c r="N1528" t="str">
        <f>_xlfn.XLOOKUP(E354, Sales_Reps!A:A, Sales_Reps!C:C)</f>
        <v>West</v>
      </c>
      <c r="O1528">
        <f>_xlfn.XLOOKUP(D1528, Products!A:A, Products!D:D)</f>
        <v>2827</v>
      </c>
      <c r="P1528">
        <f>_xlfn.XLOOKUP(D1528, Products!A:A, Products!E:E)</f>
        <v>6940</v>
      </c>
    </row>
    <row r="1529" spans="1:16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 t="shared" si="23"/>
        <v>Chennai</v>
      </c>
      <c r="M1529" t="str">
        <f>_xlfn.XLOOKUP(D1529, Products!A:A, Products!C:C)</f>
        <v>Beauty</v>
      </c>
      <c r="N1529" t="str">
        <f>_xlfn.XLOOKUP(E355, Sales_Reps!A:A, Sales_Reps!C:C)</f>
        <v>West</v>
      </c>
      <c r="O1529">
        <f>_xlfn.XLOOKUP(D1529, Products!A:A, Products!D:D)</f>
        <v>1219</v>
      </c>
      <c r="P1529">
        <f>_xlfn.XLOOKUP(D1529, Products!A:A, Products!E:E)</f>
        <v>2290</v>
      </c>
    </row>
    <row r="1530" spans="1:16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 t="shared" si="23"/>
        <v>Chennai</v>
      </c>
      <c r="M1530" t="str">
        <f>_xlfn.XLOOKUP(D1530, Products!A:A, Products!C:C)</f>
        <v>Home</v>
      </c>
      <c r="N1530" t="str">
        <f>_xlfn.XLOOKUP(E356, Sales_Reps!A:A, Sales_Reps!C:C)</f>
        <v>East</v>
      </c>
      <c r="O1530">
        <f>_xlfn.XLOOKUP(D1530, Products!A:A, Products!D:D)</f>
        <v>1143</v>
      </c>
      <c r="P1530">
        <f>_xlfn.XLOOKUP(D1530, Products!A:A, Products!E:E)</f>
        <v>2030</v>
      </c>
    </row>
    <row r="1531" spans="1:16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 t="shared" si="23"/>
        <v>Pune</v>
      </c>
      <c r="M1531" t="str">
        <f>_xlfn.XLOOKUP(D1531, Products!A:A, Products!C:C)</f>
        <v>Electronics</v>
      </c>
      <c r="N1531" t="str">
        <f>_xlfn.XLOOKUP(E357, Sales_Reps!A:A, Sales_Reps!C:C)</f>
        <v>South</v>
      </c>
      <c r="O1531">
        <f>_xlfn.XLOOKUP(D1531, Products!A:A, Products!D:D)</f>
        <v>2865</v>
      </c>
      <c r="P1531">
        <f>_xlfn.XLOOKUP(D1531, Products!A:A, Products!E:E)</f>
        <v>3970</v>
      </c>
    </row>
    <row r="1532" spans="1:16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 t="shared" si="23"/>
        <v>Mumbai</v>
      </c>
      <c r="M1532" t="str">
        <f>_xlfn.XLOOKUP(D1532, Products!A:A, Products!C:C)</f>
        <v>Apparel</v>
      </c>
      <c r="N1532" t="str">
        <f>_xlfn.XLOOKUP(E358, Sales_Reps!A:A, Sales_Reps!C:C)</f>
        <v>South</v>
      </c>
      <c r="O1532">
        <f>_xlfn.XLOOKUP(D1532, Products!A:A, Products!D:D)</f>
        <v>391</v>
      </c>
      <c r="P1532">
        <f>_xlfn.XLOOKUP(D1532, Products!A:A, Products!E:E)</f>
        <v>820</v>
      </c>
    </row>
    <row r="1533" spans="1:16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 t="shared" si="23"/>
        <v>Delhi</v>
      </c>
      <c r="M1533" t="str">
        <f>_xlfn.XLOOKUP(D1533, Products!A:A, Products!C:C)</f>
        <v>Electronics</v>
      </c>
      <c r="N1533" t="str">
        <f>_xlfn.XLOOKUP(E359, Sales_Reps!A:A, Sales_Reps!C:C)</f>
        <v>West</v>
      </c>
      <c r="O1533">
        <f>_xlfn.XLOOKUP(D1533, Products!A:A, Products!D:D)</f>
        <v>1559</v>
      </c>
      <c r="P1533">
        <f>_xlfn.XLOOKUP(D1533, Products!A:A, Products!E:E)</f>
        <v>3870</v>
      </c>
    </row>
    <row r="1534" spans="1:16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 t="shared" si="23"/>
        <v>Mumbai</v>
      </c>
      <c r="M1534" t="str">
        <f>_xlfn.XLOOKUP(D1534, Products!A:A, Products!C:C)</f>
        <v>Grocery</v>
      </c>
      <c r="N1534" t="str">
        <f>_xlfn.XLOOKUP(E360, Sales_Reps!A:A, Sales_Reps!C:C)</f>
        <v>South</v>
      </c>
      <c r="O1534">
        <f>_xlfn.XLOOKUP(D1534, Products!A:A, Products!D:D)</f>
        <v>434</v>
      </c>
      <c r="P1534">
        <f>_xlfn.XLOOKUP(D1534, Products!A:A, Products!E:E)</f>
        <v>970</v>
      </c>
    </row>
    <row r="1535" spans="1:16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 t="shared" si="23"/>
        <v>Hyderabad</v>
      </c>
      <c r="M1535" t="str">
        <f>_xlfn.XLOOKUP(D1535, Products!A:A, Products!C:C)</f>
        <v>Beauty</v>
      </c>
      <c r="N1535" t="str">
        <f>_xlfn.XLOOKUP(E361, Sales_Reps!A:A, Sales_Reps!C:C)</f>
        <v>East</v>
      </c>
      <c r="O1535">
        <f>_xlfn.XLOOKUP(D1535, Products!A:A, Products!D:D)</f>
        <v>2768</v>
      </c>
      <c r="P1535">
        <f>_xlfn.XLOOKUP(D1535, Products!A:A, Products!E:E)</f>
        <v>4880</v>
      </c>
    </row>
    <row r="1536" spans="1:16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 t="shared" si="23"/>
        <v>Bengaluru</v>
      </c>
      <c r="M1536" t="str">
        <f>_xlfn.XLOOKUP(D1536, Products!A:A, Products!C:C)</f>
        <v>Grocery</v>
      </c>
      <c r="N1536" t="str">
        <f>_xlfn.XLOOKUP(E362, Sales_Reps!A:A, Sales_Reps!C:C)</f>
        <v>South</v>
      </c>
      <c r="O1536">
        <f>_xlfn.XLOOKUP(D1536, Products!A:A, Products!D:D)</f>
        <v>1412</v>
      </c>
      <c r="P1536">
        <f>_xlfn.XLOOKUP(D1536, Products!A:A, Products!E:E)</f>
        <v>2270</v>
      </c>
    </row>
    <row r="1537" spans="1:16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 t="shared" si="23"/>
        <v>Bengaluru</v>
      </c>
      <c r="M1537" t="str">
        <f>_xlfn.XLOOKUP(D1537, Products!A:A, Products!C:C)</f>
        <v>Beauty</v>
      </c>
      <c r="N1537" t="str">
        <f>_xlfn.XLOOKUP(E363, Sales_Reps!A:A, Sales_Reps!C:C)</f>
        <v>West</v>
      </c>
      <c r="O1537">
        <f>_xlfn.XLOOKUP(D1537, Products!A:A, Products!D:D)</f>
        <v>2420</v>
      </c>
      <c r="P1537">
        <f>_xlfn.XLOOKUP(D1537, Products!A:A, Products!E:E)</f>
        <v>3450</v>
      </c>
    </row>
    <row r="1538" spans="1:16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 t="shared" si="23"/>
        <v>Hyderabad</v>
      </c>
      <c r="M1538" t="str">
        <f>_xlfn.XLOOKUP(D1538, Products!A:A, Products!C:C)</f>
        <v>Grocery</v>
      </c>
      <c r="N1538" t="str">
        <f>_xlfn.XLOOKUP(E364, Sales_Reps!A:A, Sales_Reps!C:C)</f>
        <v>North</v>
      </c>
      <c r="O1538">
        <f>_xlfn.XLOOKUP(D1538, Products!A:A, Products!D:D)</f>
        <v>1412</v>
      </c>
      <c r="P1538">
        <f>_xlfn.XLOOKUP(D1538, Products!A:A, Products!E:E)</f>
        <v>2270</v>
      </c>
    </row>
    <row r="1539" spans="1:16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 t="shared" ref="L1539:L1602" si="24">PROPER(TRIM(K1539))</f>
        <v>Bengaluru</v>
      </c>
      <c r="M1539" t="str">
        <f>_xlfn.XLOOKUP(D1539, Products!A:A, Products!C:C)</f>
        <v>Grocery</v>
      </c>
      <c r="N1539" t="str">
        <f>_xlfn.XLOOKUP(E365, Sales_Reps!A:A, Sales_Reps!C:C)</f>
        <v>South</v>
      </c>
      <c r="O1539">
        <f>_xlfn.XLOOKUP(D1539, Products!A:A, Products!D:D)</f>
        <v>1010</v>
      </c>
      <c r="P1539">
        <f>_xlfn.XLOOKUP(D1539, Products!A:A, Products!E:E)</f>
        <v>2210</v>
      </c>
    </row>
    <row r="1540" spans="1:16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 t="shared" si="24"/>
        <v>Delhi</v>
      </c>
      <c r="M1540" t="str">
        <f>_xlfn.XLOOKUP(D1540, Products!A:A, Products!C:C)</f>
        <v>Home</v>
      </c>
      <c r="N1540" t="str">
        <f>_xlfn.XLOOKUP(E366, Sales_Reps!A:A, Sales_Reps!C:C)</f>
        <v>East</v>
      </c>
      <c r="O1540">
        <f>_xlfn.XLOOKUP(D1540, Products!A:A, Products!D:D)</f>
        <v>1143</v>
      </c>
      <c r="P1540">
        <f>_xlfn.XLOOKUP(D1540, Products!A:A, Products!E:E)</f>
        <v>2030</v>
      </c>
    </row>
    <row r="1541" spans="1:16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 t="shared" si="24"/>
        <v>Hyderabad</v>
      </c>
      <c r="M1541" t="str">
        <f>_xlfn.XLOOKUP(D1541, Products!A:A, Products!C:C)</f>
        <v>Beauty</v>
      </c>
      <c r="N1541" t="str">
        <f>_xlfn.XLOOKUP(E367, Sales_Reps!A:A, Sales_Reps!C:C)</f>
        <v>South</v>
      </c>
      <c r="O1541">
        <f>_xlfn.XLOOKUP(D1541, Products!A:A, Products!D:D)</f>
        <v>1728</v>
      </c>
      <c r="P1541">
        <f>_xlfn.XLOOKUP(D1541, Products!A:A, Products!E:E)</f>
        <v>3350</v>
      </c>
    </row>
    <row r="1542" spans="1:16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 t="shared" si="24"/>
        <v>Chennai</v>
      </c>
      <c r="M1542" t="str">
        <f>_xlfn.XLOOKUP(D1542, Products!A:A, Products!C:C)</f>
        <v>Apparel</v>
      </c>
      <c r="N1542" t="str">
        <f>_xlfn.XLOOKUP(E368, Sales_Reps!A:A, Sales_Reps!C:C)</f>
        <v>East</v>
      </c>
      <c r="O1542">
        <f>_xlfn.XLOOKUP(D1542, Products!A:A, Products!D:D)</f>
        <v>2611</v>
      </c>
      <c r="P1542">
        <f>_xlfn.XLOOKUP(D1542, Products!A:A, Products!E:E)</f>
        <v>3640</v>
      </c>
    </row>
    <row r="1543" spans="1:16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 t="shared" si="24"/>
        <v>Mumbai</v>
      </c>
      <c r="M1543" t="str">
        <f>_xlfn.XLOOKUP(D1543, Products!A:A, Products!C:C)</f>
        <v>Sports</v>
      </c>
      <c r="N1543" t="str">
        <f>_xlfn.XLOOKUP(E369, Sales_Reps!A:A, Sales_Reps!C:C)</f>
        <v>West</v>
      </c>
      <c r="O1543">
        <f>_xlfn.XLOOKUP(D1543, Products!A:A, Products!D:D)</f>
        <v>2467</v>
      </c>
      <c r="P1543">
        <f>_xlfn.XLOOKUP(D1543, Products!A:A, Products!E:E)</f>
        <v>3450</v>
      </c>
    </row>
    <row r="1544" spans="1:16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 t="shared" si="24"/>
        <v>Delhi</v>
      </c>
      <c r="M1544" t="str">
        <f>_xlfn.XLOOKUP(D1544, Products!A:A, Products!C:C)</f>
        <v>Beauty</v>
      </c>
      <c r="N1544" t="str">
        <f>_xlfn.XLOOKUP(E370, Sales_Reps!A:A, Sales_Reps!C:C)</f>
        <v>North</v>
      </c>
      <c r="O1544">
        <f>_xlfn.XLOOKUP(D1544, Products!A:A, Products!D:D)</f>
        <v>2420</v>
      </c>
      <c r="P1544">
        <f>_xlfn.XLOOKUP(D1544, Products!A:A, Products!E:E)</f>
        <v>3450</v>
      </c>
    </row>
    <row r="1545" spans="1:16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 t="shared" si="24"/>
        <v>Delhi</v>
      </c>
      <c r="M1545" t="str">
        <f>_xlfn.XLOOKUP(D1545, Products!A:A, Products!C:C)</f>
        <v>Beauty</v>
      </c>
      <c r="N1545" t="str">
        <f>_xlfn.XLOOKUP(E371, Sales_Reps!A:A, Sales_Reps!C:C)</f>
        <v>South</v>
      </c>
      <c r="O1545">
        <f>_xlfn.XLOOKUP(D1545, Products!A:A, Products!D:D)</f>
        <v>1219</v>
      </c>
      <c r="P1545">
        <f>_xlfn.XLOOKUP(D1545, Products!A:A, Products!E:E)</f>
        <v>2290</v>
      </c>
    </row>
    <row r="1546" spans="1:16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 t="shared" si="24"/>
        <v>Hyderabad</v>
      </c>
      <c r="M1546" t="str">
        <f>_xlfn.XLOOKUP(D1546, Products!A:A, Products!C:C)</f>
        <v>Sports</v>
      </c>
      <c r="N1546" t="str">
        <f>_xlfn.XLOOKUP(E372, Sales_Reps!A:A, Sales_Reps!C:C)</f>
        <v>North</v>
      </c>
      <c r="O1546">
        <f>_xlfn.XLOOKUP(D1546, Products!A:A, Products!D:D)</f>
        <v>705</v>
      </c>
      <c r="P1546">
        <f>_xlfn.XLOOKUP(D1546, Products!A:A, Products!E:E)</f>
        <v>960</v>
      </c>
    </row>
    <row r="1547" spans="1:16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 t="shared" si="24"/>
        <v>Delhi</v>
      </c>
      <c r="M1547" t="str">
        <f>_xlfn.XLOOKUP(D1547, Products!A:A, Products!C:C)</f>
        <v>Home</v>
      </c>
      <c r="N1547" t="str">
        <f>_xlfn.XLOOKUP(E373, Sales_Reps!A:A, Sales_Reps!C:C)</f>
        <v>South</v>
      </c>
      <c r="O1547">
        <f>_xlfn.XLOOKUP(D1547, Products!A:A, Products!D:D)</f>
        <v>1850</v>
      </c>
      <c r="P1547">
        <f>_xlfn.XLOOKUP(D1547, Products!A:A, Products!E:E)</f>
        <v>4610</v>
      </c>
    </row>
    <row r="1548" spans="1:16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 t="shared" si="24"/>
        <v>Mumbai</v>
      </c>
      <c r="M1548" t="str">
        <f>_xlfn.XLOOKUP(D1548, Products!A:A, Products!C:C)</f>
        <v>Grocery</v>
      </c>
      <c r="N1548" t="str">
        <f>_xlfn.XLOOKUP(E374, Sales_Reps!A:A, Sales_Reps!C:C)</f>
        <v>West</v>
      </c>
      <c r="O1548">
        <f>_xlfn.XLOOKUP(D1548, Products!A:A, Products!D:D)</f>
        <v>2214</v>
      </c>
      <c r="P1548">
        <f>_xlfn.XLOOKUP(D1548, Products!A:A, Products!E:E)</f>
        <v>3660</v>
      </c>
    </row>
    <row r="1549" spans="1:16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 t="shared" si="24"/>
        <v>Hyderabad</v>
      </c>
      <c r="M1549" t="str">
        <f>_xlfn.XLOOKUP(D1549, Products!A:A, Products!C:C)</f>
        <v>Electronics</v>
      </c>
      <c r="N1549" t="str">
        <f>_xlfn.XLOOKUP(E375, Sales_Reps!A:A, Sales_Reps!C:C)</f>
        <v>South</v>
      </c>
      <c r="O1549">
        <f>_xlfn.XLOOKUP(D1549, Products!A:A, Products!D:D)</f>
        <v>1259</v>
      </c>
      <c r="P1549">
        <f>_xlfn.XLOOKUP(D1549, Products!A:A, Products!E:E)</f>
        <v>2660</v>
      </c>
    </row>
    <row r="1550" spans="1:16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 t="shared" si="24"/>
        <v>Delhi</v>
      </c>
      <c r="M1550" t="str">
        <f>_xlfn.XLOOKUP(D1550, Products!A:A, Products!C:C)</f>
        <v>Beauty</v>
      </c>
      <c r="N1550" t="str">
        <f>_xlfn.XLOOKUP(E376, Sales_Reps!A:A, Sales_Reps!C:C)</f>
        <v>South</v>
      </c>
      <c r="O1550">
        <f>_xlfn.XLOOKUP(D1550, Products!A:A, Products!D:D)</f>
        <v>647</v>
      </c>
      <c r="P1550">
        <f>_xlfn.XLOOKUP(D1550, Products!A:A, Products!E:E)</f>
        <v>1540</v>
      </c>
    </row>
    <row r="1551" spans="1:16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 t="shared" si="24"/>
        <v>Pune</v>
      </c>
      <c r="M1551" t="str">
        <f>_xlfn.XLOOKUP(D1551, Products!A:A, Products!C:C)</f>
        <v>Electronics</v>
      </c>
      <c r="N1551" t="str">
        <f>_xlfn.XLOOKUP(E377, Sales_Reps!A:A, Sales_Reps!C:C)</f>
        <v>North</v>
      </c>
      <c r="O1551">
        <f>_xlfn.XLOOKUP(D1551, Products!A:A, Products!D:D)</f>
        <v>2865</v>
      </c>
      <c r="P1551">
        <f>_xlfn.XLOOKUP(D1551, Products!A:A, Products!E:E)</f>
        <v>3970</v>
      </c>
    </row>
    <row r="1552" spans="1:16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 t="shared" si="24"/>
        <v>Chennai</v>
      </c>
      <c r="M1552" t="str">
        <f>_xlfn.XLOOKUP(D1552, Products!A:A, Products!C:C)</f>
        <v>Sports</v>
      </c>
      <c r="N1552" t="str">
        <f>_xlfn.XLOOKUP(E378, Sales_Reps!A:A, Sales_Reps!C:C)</f>
        <v>South</v>
      </c>
      <c r="O1552">
        <f>_xlfn.XLOOKUP(D1552, Products!A:A, Products!D:D)</f>
        <v>1860</v>
      </c>
      <c r="P1552">
        <f>_xlfn.XLOOKUP(D1552, Products!A:A, Products!E:E)</f>
        <v>3780</v>
      </c>
    </row>
    <row r="1553" spans="1:16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 t="shared" si="24"/>
        <v>Bengaluru</v>
      </c>
      <c r="M1553" t="str">
        <f>_xlfn.XLOOKUP(D1553, Products!A:A, Products!C:C)</f>
        <v>Grocery</v>
      </c>
      <c r="N1553" t="str">
        <f>_xlfn.XLOOKUP(E379, Sales_Reps!A:A, Sales_Reps!C:C)</f>
        <v>South</v>
      </c>
      <c r="O1553">
        <f>_xlfn.XLOOKUP(D1553, Products!A:A, Products!D:D)</f>
        <v>1412</v>
      </c>
      <c r="P1553">
        <f>_xlfn.XLOOKUP(D1553, Products!A:A, Products!E:E)</f>
        <v>2270</v>
      </c>
    </row>
    <row r="1554" spans="1:16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 t="shared" si="24"/>
        <v>Hyderabad</v>
      </c>
      <c r="M1554" t="str">
        <f>_xlfn.XLOOKUP(D1554, Products!A:A, Products!C:C)</f>
        <v>Electronics</v>
      </c>
      <c r="N1554" t="str">
        <f>_xlfn.XLOOKUP(E380, Sales_Reps!A:A, Sales_Reps!C:C)</f>
        <v>West</v>
      </c>
      <c r="O1554">
        <f>_xlfn.XLOOKUP(D1554, Products!A:A, Products!D:D)</f>
        <v>517</v>
      </c>
      <c r="P1554">
        <f>_xlfn.XLOOKUP(D1554, Products!A:A, Products!E:E)</f>
        <v>1220</v>
      </c>
    </row>
    <row r="1555" spans="1:16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 t="shared" si="24"/>
        <v>Hyderabad</v>
      </c>
      <c r="M1555" t="str">
        <f>_xlfn.XLOOKUP(D1555, Products!A:A, Products!C:C)</f>
        <v>Beauty</v>
      </c>
      <c r="N1555" t="str">
        <f>_xlfn.XLOOKUP(E381, Sales_Reps!A:A, Sales_Reps!C:C)</f>
        <v>North</v>
      </c>
      <c r="O1555">
        <f>_xlfn.XLOOKUP(D1555, Products!A:A, Products!D:D)</f>
        <v>1728</v>
      </c>
      <c r="P1555">
        <f>_xlfn.XLOOKUP(D1555, Products!A:A, Products!E:E)</f>
        <v>3350</v>
      </c>
    </row>
    <row r="1556" spans="1:16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 t="shared" si="24"/>
        <v>Bengaluru</v>
      </c>
      <c r="M1556" t="str">
        <f>_xlfn.XLOOKUP(D1556, Products!A:A, Products!C:C)</f>
        <v>Beauty</v>
      </c>
      <c r="N1556" t="str">
        <f>_xlfn.XLOOKUP(E382, Sales_Reps!A:A, Sales_Reps!C:C)</f>
        <v>South</v>
      </c>
      <c r="O1556">
        <f>_xlfn.XLOOKUP(D1556, Products!A:A, Products!D:D)</f>
        <v>1728</v>
      </c>
      <c r="P1556">
        <f>_xlfn.XLOOKUP(D1556, Products!A:A, Products!E:E)</f>
        <v>3350</v>
      </c>
    </row>
    <row r="1557" spans="1:16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 t="shared" si="24"/>
        <v>Chennai</v>
      </c>
      <c r="M1557" t="str">
        <f>_xlfn.XLOOKUP(D1557, Products!A:A, Products!C:C)</f>
        <v>Home</v>
      </c>
      <c r="N1557" t="str">
        <f>_xlfn.XLOOKUP(E383, Sales_Reps!A:A, Sales_Reps!C:C)</f>
        <v>West</v>
      </c>
      <c r="O1557">
        <f>_xlfn.XLOOKUP(D1557, Products!A:A, Products!D:D)</f>
        <v>2549</v>
      </c>
      <c r="P1557">
        <f>_xlfn.XLOOKUP(D1557, Products!A:A, Products!E:E)</f>
        <v>5490</v>
      </c>
    </row>
    <row r="1558" spans="1:16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 t="shared" si="24"/>
        <v>Hyderabad</v>
      </c>
      <c r="M1558" t="str">
        <f>_xlfn.XLOOKUP(D1558, Products!A:A, Products!C:C)</f>
        <v>Sports</v>
      </c>
      <c r="N1558" t="str">
        <f>_xlfn.XLOOKUP(E384, Sales_Reps!A:A, Sales_Reps!C:C)</f>
        <v>West</v>
      </c>
      <c r="O1558">
        <f>_xlfn.XLOOKUP(D1558, Products!A:A, Products!D:D)</f>
        <v>2028</v>
      </c>
      <c r="P1558">
        <f>_xlfn.XLOOKUP(D1558, Products!A:A, Products!E:E)</f>
        <v>2860</v>
      </c>
    </row>
    <row r="1559" spans="1:16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 t="shared" si="24"/>
        <v>Chennai</v>
      </c>
      <c r="M1559" t="str">
        <f>_xlfn.XLOOKUP(D1559, Products!A:A, Products!C:C)</f>
        <v>Electronics</v>
      </c>
      <c r="N1559" t="str">
        <f>_xlfn.XLOOKUP(E385, Sales_Reps!A:A, Sales_Reps!C:C)</f>
        <v>West</v>
      </c>
      <c r="O1559">
        <f>_xlfn.XLOOKUP(D1559, Products!A:A, Products!D:D)</f>
        <v>1149</v>
      </c>
      <c r="P1559">
        <f>_xlfn.XLOOKUP(D1559, Products!A:A, Products!E:E)</f>
        <v>2640</v>
      </c>
    </row>
    <row r="1560" spans="1:16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 t="shared" si="24"/>
        <v>Chennai</v>
      </c>
      <c r="M1560" t="str">
        <f>_xlfn.XLOOKUP(D1560, Products!A:A, Products!C:C)</f>
        <v>Apparel</v>
      </c>
      <c r="N1560" t="str">
        <f>_xlfn.XLOOKUP(E386, Sales_Reps!A:A, Sales_Reps!C:C)</f>
        <v>East</v>
      </c>
      <c r="O1560">
        <f>_xlfn.XLOOKUP(D1560, Products!A:A, Products!D:D)</f>
        <v>1748</v>
      </c>
      <c r="P1560">
        <f>_xlfn.XLOOKUP(D1560, Products!A:A, Products!E:E)</f>
        <v>3450</v>
      </c>
    </row>
    <row r="1561" spans="1:16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 t="shared" si="24"/>
        <v>Delhi</v>
      </c>
      <c r="M1561" t="str">
        <f>_xlfn.XLOOKUP(D1561, Products!A:A, Products!C:C)</f>
        <v>Home</v>
      </c>
      <c r="N1561" t="str">
        <f>_xlfn.XLOOKUP(E387, Sales_Reps!A:A, Sales_Reps!C:C)</f>
        <v>North</v>
      </c>
      <c r="O1561">
        <f>_xlfn.XLOOKUP(D1561, Products!A:A, Products!D:D)</f>
        <v>288</v>
      </c>
      <c r="P1561">
        <f>_xlfn.XLOOKUP(D1561, Products!A:A, Products!E:E)</f>
        <v>370</v>
      </c>
    </row>
    <row r="1562" spans="1:16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 t="shared" si="24"/>
        <v>Mumbai</v>
      </c>
      <c r="M1562" t="str">
        <f>_xlfn.XLOOKUP(D1562, Products!A:A, Products!C:C)</f>
        <v>Grocery</v>
      </c>
      <c r="N1562" t="str">
        <f>_xlfn.XLOOKUP(E388, Sales_Reps!A:A, Sales_Reps!C:C)</f>
        <v>South</v>
      </c>
      <c r="O1562">
        <f>_xlfn.XLOOKUP(D1562, Products!A:A, Products!D:D)</f>
        <v>2911</v>
      </c>
      <c r="P1562">
        <f>_xlfn.XLOOKUP(D1562, Products!A:A, Products!E:E)</f>
        <v>4060</v>
      </c>
    </row>
    <row r="1563" spans="1:16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 t="shared" si="24"/>
        <v>Bengaluru</v>
      </c>
      <c r="M1563" t="str">
        <f>_xlfn.XLOOKUP(D1563, Products!A:A, Products!C:C)</f>
        <v>Electronics</v>
      </c>
      <c r="N1563" t="str">
        <f>_xlfn.XLOOKUP(E389, Sales_Reps!A:A, Sales_Reps!C:C)</f>
        <v>South</v>
      </c>
      <c r="O1563">
        <f>_xlfn.XLOOKUP(D1563, Products!A:A, Products!D:D)</f>
        <v>1559</v>
      </c>
      <c r="P1563">
        <f>_xlfn.XLOOKUP(D1563, Products!A:A, Products!E:E)</f>
        <v>3870</v>
      </c>
    </row>
    <row r="1564" spans="1:16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 t="shared" si="24"/>
        <v>Pune</v>
      </c>
      <c r="M1564" t="str">
        <f>_xlfn.XLOOKUP(D1564, Products!A:A, Products!C:C)</f>
        <v>Electronics</v>
      </c>
      <c r="N1564" t="str">
        <f>_xlfn.XLOOKUP(E390, Sales_Reps!A:A, Sales_Reps!C:C)</f>
        <v>East</v>
      </c>
      <c r="O1564">
        <f>_xlfn.XLOOKUP(D1564, Products!A:A, Products!D:D)</f>
        <v>2405</v>
      </c>
      <c r="P1564">
        <f>_xlfn.XLOOKUP(D1564, Products!A:A, Products!E:E)</f>
        <v>5330</v>
      </c>
    </row>
    <row r="1565" spans="1:16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 t="shared" si="24"/>
        <v>Hyderabad</v>
      </c>
      <c r="M1565" t="str">
        <f>_xlfn.XLOOKUP(D1565, Products!A:A, Products!C:C)</f>
        <v>Home</v>
      </c>
      <c r="N1565" t="str">
        <f>_xlfn.XLOOKUP(E391, Sales_Reps!A:A, Sales_Reps!C:C)</f>
        <v>East</v>
      </c>
      <c r="O1565">
        <f>_xlfn.XLOOKUP(D1565, Products!A:A, Products!D:D)</f>
        <v>288</v>
      </c>
      <c r="P1565">
        <f>_xlfn.XLOOKUP(D1565, Products!A:A, Products!E:E)</f>
        <v>370</v>
      </c>
    </row>
    <row r="1566" spans="1:16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 t="shared" si="24"/>
        <v>Mumbai</v>
      </c>
      <c r="M1566" t="str">
        <f>_xlfn.XLOOKUP(D1566, Products!A:A, Products!C:C)</f>
        <v>Electronics</v>
      </c>
      <c r="N1566" t="str">
        <f>_xlfn.XLOOKUP(E392, Sales_Reps!A:A, Sales_Reps!C:C)</f>
        <v>North</v>
      </c>
      <c r="O1566">
        <f>_xlfn.XLOOKUP(D1566, Products!A:A, Products!D:D)</f>
        <v>128</v>
      </c>
      <c r="P1566">
        <f>_xlfn.XLOOKUP(D1566, Products!A:A, Products!E:E)</f>
        <v>300</v>
      </c>
    </row>
    <row r="1567" spans="1:16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 t="shared" si="24"/>
        <v>Mumbai</v>
      </c>
      <c r="M1567" t="str">
        <f>_xlfn.XLOOKUP(D1567, Products!A:A, Products!C:C)</f>
        <v>Beauty</v>
      </c>
      <c r="N1567" t="str">
        <f>_xlfn.XLOOKUP(E393, Sales_Reps!A:A, Sales_Reps!C:C)</f>
        <v>West</v>
      </c>
      <c r="O1567">
        <f>_xlfn.XLOOKUP(D1567, Products!A:A, Products!D:D)</f>
        <v>1728</v>
      </c>
      <c r="P1567">
        <f>_xlfn.XLOOKUP(D1567, Products!A:A, Products!E:E)</f>
        <v>3350</v>
      </c>
    </row>
    <row r="1568" spans="1:16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 t="shared" si="24"/>
        <v>Chennai</v>
      </c>
      <c r="M1568" t="str">
        <f>_xlfn.XLOOKUP(D1568, Products!A:A, Products!C:C)</f>
        <v>Sports</v>
      </c>
      <c r="N1568" t="str">
        <f>_xlfn.XLOOKUP(E394, Sales_Reps!A:A, Sales_Reps!C:C)</f>
        <v>West</v>
      </c>
      <c r="O1568">
        <f>_xlfn.XLOOKUP(D1568, Products!A:A, Products!D:D)</f>
        <v>2827</v>
      </c>
      <c r="P1568">
        <f>_xlfn.XLOOKUP(D1568, Products!A:A, Products!E:E)</f>
        <v>6940</v>
      </c>
    </row>
    <row r="1569" spans="1:16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 t="shared" si="24"/>
        <v>Bengaluru</v>
      </c>
      <c r="M1569" t="str">
        <f>_xlfn.XLOOKUP(D1569, Products!A:A, Products!C:C)</f>
        <v>Beauty</v>
      </c>
      <c r="N1569" t="str">
        <f>_xlfn.XLOOKUP(E395, Sales_Reps!A:A, Sales_Reps!C:C)</f>
        <v>West</v>
      </c>
      <c r="O1569">
        <f>_xlfn.XLOOKUP(D1569, Products!A:A, Products!D:D)</f>
        <v>675</v>
      </c>
      <c r="P1569">
        <f>_xlfn.XLOOKUP(D1569, Products!A:A, Products!E:E)</f>
        <v>960</v>
      </c>
    </row>
    <row r="1570" spans="1:16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 t="shared" si="24"/>
        <v>Mumbai</v>
      </c>
      <c r="M1570" t="str">
        <f>_xlfn.XLOOKUP(D1570, Products!A:A, Products!C:C)</f>
        <v>Grocery</v>
      </c>
      <c r="N1570" t="str">
        <f>_xlfn.XLOOKUP(E396, Sales_Reps!A:A, Sales_Reps!C:C)</f>
        <v>South</v>
      </c>
      <c r="O1570">
        <f>_xlfn.XLOOKUP(D1570, Products!A:A, Products!D:D)</f>
        <v>1435</v>
      </c>
      <c r="P1570">
        <f>_xlfn.XLOOKUP(D1570, Products!A:A, Products!E:E)</f>
        <v>2760</v>
      </c>
    </row>
    <row r="1571" spans="1:16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 t="shared" si="24"/>
        <v>Bengaluru</v>
      </c>
      <c r="M1571" t="str">
        <f>_xlfn.XLOOKUP(D1571, Products!A:A, Products!C:C)</f>
        <v>Grocery</v>
      </c>
      <c r="N1571" t="str">
        <f>_xlfn.XLOOKUP(E397, Sales_Reps!A:A, Sales_Reps!C:C)</f>
        <v>East</v>
      </c>
      <c r="O1571">
        <f>_xlfn.XLOOKUP(D1571, Products!A:A, Products!D:D)</f>
        <v>1203</v>
      </c>
      <c r="P1571">
        <f>_xlfn.XLOOKUP(D1571, Products!A:A, Products!E:E)</f>
        <v>2270</v>
      </c>
    </row>
    <row r="1572" spans="1:16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 t="shared" si="24"/>
        <v>Hyderabad</v>
      </c>
      <c r="M1572" t="str">
        <f>_xlfn.XLOOKUP(D1572, Products!A:A, Products!C:C)</f>
        <v>Electronics</v>
      </c>
      <c r="N1572" t="str">
        <f>_xlfn.XLOOKUP(E398, Sales_Reps!A:A, Sales_Reps!C:C)</f>
        <v>North</v>
      </c>
      <c r="O1572">
        <f>_xlfn.XLOOKUP(D1572, Products!A:A, Products!D:D)</f>
        <v>1052</v>
      </c>
      <c r="P1572">
        <f>_xlfn.XLOOKUP(D1572, Products!A:A, Products!E:E)</f>
        <v>2600</v>
      </c>
    </row>
    <row r="1573" spans="1:16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 t="shared" si="24"/>
        <v>Bengaluru</v>
      </c>
      <c r="M1573" t="str">
        <f>_xlfn.XLOOKUP(D1573, Products!A:A, Products!C:C)</f>
        <v>Electronics</v>
      </c>
      <c r="N1573" t="str">
        <f>_xlfn.XLOOKUP(E399, Sales_Reps!A:A, Sales_Reps!C:C)</f>
        <v>West</v>
      </c>
      <c r="O1573">
        <f>_xlfn.XLOOKUP(D1573, Products!A:A, Products!D:D)</f>
        <v>1665</v>
      </c>
      <c r="P1573">
        <f>_xlfn.XLOOKUP(D1573, Products!A:A, Products!E:E)</f>
        <v>3570</v>
      </c>
    </row>
    <row r="1574" spans="1:16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 t="shared" si="24"/>
        <v>Mumbai</v>
      </c>
      <c r="M1574" t="str">
        <f>_xlfn.XLOOKUP(D1574, Products!A:A, Products!C:C)</f>
        <v>Home</v>
      </c>
      <c r="N1574" t="str">
        <f>_xlfn.XLOOKUP(E400, Sales_Reps!A:A, Sales_Reps!C:C)</f>
        <v>West</v>
      </c>
      <c r="O1574">
        <f>_xlfn.XLOOKUP(D1574, Products!A:A, Products!D:D)</f>
        <v>2459</v>
      </c>
      <c r="P1574">
        <f>_xlfn.XLOOKUP(D1574, Products!A:A, Products!E:E)</f>
        <v>5080</v>
      </c>
    </row>
    <row r="1575" spans="1:16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 t="shared" si="24"/>
        <v>Mumbai</v>
      </c>
      <c r="M1575" t="str">
        <f>_xlfn.XLOOKUP(D1575, Products!A:A, Products!C:C)</f>
        <v>Beauty</v>
      </c>
      <c r="N1575" t="str">
        <f>_xlfn.XLOOKUP(E401, Sales_Reps!A:A, Sales_Reps!C:C)</f>
        <v>South</v>
      </c>
      <c r="O1575">
        <f>_xlfn.XLOOKUP(D1575, Products!A:A, Products!D:D)</f>
        <v>675</v>
      </c>
      <c r="P1575">
        <f>_xlfn.XLOOKUP(D1575, Products!A:A, Products!E:E)</f>
        <v>960</v>
      </c>
    </row>
    <row r="1576" spans="1:16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 t="shared" si="24"/>
        <v>Mumbai</v>
      </c>
      <c r="M1576" t="str">
        <f>_xlfn.XLOOKUP(D1576, Products!A:A, Products!C:C)</f>
        <v>Sports</v>
      </c>
      <c r="N1576" t="str">
        <f>_xlfn.XLOOKUP(E402, Sales_Reps!A:A, Sales_Reps!C:C)</f>
        <v>South</v>
      </c>
      <c r="O1576">
        <f>_xlfn.XLOOKUP(D1576, Products!A:A, Products!D:D)</f>
        <v>302</v>
      </c>
      <c r="P1576">
        <f>_xlfn.XLOOKUP(D1576, Products!A:A, Products!E:E)</f>
        <v>470</v>
      </c>
    </row>
    <row r="1577" spans="1:16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 t="shared" si="24"/>
        <v>Delhi</v>
      </c>
      <c r="M1577" t="str">
        <f>_xlfn.XLOOKUP(D1577, Products!A:A, Products!C:C)</f>
        <v>Electronics</v>
      </c>
      <c r="N1577" t="str">
        <f>_xlfn.XLOOKUP(E403, Sales_Reps!A:A, Sales_Reps!C:C)</f>
        <v>West</v>
      </c>
      <c r="O1577">
        <f>_xlfn.XLOOKUP(D1577, Products!A:A, Products!D:D)</f>
        <v>517</v>
      </c>
      <c r="P1577">
        <f>_xlfn.XLOOKUP(D1577, Products!A:A, Products!E:E)</f>
        <v>1220</v>
      </c>
    </row>
    <row r="1578" spans="1:16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 t="shared" si="24"/>
        <v>Mumbai</v>
      </c>
      <c r="M1578" t="str">
        <f>_xlfn.XLOOKUP(D1578, Products!A:A, Products!C:C)</f>
        <v>Sports</v>
      </c>
      <c r="N1578" t="str">
        <f>_xlfn.XLOOKUP(E404, Sales_Reps!A:A, Sales_Reps!C:C)</f>
        <v>East</v>
      </c>
      <c r="O1578">
        <f>_xlfn.XLOOKUP(D1578, Products!A:A, Products!D:D)</f>
        <v>516</v>
      </c>
      <c r="P1578">
        <f>_xlfn.XLOOKUP(D1578, Products!A:A, Products!E:E)</f>
        <v>1010</v>
      </c>
    </row>
    <row r="1579" spans="1:16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 t="shared" si="24"/>
        <v>Hyderabad</v>
      </c>
      <c r="M1579" t="str">
        <f>_xlfn.XLOOKUP(D1579, Products!A:A, Products!C:C)</f>
        <v>Grocery</v>
      </c>
      <c r="N1579" t="str">
        <f>_xlfn.XLOOKUP(E405, Sales_Reps!A:A, Sales_Reps!C:C)</f>
        <v>West</v>
      </c>
      <c r="O1579">
        <f>_xlfn.XLOOKUP(D1579, Products!A:A, Products!D:D)</f>
        <v>2214</v>
      </c>
      <c r="P1579">
        <f>_xlfn.XLOOKUP(D1579, Products!A:A, Products!E:E)</f>
        <v>3660</v>
      </c>
    </row>
    <row r="1580" spans="1:16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 t="shared" si="24"/>
        <v>Chennai</v>
      </c>
      <c r="M1580" t="str">
        <f>_xlfn.XLOOKUP(D1580, Products!A:A, Products!C:C)</f>
        <v>Home</v>
      </c>
      <c r="N1580" t="str">
        <f>_xlfn.XLOOKUP(E406, Sales_Reps!A:A, Sales_Reps!C:C)</f>
        <v>East</v>
      </c>
      <c r="O1580">
        <f>_xlfn.XLOOKUP(D1580, Products!A:A, Products!D:D)</f>
        <v>2549</v>
      </c>
      <c r="P1580">
        <f>_xlfn.XLOOKUP(D1580, Products!A:A, Products!E:E)</f>
        <v>5490</v>
      </c>
    </row>
    <row r="1581" spans="1:16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 t="shared" si="24"/>
        <v>Pune</v>
      </c>
      <c r="M1581" t="str">
        <f>_xlfn.XLOOKUP(D1581, Products!A:A, Products!C:C)</f>
        <v>Grocery</v>
      </c>
      <c r="N1581" t="str">
        <f>_xlfn.XLOOKUP(E407, Sales_Reps!A:A, Sales_Reps!C:C)</f>
        <v>East</v>
      </c>
      <c r="O1581">
        <f>_xlfn.XLOOKUP(D1581, Products!A:A, Products!D:D)</f>
        <v>1412</v>
      </c>
      <c r="P1581">
        <f>_xlfn.XLOOKUP(D1581, Products!A:A, Products!E:E)</f>
        <v>2270</v>
      </c>
    </row>
    <row r="1582" spans="1:16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 t="shared" si="24"/>
        <v>Pune</v>
      </c>
      <c r="M1582" t="str">
        <f>_xlfn.XLOOKUP(D1582, Products!A:A, Products!C:C)</f>
        <v>Grocery</v>
      </c>
      <c r="N1582" t="str">
        <f>_xlfn.XLOOKUP(E408, Sales_Reps!A:A, Sales_Reps!C:C)</f>
        <v>North</v>
      </c>
      <c r="O1582">
        <f>_xlfn.XLOOKUP(D1582, Products!A:A, Products!D:D)</f>
        <v>1412</v>
      </c>
      <c r="P1582">
        <f>_xlfn.XLOOKUP(D1582, Products!A:A, Products!E:E)</f>
        <v>2270</v>
      </c>
    </row>
    <row r="1583" spans="1:16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 t="shared" si="24"/>
        <v>Pune</v>
      </c>
      <c r="M1583" t="str">
        <f>_xlfn.XLOOKUP(D1583, Products!A:A, Products!C:C)</f>
        <v>Electronics</v>
      </c>
      <c r="N1583" t="str">
        <f>_xlfn.XLOOKUP(E409, Sales_Reps!A:A, Sales_Reps!C:C)</f>
        <v>West</v>
      </c>
      <c r="O1583">
        <f>_xlfn.XLOOKUP(D1583, Products!A:A, Products!D:D)</f>
        <v>1052</v>
      </c>
      <c r="P1583">
        <f>_xlfn.XLOOKUP(D1583, Products!A:A, Products!E:E)</f>
        <v>2600</v>
      </c>
    </row>
    <row r="1584" spans="1:16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 t="shared" si="24"/>
        <v>Mumbai</v>
      </c>
      <c r="M1584" t="str">
        <f>_xlfn.XLOOKUP(D1584, Products!A:A, Products!C:C)</f>
        <v>Electronics</v>
      </c>
      <c r="N1584" t="str">
        <f>_xlfn.XLOOKUP(E410, Sales_Reps!A:A, Sales_Reps!C:C)</f>
        <v>North</v>
      </c>
      <c r="O1584">
        <f>_xlfn.XLOOKUP(D1584, Products!A:A, Products!D:D)</f>
        <v>1559</v>
      </c>
      <c r="P1584">
        <f>_xlfn.XLOOKUP(D1584, Products!A:A, Products!E:E)</f>
        <v>3870</v>
      </c>
    </row>
    <row r="1585" spans="1:16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 t="shared" si="24"/>
        <v>Pune</v>
      </c>
      <c r="M1585" t="str">
        <f>_xlfn.XLOOKUP(D1585, Products!A:A, Products!C:C)</f>
        <v>Electronics</v>
      </c>
      <c r="N1585" t="str">
        <f>_xlfn.XLOOKUP(E411, Sales_Reps!A:A, Sales_Reps!C:C)</f>
        <v>South</v>
      </c>
      <c r="O1585">
        <f>_xlfn.XLOOKUP(D1585, Products!A:A, Products!D:D)</f>
        <v>2865</v>
      </c>
      <c r="P1585">
        <f>_xlfn.XLOOKUP(D1585, Products!A:A, Products!E:E)</f>
        <v>3970</v>
      </c>
    </row>
    <row r="1586" spans="1:16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 t="shared" si="24"/>
        <v>Chennai</v>
      </c>
      <c r="M1586" t="str">
        <f>_xlfn.XLOOKUP(D1586, Products!A:A, Products!C:C)</f>
        <v>Beauty</v>
      </c>
      <c r="N1586" t="str">
        <f>_xlfn.XLOOKUP(E412, Sales_Reps!A:A, Sales_Reps!C:C)</f>
        <v>South</v>
      </c>
      <c r="O1586">
        <f>_xlfn.XLOOKUP(D1586, Products!A:A, Products!D:D)</f>
        <v>675</v>
      </c>
      <c r="P1586">
        <f>_xlfn.XLOOKUP(D1586, Products!A:A, Products!E:E)</f>
        <v>960</v>
      </c>
    </row>
    <row r="1587" spans="1:16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 t="shared" si="24"/>
        <v>Delhi</v>
      </c>
      <c r="M1587" t="str">
        <f>_xlfn.XLOOKUP(D1587, Products!A:A, Products!C:C)</f>
        <v>Sports</v>
      </c>
      <c r="N1587" t="str">
        <f>_xlfn.XLOOKUP(E413, Sales_Reps!A:A, Sales_Reps!C:C)</f>
        <v>South</v>
      </c>
      <c r="O1587">
        <f>_xlfn.XLOOKUP(D1587, Products!A:A, Products!D:D)</f>
        <v>2265</v>
      </c>
      <c r="P1587">
        <f>_xlfn.XLOOKUP(D1587, Products!A:A, Products!E:E)</f>
        <v>5410</v>
      </c>
    </row>
    <row r="1588" spans="1:16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 t="shared" si="24"/>
        <v>Chennai</v>
      </c>
      <c r="M1588" t="str">
        <f>_xlfn.XLOOKUP(D1588, Products!A:A, Products!C:C)</f>
        <v>Apparel</v>
      </c>
      <c r="N1588" t="str">
        <f>_xlfn.XLOOKUP(E414, Sales_Reps!A:A, Sales_Reps!C:C)</f>
        <v>East</v>
      </c>
      <c r="O1588">
        <f>_xlfn.XLOOKUP(D1588, Products!A:A, Products!D:D)</f>
        <v>1748</v>
      </c>
      <c r="P1588">
        <f>_xlfn.XLOOKUP(D1588, Products!A:A, Products!E:E)</f>
        <v>3450</v>
      </c>
    </row>
    <row r="1589" spans="1:16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 t="shared" si="24"/>
        <v>Delhi</v>
      </c>
      <c r="M1589" t="str">
        <f>_xlfn.XLOOKUP(D1589, Products!A:A, Products!C:C)</f>
        <v>Beauty</v>
      </c>
      <c r="N1589" t="str">
        <f>_xlfn.XLOOKUP(E415, Sales_Reps!A:A, Sales_Reps!C:C)</f>
        <v>North</v>
      </c>
      <c r="O1589">
        <f>_xlfn.XLOOKUP(D1589, Products!A:A, Products!D:D)</f>
        <v>1626</v>
      </c>
      <c r="P1589">
        <f>_xlfn.XLOOKUP(D1589, Products!A:A, Products!E:E)</f>
        <v>3020</v>
      </c>
    </row>
    <row r="1590" spans="1:16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 t="shared" si="24"/>
        <v>Mumbai</v>
      </c>
      <c r="M1590" t="str">
        <f>_xlfn.XLOOKUP(D1590, Products!A:A, Products!C:C)</f>
        <v>Sports</v>
      </c>
      <c r="N1590" t="str">
        <f>_xlfn.XLOOKUP(E416, Sales_Reps!A:A, Sales_Reps!C:C)</f>
        <v>North</v>
      </c>
      <c r="O1590">
        <f>_xlfn.XLOOKUP(D1590, Products!A:A, Products!D:D)</f>
        <v>147</v>
      </c>
      <c r="P1590">
        <f>_xlfn.XLOOKUP(D1590, Products!A:A, Products!E:E)</f>
        <v>190</v>
      </c>
    </row>
    <row r="1591" spans="1:16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 t="shared" si="24"/>
        <v>Pune</v>
      </c>
      <c r="M1591" t="str">
        <f>_xlfn.XLOOKUP(D1591, Products!A:A, Products!C:C)</f>
        <v>Home</v>
      </c>
      <c r="N1591" t="str">
        <f>_xlfn.XLOOKUP(E417, Sales_Reps!A:A, Sales_Reps!C:C)</f>
        <v>West</v>
      </c>
      <c r="O1591">
        <f>_xlfn.XLOOKUP(D1591, Products!A:A, Products!D:D)</f>
        <v>2135</v>
      </c>
      <c r="P1591">
        <f>_xlfn.XLOOKUP(D1591, Products!A:A, Products!E:E)</f>
        <v>3730</v>
      </c>
    </row>
    <row r="1592" spans="1:16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 t="shared" si="24"/>
        <v>Mumbai</v>
      </c>
      <c r="M1592" t="str">
        <f>_xlfn.XLOOKUP(D1592, Products!A:A, Products!C:C)</f>
        <v>Sports</v>
      </c>
      <c r="N1592" t="str">
        <f>_xlfn.XLOOKUP(E418, Sales_Reps!A:A, Sales_Reps!C:C)</f>
        <v>West</v>
      </c>
      <c r="O1592">
        <f>_xlfn.XLOOKUP(D1592, Products!A:A, Products!D:D)</f>
        <v>2467</v>
      </c>
      <c r="P1592">
        <f>_xlfn.XLOOKUP(D1592, Products!A:A, Products!E:E)</f>
        <v>3450</v>
      </c>
    </row>
    <row r="1593" spans="1:16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 t="shared" si="24"/>
        <v>Bengaluru</v>
      </c>
      <c r="M1593" t="str">
        <f>_xlfn.XLOOKUP(D1593, Products!A:A, Products!C:C)</f>
        <v>Electronics</v>
      </c>
      <c r="N1593" t="str">
        <f>_xlfn.XLOOKUP(E419, Sales_Reps!A:A, Sales_Reps!C:C)</f>
        <v>West</v>
      </c>
      <c r="O1593">
        <f>_xlfn.XLOOKUP(D1593, Products!A:A, Products!D:D)</f>
        <v>2865</v>
      </c>
      <c r="P1593">
        <f>_xlfn.XLOOKUP(D1593, Products!A:A, Products!E:E)</f>
        <v>3970</v>
      </c>
    </row>
    <row r="1594" spans="1:16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 t="shared" si="24"/>
        <v>Mumbai</v>
      </c>
      <c r="M1594" t="str">
        <f>_xlfn.XLOOKUP(D1594, Products!A:A, Products!C:C)</f>
        <v>Home</v>
      </c>
      <c r="N1594" t="str">
        <f>_xlfn.XLOOKUP(E420, Sales_Reps!A:A, Sales_Reps!C:C)</f>
        <v>South</v>
      </c>
      <c r="O1594">
        <f>_xlfn.XLOOKUP(D1594, Products!A:A, Products!D:D)</f>
        <v>464</v>
      </c>
      <c r="P1594">
        <f>_xlfn.XLOOKUP(D1594, Products!A:A, Products!E:E)</f>
        <v>1090</v>
      </c>
    </row>
    <row r="1595" spans="1:16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 t="shared" si="24"/>
        <v>Pune</v>
      </c>
      <c r="M1595" t="str">
        <f>_xlfn.XLOOKUP(D1595, Products!A:A, Products!C:C)</f>
        <v>Home</v>
      </c>
      <c r="N1595" t="str">
        <f>_xlfn.XLOOKUP(E421, Sales_Reps!A:A, Sales_Reps!C:C)</f>
        <v>North</v>
      </c>
      <c r="O1595">
        <f>_xlfn.XLOOKUP(D1595, Products!A:A, Products!D:D)</f>
        <v>1143</v>
      </c>
      <c r="P1595">
        <f>_xlfn.XLOOKUP(D1595, Products!A:A, Products!E:E)</f>
        <v>2030</v>
      </c>
    </row>
    <row r="1596" spans="1:16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 t="shared" si="24"/>
        <v>Chennai</v>
      </c>
      <c r="M1596" t="str">
        <f>_xlfn.XLOOKUP(D1596, Products!A:A, Products!C:C)</f>
        <v>Grocery</v>
      </c>
      <c r="N1596" t="str">
        <f>_xlfn.XLOOKUP(E422, Sales_Reps!A:A, Sales_Reps!C:C)</f>
        <v>North</v>
      </c>
      <c r="O1596">
        <f>_xlfn.XLOOKUP(D1596, Products!A:A, Products!D:D)</f>
        <v>2027</v>
      </c>
      <c r="P1596">
        <f>_xlfn.XLOOKUP(D1596, Products!A:A, Products!E:E)</f>
        <v>4070</v>
      </c>
    </row>
    <row r="1597" spans="1:16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 t="shared" si="24"/>
        <v>Chennai</v>
      </c>
      <c r="M1597" t="str">
        <f>_xlfn.XLOOKUP(D1597, Products!A:A, Products!C:C)</f>
        <v>Apparel</v>
      </c>
      <c r="N1597" t="str">
        <f>_xlfn.XLOOKUP(E423, Sales_Reps!A:A, Sales_Reps!C:C)</f>
        <v>East</v>
      </c>
      <c r="O1597">
        <f>_xlfn.XLOOKUP(D1597, Products!A:A, Products!D:D)</f>
        <v>2509</v>
      </c>
      <c r="P1597">
        <f>_xlfn.XLOOKUP(D1597, Products!A:A, Products!E:E)</f>
        <v>3620</v>
      </c>
    </row>
    <row r="1598" spans="1:16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 t="shared" si="24"/>
        <v>Pune</v>
      </c>
      <c r="M1598" t="str">
        <f>_xlfn.XLOOKUP(D1598, Products!A:A, Products!C:C)</f>
        <v>Sports</v>
      </c>
      <c r="N1598" t="str">
        <f>_xlfn.XLOOKUP(E424, Sales_Reps!A:A, Sales_Reps!C:C)</f>
        <v>North</v>
      </c>
      <c r="O1598">
        <f>_xlfn.XLOOKUP(D1598, Products!A:A, Products!D:D)</f>
        <v>516</v>
      </c>
      <c r="P1598">
        <f>_xlfn.XLOOKUP(D1598, Products!A:A, Products!E:E)</f>
        <v>1010</v>
      </c>
    </row>
    <row r="1599" spans="1:16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 t="shared" si="24"/>
        <v>Delhi</v>
      </c>
      <c r="M1599" t="str">
        <f>_xlfn.XLOOKUP(D1599, Products!A:A, Products!C:C)</f>
        <v>Grocery</v>
      </c>
      <c r="N1599" t="str">
        <f>_xlfn.XLOOKUP(E425, Sales_Reps!A:A, Sales_Reps!C:C)</f>
        <v>South</v>
      </c>
      <c r="O1599">
        <f>_xlfn.XLOOKUP(D1599, Products!A:A, Products!D:D)</f>
        <v>434</v>
      </c>
      <c r="P1599">
        <f>_xlfn.XLOOKUP(D1599, Products!A:A, Products!E:E)</f>
        <v>970</v>
      </c>
    </row>
    <row r="1600" spans="1:16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 t="shared" si="24"/>
        <v>Bengaluru</v>
      </c>
      <c r="M1600" t="str">
        <f>_xlfn.XLOOKUP(D1600, Products!A:A, Products!C:C)</f>
        <v>Sports</v>
      </c>
      <c r="N1600" t="str">
        <f>_xlfn.XLOOKUP(E426, Sales_Reps!A:A, Sales_Reps!C:C)</f>
        <v>South</v>
      </c>
      <c r="O1600">
        <f>_xlfn.XLOOKUP(D1600, Products!A:A, Products!D:D)</f>
        <v>302</v>
      </c>
      <c r="P1600">
        <f>_xlfn.XLOOKUP(D1600, Products!A:A, Products!E:E)</f>
        <v>470</v>
      </c>
    </row>
    <row r="1601" spans="1:16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 t="shared" si="24"/>
        <v>Mumbai</v>
      </c>
      <c r="M1601" t="str">
        <f>_xlfn.XLOOKUP(D1601, Products!A:A, Products!C:C)</f>
        <v>Apparel</v>
      </c>
      <c r="N1601" t="str">
        <f>_xlfn.XLOOKUP(E427, Sales_Reps!A:A, Sales_Reps!C:C)</f>
        <v>West</v>
      </c>
      <c r="O1601">
        <f>_xlfn.XLOOKUP(D1601, Products!A:A, Products!D:D)</f>
        <v>1748</v>
      </c>
      <c r="P1601">
        <f>_xlfn.XLOOKUP(D1601, Products!A:A, Products!E:E)</f>
        <v>3450</v>
      </c>
    </row>
    <row r="1602" spans="1:16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 t="shared" si="24"/>
        <v>Pune</v>
      </c>
      <c r="M1602" t="str">
        <f>_xlfn.XLOOKUP(D1602, Products!A:A, Products!C:C)</f>
        <v>Electronics</v>
      </c>
      <c r="N1602" t="str">
        <f>_xlfn.XLOOKUP(E428, Sales_Reps!A:A, Sales_Reps!C:C)</f>
        <v>North</v>
      </c>
      <c r="O1602">
        <f>_xlfn.XLOOKUP(D1602, Products!A:A, Products!D:D)</f>
        <v>1149</v>
      </c>
      <c r="P1602">
        <f>_xlfn.XLOOKUP(D1602, Products!A:A, Products!E:E)</f>
        <v>2640</v>
      </c>
    </row>
    <row r="1603" spans="1:16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 t="shared" ref="L1603:L1666" si="25">PROPER(TRIM(K1603))</f>
        <v>Chennai</v>
      </c>
      <c r="M1603" t="str">
        <f>_xlfn.XLOOKUP(D1603, Products!A:A, Products!C:C)</f>
        <v>Electronics</v>
      </c>
      <c r="N1603" t="str">
        <f>_xlfn.XLOOKUP(E429, Sales_Reps!A:A, Sales_Reps!C:C)</f>
        <v>South</v>
      </c>
      <c r="O1603">
        <f>_xlfn.XLOOKUP(D1603, Products!A:A, Products!D:D)</f>
        <v>1665</v>
      </c>
      <c r="P1603">
        <f>_xlfn.XLOOKUP(D1603, Products!A:A, Products!E:E)</f>
        <v>3570</v>
      </c>
    </row>
    <row r="1604" spans="1:16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 t="shared" si="25"/>
        <v>Hyderabad</v>
      </c>
      <c r="M1604" t="str">
        <f>_xlfn.XLOOKUP(D1604, Products!A:A, Products!C:C)</f>
        <v>Electronics</v>
      </c>
      <c r="N1604" t="str">
        <f>_xlfn.XLOOKUP(E430, Sales_Reps!A:A, Sales_Reps!C:C)</f>
        <v>South</v>
      </c>
      <c r="O1604">
        <f>_xlfn.XLOOKUP(D1604, Products!A:A, Products!D:D)</f>
        <v>861</v>
      </c>
      <c r="P1604">
        <f>_xlfn.XLOOKUP(D1604, Products!A:A, Products!E:E)</f>
        <v>1430</v>
      </c>
    </row>
    <row r="1605" spans="1:16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 t="shared" si="25"/>
        <v>Chennai</v>
      </c>
      <c r="M1605" t="str">
        <f>_xlfn.XLOOKUP(D1605, Products!A:A, Products!C:C)</f>
        <v>Sports</v>
      </c>
      <c r="N1605" t="str">
        <f>_xlfn.XLOOKUP(E431, Sales_Reps!A:A, Sales_Reps!C:C)</f>
        <v>South</v>
      </c>
      <c r="O1605">
        <f>_xlfn.XLOOKUP(D1605, Products!A:A, Products!D:D)</f>
        <v>705</v>
      </c>
      <c r="P1605">
        <f>_xlfn.XLOOKUP(D1605, Products!A:A, Products!E:E)</f>
        <v>960</v>
      </c>
    </row>
    <row r="1606" spans="1:16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 t="shared" si="25"/>
        <v>Bengaluru</v>
      </c>
      <c r="M1606" t="str">
        <f>_xlfn.XLOOKUP(D1606, Products!A:A, Products!C:C)</f>
        <v>Home</v>
      </c>
      <c r="N1606" t="str">
        <f>_xlfn.XLOOKUP(E432, Sales_Reps!A:A, Sales_Reps!C:C)</f>
        <v>North</v>
      </c>
      <c r="O1606">
        <f>_xlfn.XLOOKUP(D1606, Products!A:A, Products!D:D)</f>
        <v>1556</v>
      </c>
      <c r="P1606">
        <f>_xlfn.XLOOKUP(D1606, Products!A:A, Products!E:E)</f>
        <v>3250</v>
      </c>
    </row>
    <row r="1607" spans="1:16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 t="shared" si="25"/>
        <v>Hyderabad</v>
      </c>
      <c r="M1607" t="str">
        <f>_xlfn.XLOOKUP(D1607, Products!A:A, Products!C:C)</f>
        <v>Sports</v>
      </c>
      <c r="N1607" t="str">
        <f>_xlfn.XLOOKUP(E433, Sales_Reps!A:A, Sales_Reps!C:C)</f>
        <v>South</v>
      </c>
      <c r="O1607">
        <f>_xlfn.XLOOKUP(D1607, Products!A:A, Products!D:D)</f>
        <v>2467</v>
      </c>
      <c r="P1607">
        <f>_xlfn.XLOOKUP(D1607, Products!A:A, Products!E:E)</f>
        <v>3450</v>
      </c>
    </row>
    <row r="1608" spans="1:16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 t="shared" si="25"/>
        <v>Hyderabad</v>
      </c>
      <c r="M1608" t="str">
        <f>_xlfn.XLOOKUP(D1608, Products!A:A, Products!C:C)</f>
        <v>Grocery</v>
      </c>
      <c r="N1608" t="str">
        <f>_xlfn.XLOOKUP(E434, Sales_Reps!A:A, Sales_Reps!C:C)</f>
        <v>West</v>
      </c>
      <c r="O1608">
        <f>_xlfn.XLOOKUP(D1608, Products!A:A, Products!D:D)</f>
        <v>1203</v>
      </c>
      <c r="P1608">
        <f>_xlfn.XLOOKUP(D1608, Products!A:A, Products!E:E)</f>
        <v>2270</v>
      </c>
    </row>
    <row r="1609" spans="1:16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 t="shared" si="25"/>
        <v>Bengaluru</v>
      </c>
      <c r="M1609" t="str">
        <f>_xlfn.XLOOKUP(D1609, Products!A:A, Products!C:C)</f>
        <v>Beauty</v>
      </c>
      <c r="N1609" t="str">
        <f>_xlfn.XLOOKUP(E435, Sales_Reps!A:A, Sales_Reps!C:C)</f>
        <v>South</v>
      </c>
      <c r="O1609">
        <f>_xlfn.XLOOKUP(D1609, Products!A:A, Products!D:D)</f>
        <v>1626</v>
      </c>
      <c r="P1609">
        <f>_xlfn.XLOOKUP(D1609, Products!A:A, Products!E:E)</f>
        <v>3020</v>
      </c>
    </row>
    <row r="1610" spans="1:16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 t="shared" si="25"/>
        <v>Bengaluru</v>
      </c>
      <c r="M1610" t="str">
        <f>_xlfn.XLOOKUP(D1610, Products!A:A, Products!C:C)</f>
        <v>Electronics</v>
      </c>
      <c r="N1610" t="str">
        <f>_xlfn.XLOOKUP(E436, Sales_Reps!A:A, Sales_Reps!C:C)</f>
        <v>North</v>
      </c>
      <c r="O1610">
        <f>_xlfn.XLOOKUP(D1610, Products!A:A, Products!D:D)</f>
        <v>1149</v>
      </c>
      <c r="P1610">
        <f>_xlfn.XLOOKUP(D1610, Products!A:A, Products!E:E)</f>
        <v>2640</v>
      </c>
    </row>
    <row r="1611" spans="1:16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 t="shared" si="25"/>
        <v>Bengaluru</v>
      </c>
      <c r="M1611" t="str">
        <f>_xlfn.XLOOKUP(D1611, Products!A:A, Products!C:C)</f>
        <v>Grocery</v>
      </c>
      <c r="N1611" t="str">
        <f>_xlfn.XLOOKUP(E437, Sales_Reps!A:A, Sales_Reps!C:C)</f>
        <v>South</v>
      </c>
      <c r="O1611">
        <f>_xlfn.XLOOKUP(D1611, Products!A:A, Products!D:D)</f>
        <v>1203</v>
      </c>
      <c r="P1611">
        <f>_xlfn.XLOOKUP(D1611, Products!A:A, Products!E:E)</f>
        <v>2270</v>
      </c>
    </row>
    <row r="1612" spans="1:16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 t="shared" si="25"/>
        <v>Chennai</v>
      </c>
      <c r="M1612" t="str">
        <f>_xlfn.XLOOKUP(D1612, Products!A:A, Products!C:C)</f>
        <v>Grocery</v>
      </c>
      <c r="N1612" t="str">
        <f>_xlfn.XLOOKUP(E438, Sales_Reps!A:A, Sales_Reps!C:C)</f>
        <v>West</v>
      </c>
      <c r="O1612">
        <f>_xlfn.XLOOKUP(D1612, Products!A:A, Products!D:D)</f>
        <v>1435</v>
      </c>
      <c r="P1612">
        <f>_xlfn.XLOOKUP(D1612, Products!A:A, Products!E:E)</f>
        <v>2760</v>
      </c>
    </row>
    <row r="1613" spans="1:16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 t="shared" si="25"/>
        <v>Hyderabad</v>
      </c>
      <c r="M1613" t="str">
        <f>_xlfn.XLOOKUP(D1613, Products!A:A, Products!C:C)</f>
        <v>Apparel</v>
      </c>
      <c r="N1613" t="str">
        <f>_xlfn.XLOOKUP(E439, Sales_Reps!A:A, Sales_Reps!C:C)</f>
        <v>South</v>
      </c>
      <c r="O1613">
        <f>_xlfn.XLOOKUP(D1613, Products!A:A, Products!D:D)</f>
        <v>2509</v>
      </c>
      <c r="P1613">
        <f>_xlfn.XLOOKUP(D1613, Products!A:A, Products!E:E)</f>
        <v>3620</v>
      </c>
    </row>
    <row r="1614" spans="1:16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 t="shared" si="25"/>
        <v>Pune</v>
      </c>
      <c r="M1614" t="str">
        <f>_xlfn.XLOOKUP(D1614, Products!A:A, Products!C:C)</f>
        <v>Beauty</v>
      </c>
      <c r="N1614" t="str">
        <f>_xlfn.XLOOKUP(E440, Sales_Reps!A:A, Sales_Reps!C:C)</f>
        <v>East</v>
      </c>
      <c r="O1614">
        <f>_xlfn.XLOOKUP(D1614, Products!A:A, Products!D:D)</f>
        <v>1219</v>
      </c>
      <c r="P1614">
        <f>_xlfn.XLOOKUP(D1614, Products!A:A, Products!E:E)</f>
        <v>2290</v>
      </c>
    </row>
    <row r="1615" spans="1:16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 t="shared" si="25"/>
        <v>Bengaluru</v>
      </c>
      <c r="M1615" t="str">
        <f>_xlfn.XLOOKUP(D1615, Products!A:A, Products!C:C)</f>
        <v>Beauty</v>
      </c>
      <c r="N1615" t="str">
        <f>_xlfn.XLOOKUP(E441, Sales_Reps!A:A, Sales_Reps!C:C)</f>
        <v>West</v>
      </c>
      <c r="O1615">
        <f>_xlfn.XLOOKUP(D1615, Products!A:A, Products!D:D)</f>
        <v>1222</v>
      </c>
      <c r="P1615">
        <f>_xlfn.XLOOKUP(D1615, Products!A:A, Products!E:E)</f>
        <v>1650</v>
      </c>
    </row>
    <row r="1616" spans="1:16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 t="shared" si="25"/>
        <v>Mumbai</v>
      </c>
      <c r="M1616" t="str">
        <f>_xlfn.XLOOKUP(D1616, Products!A:A, Products!C:C)</f>
        <v>Electronics</v>
      </c>
      <c r="N1616" t="str">
        <f>_xlfn.XLOOKUP(E442, Sales_Reps!A:A, Sales_Reps!C:C)</f>
        <v>North</v>
      </c>
      <c r="O1616">
        <f>_xlfn.XLOOKUP(D1616, Products!A:A, Products!D:D)</f>
        <v>2405</v>
      </c>
      <c r="P1616">
        <f>_xlfn.XLOOKUP(D1616, Products!A:A, Products!E:E)</f>
        <v>5330</v>
      </c>
    </row>
    <row r="1617" spans="1:16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 t="shared" si="25"/>
        <v>Mumbai</v>
      </c>
      <c r="M1617" t="str">
        <f>_xlfn.XLOOKUP(D1617, Products!A:A, Products!C:C)</f>
        <v>Home</v>
      </c>
      <c r="N1617" t="str">
        <f>_xlfn.XLOOKUP(E443, Sales_Reps!A:A, Sales_Reps!C:C)</f>
        <v>North</v>
      </c>
      <c r="O1617">
        <f>_xlfn.XLOOKUP(D1617, Products!A:A, Products!D:D)</f>
        <v>519</v>
      </c>
      <c r="P1617">
        <f>_xlfn.XLOOKUP(D1617, Products!A:A, Products!E:E)</f>
        <v>1080</v>
      </c>
    </row>
    <row r="1618" spans="1:16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 t="shared" si="25"/>
        <v>Delhi</v>
      </c>
      <c r="M1618" t="str">
        <f>_xlfn.XLOOKUP(D1618, Products!A:A, Products!C:C)</f>
        <v>Electronics</v>
      </c>
      <c r="N1618" t="str">
        <f>_xlfn.XLOOKUP(E444, Sales_Reps!A:A, Sales_Reps!C:C)</f>
        <v>South</v>
      </c>
      <c r="O1618">
        <f>_xlfn.XLOOKUP(D1618, Products!A:A, Products!D:D)</f>
        <v>517</v>
      </c>
      <c r="P1618">
        <f>_xlfn.XLOOKUP(D1618, Products!A:A, Products!E:E)</f>
        <v>1220</v>
      </c>
    </row>
    <row r="1619" spans="1:16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 t="shared" si="25"/>
        <v>Hyderabad</v>
      </c>
      <c r="M1619" t="str">
        <f>_xlfn.XLOOKUP(D1619, Products!A:A, Products!C:C)</f>
        <v>Home</v>
      </c>
      <c r="N1619" t="str">
        <f>_xlfn.XLOOKUP(E445, Sales_Reps!A:A, Sales_Reps!C:C)</f>
        <v>East</v>
      </c>
      <c r="O1619">
        <f>_xlfn.XLOOKUP(D1619, Products!A:A, Products!D:D)</f>
        <v>329</v>
      </c>
      <c r="P1619">
        <f>_xlfn.XLOOKUP(D1619, Products!A:A, Products!E:E)</f>
        <v>660</v>
      </c>
    </row>
    <row r="1620" spans="1:16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 t="shared" si="25"/>
        <v>Pune</v>
      </c>
      <c r="M1620" t="str">
        <f>_xlfn.XLOOKUP(D1620, Products!A:A, Products!C:C)</f>
        <v>Home</v>
      </c>
      <c r="N1620" t="str">
        <f>_xlfn.XLOOKUP(E446, Sales_Reps!A:A, Sales_Reps!C:C)</f>
        <v>North</v>
      </c>
      <c r="O1620">
        <f>_xlfn.XLOOKUP(D1620, Products!A:A, Products!D:D)</f>
        <v>519</v>
      </c>
      <c r="P1620">
        <f>_xlfn.XLOOKUP(D1620, Products!A:A, Products!E:E)</f>
        <v>1080</v>
      </c>
    </row>
    <row r="1621" spans="1:16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 t="shared" si="25"/>
        <v>Chennai</v>
      </c>
      <c r="M1621" t="str">
        <f>_xlfn.XLOOKUP(D1621, Products!A:A, Products!C:C)</f>
        <v>Grocery</v>
      </c>
      <c r="N1621" t="str">
        <f>_xlfn.XLOOKUP(E447, Sales_Reps!A:A, Sales_Reps!C:C)</f>
        <v>East</v>
      </c>
      <c r="O1621">
        <f>_xlfn.XLOOKUP(D1621, Products!A:A, Products!D:D)</f>
        <v>1412</v>
      </c>
      <c r="P1621">
        <f>_xlfn.XLOOKUP(D1621, Products!A:A, Products!E:E)</f>
        <v>2270</v>
      </c>
    </row>
    <row r="1622" spans="1:16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 t="shared" si="25"/>
        <v>Delhi</v>
      </c>
      <c r="M1622" t="str">
        <f>_xlfn.XLOOKUP(D1622, Products!A:A, Products!C:C)</f>
        <v>Home</v>
      </c>
      <c r="N1622" t="str">
        <f>_xlfn.XLOOKUP(E448, Sales_Reps!A:A, Sales_Reps!C:C)</f>
        <v>South</v>
      </c>
      <c r="O1622">
        <f>_xlfn.XLOOKUP(D1622, Products!A:A, Products!D:D)</f>
        <v>288</v>
      </c>
      <c r="P1622">
        <f>_xlfn.XLOOKUP(D1622, Products!A:A, Products!E:E)</f>
        <v>370</v>
      </c>
    </row>
    <row r="1623" spans="1:16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 t="shared" si="25"/>
        <v>Mumbai</v>
      </c>
      <c r="M1623" t="str">
        <f>_xlfn.XLOOKUP(D1623, Products!A:A, Products!C:C)</f>
        <v>Grocery</v>
      </c>
      <c r="N1623" t="str">
        <f>_xlfn.XLOOKUP(E449, Sales_Reps!A:A, Sales_Reps!C:C)</f>
        <v>East</v>
      </c>
      <c r="O1623">
        <f>_xlfn.XLOOKUP(D1623, Products!A:A, Products!D:D)</f>
        <v>434</v>
      </c>
      <c r="P1623">
        <f>_xlfn.XLOOKUP(D1623, Products!A:A, Products!E:E)</f>
        <v>970</v>
      </c>
    </row>
    <row r="1624" spans="1:16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 t="shared" si="25"/>
        <v>Pune</v>
      </c>
      <c r="M1624" t="str">
        <f>_xlfn.XLOOKUP(D1624, Products!A:A, Products!C:C)</f>
        <v>Apparel</v>
      </c>
      <c r="N1624" t="str">
        <f>_xlfn.XLOOKUP(E450, Sales_Reps!A:A, Sales_Reps!C:C)</f>
        <v>South</v>
      </c>
      <c r="O1624">
        <f>_xlfn.XLOOKUP(D1624, Products!A:A, Products!D:D)</f>
        <v>396</v>
      </c>
      <c r="P1624">
        <f>_xlfn.XLOOKUP(D1624, Products!A:A, Products!E:E)</f>
        <v>620</v>
      </c>
    </row>
    <row r="1625" spans="1:16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 t="shared" si="25"/>
        <v>Mumbai</v>
      </c>
      <c r="M1625" t="str">
        <f>_xlfn.XLOOKUP(D1625, Products!A:A, Products!C:C)</f>
        <v>Grocery</v>
      </c>
      <c r="N1625" t="str">
        <f>_xlfn.XLOOKUP(E451, Sales_Reps!A:A, Sales_Reps!C:C)</f>
        <v>East</v>
      </c>
      <c r="O1625">
        <f>_xlfn.XLOOKUP(D1625, Products!A:A, Products!D:D)</f>
        <v>2214</v>
      </c>
      <c r="P1625">
        <f>_xlfn.XLOOKUP(D1625, Products!A:A, Products!E:E)</f>
        <v>3660</v>
      </c>
    </row>
    <row r="1626" spans="1:16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 t="shared" si="25"/>
        <v>Delhi</v>
      </c>
      <c r="M1626" t="str">
        <f>_xlfn.XLOOKUP(D1626, Products!A:A, Products!C:C)</f>
        <v>Grocery</v>
      </c>
      <c r="N1626" t="str">
        <f>_xlfn.XLOOKUP(E452, Sales_Reps!A:A, Sales_Reps!C:C)</f>
        <v>North</v>
      </c>
      <c r="O1626">
        <f>_xlfn.XLOOKUP(D1626, Products!A:A, Products!D:D)</f>
        <v>1010</v>
      </c>
      <c r="P1626">
        <f>_xlfn.XLOOKUP(D1626, Products!A:A, Products!E:E)</f>
        <v>2210</v>
      </c>
    </row>
    <row r="1627" spans="1:16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 t="shared" si="25"/>
        <v>Delhi</v>
      </c>
      <c r="M1627" t="str">
        <f>_xlfn.XLOOKUP(D1627, Products!A:A, Products!C:C)</f>
        <v>Sports</v>
      </c>
      <c r="N1627" t="str">
        <f>_xlfn.XLOOKUP(E453, Sales_Reps!A:A, Sales_Reps!C:C)</f>
        <v>North</v>
      </c>
      <c r="O1627">
        <f>_xlfn.XLOOKUP(D1627, Products!A:A, Products!D:D)</f>
        <v>1860</v>
      </c>
      <c r="P1627">
        <f>_xlfn.XLOOKUP(D1627, Products!A:A, Products!E:E)</f>
        <v>3780</v>
      </c>
    </row>
    <row r="1628" spans="1:16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 t="shared" si="25"/>
        <v>Delhi</v>
      </c>
      <c r="M1628" t="str">
        <f>_xlfn.XLOOKUP(D1628, Products!A:A, Products!C:C)</f>
        <v>Electronics</v>
      </c>
      <c r="N1628" t="str">
        <f>_xlfn.XLOOKUP(E454, Sales_Reps!A:A, Sales_Reps!C:C)</f>
        <v>North</v>
      </c>
      <c r="O1628">
        <f>_xlfn.XLOOKUP(D1628, Products!A:A, Products!D:D)</f>
        <v>1052</v>
      </c>
      <c r="P1628">
        <f>_xlfn.XLOOKUP(D1628, Products!A:A, Products!E:E)</f>
        <v>2600</v>
      </c>
    </row>
    <row r="1629" spans="1:16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 t="shared" si="25"/>
        <v>Mumbai</v>
      </c>
      <c r="M1629" t="str">
        <f>_xlfn.XLOOKUP(D1629, Products!A:A, Products!C:C)</f>
        <v>Grocery</v>
      </c>
      <c r="N1629" t="str">
        <f>_xlfn.XLOOKUP(E455, Sales_Reps!A:A, Sales_Reps!C:C)</f>
        <v>North</v>
      </c>
      <c r="O1629">
        <f>_xlfn.XLOOKUP(D1629, Products!A:A, Products!D:D)</f>
        <v>2436</v>
      </c>
      <c r="P1629">
        <f>_xlfn.XLOOKUP(D1629, Products!A:A, Products!E:E)</f>
        <v>3780</v>
      </c>
    </row>
    <row r="1630" spans="1:16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 t="shared" si="25"/>
        <v>Bengaluru</v>
      </c>
      <c r="M1630" t="str">
        <f>_xlfn.XLOOKUP(D1630, Products!A:A, Products!C:C)</f>
        <v>Electronics</v>
      </c>
      <c r="N1630" t="str">
        <f>_xlfn.XLOOKUP(E456, Sales_Reps!A:A, Sales_Reps!C:C)</f>
        <v>South</v>
      </c>
      <c r="O1630">
        <f>_xlfn.XLOOKUP(D1630, Products!A:A, Products!D:D)</f>
        <v>1149</v>
      </c>
      <c r="P1630">
        <f>_xlfn.XLOOKUP(D1630, Products!A:A, Products!E:E)</f>
        <v>2640</v>
      </c>
    </row>
    <row r="1631" spans="1:16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 t="shared" si="25"/>
        <v>Bengaluru</v>
      </c>
      <c r="M1631" t="str">
        <f>_xlfn.XLOOKUP(D1631, Products!A:A, Products!C:C)</f>
        <v>Home</v>
      </c>
      <c r="N1631" t="str">
        <f>_xlfn.XLOOKUP(E457, Sales_Reps!A:A, Sales_Reps!C:C)</f>
        <v>East</v>
      </c>
      <c r="O1631">
        <f>_xlfn.XLOOKUP(D1631, Products!A:A, Products!D:D)</f>
        <v>464</v>
      </c>
      <c r="P1631">
        <f>_xlfn.XLOOKUP(D1631, Products!A:A, Products!E:E)</f>
        <v>1090</v>
      </c>
    </row>
    <row r="1632" spans="1:16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 t="shared" si="25"/>
        <v>Chennai</v>
      </c>
      <c r="M1632" t="str">
        <f>_xlfn.XLOOKUP(D1632, Products!A:A, Products!C:C)</f>
        <v>Apparel</v>
      </c>
      <c r="N1632" t="str">
        <f>_xlfn.XLOOKUP(E458, Sales_Reps!A:A, Sales_Reps!C:C)</f>
        <v>East</v>
      </c>
      <c r="O1632">
        <f>_xlfn.XLOOKUP(D1632, Products!A:A, Products!D:D)</f>
        <v>1748</v>
      </c>
      <c r="P1632">
        <f>_xlfn.XLOOKUP(D1632, Products!A:A, Products!E:E)</f>
        <v>3450</v>
      </c>
    </row>
    <row r="1633" spans="1:16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 t="shared" si="25"/>
        <v>Pune</v>
      </c>
      <c r="M1633" t="str">
        <f>_xlfn.XLOOKUP(D1633, Products!A:A, Products!C:C)</f>
        <v>Beauty</v>
      </c>
      <c r="N1633" t="str">
        <f>_xlfn.XLOOKUP(E459, Sales_Reps!A:A, Sales_Reps!C:C)</f>
        <v>East</v>
      </c>
      <c r="O1633">
        <f>_xlfn.XLOOKUP(D1633, Products!A:A, Products!D:D)</f>
        <v>675</v>
      </c>
      <c r="P1633">
        <f>_xlfn.XLOOKUP(D1633, Products!A:A, Products!E:E)</f>
        <v>960</v>
      </c>
    </row>
    <row r="1634" spans="1:16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 t="shared" si="25"/>
        <v>Pune</v>
      </c>
      <c r="M1634" t="str">
        <f>_xlfn.XLOOKUP(D1634, Products!A:A, Products!C:C)</f>
        <v>Grocery</v>
      </c>
      <c r="N1634" t="str">
        <f>_xlfn.XLOOKUP(E460, Sales_Reps!A:A, Sales_Reps!C:C)</f>
        <v>North</v>
      </c>
      <c r="O1634">
        <f>_xlfn.XLOOKUP(D1634, Products!A:A, Products!D:D)</f>
        <v>2214</v>
      </c>
      <c r="P1634">
        <f>_xlfn.XLOOKUP(D1634, Products!A:A, Products!E:E)</f>
        <v>3660</v>
      </c>
    </row>
    <row r="1635" spans="1:16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 t="shared" si="25"/>
        <v>Delhi</v>
      </c>
      <c r="M1635" t="str">
        <f>_xlfn.XLOOKUP(D1635, Products!A:A, Products!C:C)</f>
        <v>Home</v>
      </c>
      <c r="N1635" t="str">
        <f>_xlfn.XLOOKUP(E461, Sales_Reps!A:A, Sales_Reps!C:C)</f>
        <v>East</v>
      </c>
      <c r="O1635">
        <f>_xlfn.XLOOKUP(D1635, Products!A:A, Products!D:D)</f>
        <v>2135</v>
      </c>
      <c r="P1635">
        <f>_xlfn.XLOOKUP(D1635, Products!A:A, Products!E:E)</f>
        <v>3730</v>
      </c>
    </row>
    <row r="1636" spans="1:16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 t="shared" si="25"/>
        <v>Mumbai</v>
      </c>
      <c r="M1636" t="str">
        <f>_xlfn.XLOOKUP(D1636, Products!A:A, Products!C:C)</f>
        <v>Grocery</v>
      </c>
      <c r="N1636" t="str">
        <f>_xlfn.XLOOKUP(E462, Sales_Reps!A:A, Sales_Reps!C:C)</f>
        <v>South</v>
      </c>
      <c r="O1636">
        <f>_xlfn.XLOOKUP(D1636, Products!A:A, Products!D:D)</f>
        <v>2027</v>
      </c>
      <c r="P1636">
        <f>_xlfn.XLOOKUP(D1636, Products!A:A, Products!E:E)</f>
        <v>4070</v>
      </c>
    </row>
    <row r="1637" spans="1:16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 t="shared" si="25"/>
        <v>Mumbai</v>
      </c>
      <c r="M1637" t="str">
        <f>_xlfn.XLOOKUP(D1637, Products!A:A, Products!C:C)</f>
        <v>Electronics</v>
      </c>
      <c r="N1637" t="str">
        <f>_xlfn.XLOOKUP(E463, Sales_Reps!A:A, Sales_Reps!C:C)</f>
        <v>East</v>
      </c>
      <c r="O1637">
        <f>_xlfn.XLOOKUP(D1637, Products!A:A, Products!D:D)</f>
        <v>1259</v>
      </c>
      <c r="P1637">
        <f>_xlfn.XLOOKUP(D1637, Products!A:A, Products!E:E)</f>
        <v>2660</v>
      </c>
    </row>
    <row r="1638" spans="1:16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 t="shared" si="25"/>
        <v>Pune</v>
      </c>
      <c r="M1638" t="str">
        <f>_xlfn.XLOOKUP(D1638, Products!A:A, Products!C:C)</f>
        <v>Home</v>
      </c>
      <c r="N1638" t="str">
        <f>_xlfn.XLOOKUP(E464, Sales_Reps!A:A, Sales_Reps!C:C)</f>
        <v>West</v>
      </c>
      <c r="O1638">
        <f>_xlfn.XLOOKUP(D1638, Products!A:A, Products!D:D)</f>
        <v>1143</v>
      </c>
      <c r="P1638">
        <f>_xlfn.XLOOKUP(D1638, Products!A:A, Products!E:E)</f>
        <v>2030</v>
      </c>
    </row>
    <row r="1639" spans="1:16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 t="shared" si="25"/>
        <v>Chennai</v>
      </c>
      <c r="M1639" t="str">
        <f>_xlfn.XLOOKUP(D1639, Products!A:A, Products!C:C)</f>
        <v>Grocery</v>
      </c>
      <c r="N1639" t="str">
        <f>_xlfn.XLOOKUP(E465, Sales_Reps!A:A, Sales_Reps!C:C)</f>
        <v>East</v>
      </c>
      <c r="O1639">
        <f>_xlfn.XLOOKUP(D1639, Products!A:A, Products!D:D)</f>
        <v>2214</v>
      </c>
      <c r="P1639">
        <f>_xlfn.XLOOKUP(D1639, Products!A:A, Products!E:E)</f>
        <v>3660</v>
      </c>
    </row>
    <row r="1640" spans="1:16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 t="shared" si="25"/>
        <v>Bengaluru</v>
      </c>
      <c r="M1640" t="str">
        <f>_xlfn.XLOOKUP(D1640, Products!A:A, Products!C:C)</f>
        <v>Electronics</v>
      </c>
      <c r="N1640" t="str">
        <f>_xlfn.XLOOKUP(E466, Sales_Reps!A:A, Sales_Reps!C:C)</f>
        <v>North</v>
      </c>
      <c r="O1640">
        <f>_xlfn.XLOOKUP(D1640, Products!A:A, Products!D:D)</f>
        <v>1259</v>
      </c>
      <c r="P1640">
        <f>_xlfn.XLOOKUP(D1640, Products!A:A, Products!E:E)</f>
        <v>2660</v>
      </c>
    </row>
    <row r="1641" spans="1:16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 t="shared" si="25"/>
        <v>Hyderabad</v>
      </c>
      <c r="M1641" t="str">
        <f>_xlfn.XLOOKUP(D1641, Products!A:A, Products!C:C)</f>
        <v>Beauty</v>
      </c>
      <c r="N1641" t="str">
        <f>_xlfn.XLOOKUP(E467, Sales_Reps!A:A, Sales_Reps!C:C)</f>
        <v>South</v>
      </c>
      <c r="O1641">
        <f>_xlfn.XLOOKUP(D1641, Products!A:A, Products!D:D)</f>
        <v>2768</v>
      </c>
      <c r="P1641">
        <f>_xlfn.XLOOKUP(D1641, Products!A:A, Products!E:E)</f>
        <v>4880</v>
      </c>
    </row>
    <row r="1642" spans="1:16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 t="shared" si="25"/>
        <v>Pune</v>
      </c>
      <c r="M1642" t="str">
        <f>_xlfn.XLOOKUP(D1642, Products!A:A, Products!C:C)</f>
        <v>Apparel</v>
      </c>
      <c r="N1642" t="str">
        <f>_xlfn.XLOOKUP(E468, Sales_Reps!A:A, Sales_Reps!C:C)</f>
        <v>South</v>
      </c>
      <c r="O1642">
        <f>_xlfn.XLOOKUP(D1642, Products!A:A, Products!D:D)</f>
        <v>1748</v>
      </c>
      <c r="P1642">
        <f>_xlfn.XLOOKUP(D1642, Products!A:A, Products!E:E)</f>
        <v>3450</v>
      </c>
    </row>
    <row r="1643" spans="1:16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 t="shared" si="25"/>
        <v>Pune</v>
      </c>
      <c r="M1643" t="str">
        <f>_xlfn.XLOOKUP(D1643, Products!A:A, Products!C:C)</f>
        <v>Beauty</v>
      </c>
      <c r="N1643" t="str">
        <f>_xlfn.XLOOKUP(E469, Sales_Reps!A:A, Sales_Reps!C:C)</f>
        <v>North</v>
      </c>
      <c r="O1643">
        <f>_xlfn.XLOOKUP(D1643, Products!A:A, Products!D:D)</f>
        <v>1626</v>
      </c>
      <c r="P1643">
        <f>_xlfn.XLOOKUP(D1643, Products!A:A, Products!E:E)</f>
        <v>3020</v>
      </c>
    </row>
    <row r="1644" spans="1:16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 t="shared" si="25"/>
        <v>Delhi</v>
      </c>
      <c r="M1644" t="str">
        <f>_xlfn.XLOOKUP(D1644, Products!A:A, Products!C:C)</f>
        <v>Sports</v>
      </c>
      <c r="N1644" t="str">
        <f>_xlfn.XLOOKUP(E470, Sales_Reps!A:A, Sales_Reps!C:C)</f>
        <v>West</v>
      </c>
      <c r="O1644">
        <f>_xlfn.XLOOKUP(D1644, Products!A:A, Products!D:D)</f>
        <v>2827</v>
      </c>
      <c r="P1644">
        <f>_xlfn.XLOOKUP(D1644, Products!A:A, Products!E:E)</f>
        <v>6940</v>
      </c>
    </row>
    <row r="1645" spans="1:16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 t="shared" si="25"/>
        <v>Chennai</v>
      </c>
      <c r="M1645" t="str">
        <f>_xlfn.XLOOKUP(D1645, Products!A:A, Products!C:C)</f>
        <v>Grocery</v>
      </c>
      <c r="N1645" t="str">
        <f>_xlfn.XLOOKUP(E471, Sales_Reps!A:A, Sales_Reps!C:C)</f>
        <v>South</v>
      </c>
      <c r="O1645">
        <f>_xlfn.XLOOKUP(D1645, Products!A:A, Products!D:D)</f>
        <v>1435</v>
      </c>
      <c r="P1645">
        <f>_xlfn.XLOOKUP(D1645, Products!A:A, Products!E:E)</f>
        <v>2760</v>
      </c>
    </row>
    <row r="1646" spans="1:16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 t="shared" si="25"/>
        <v>Pune</v>
      </c>
      <c r="M1646" t="str">
        <f>_xlfn.XLOOKUP(D1646, Products!A:A, Products!C:C)</f>
        <v>Beauty</v>
      </c>
      <c r="N1646" t="str">
        <f>_xlfn.XLOOKUP(E472, Sales_Reps!A:A, Sales_Reps!C:C)</f>
        <v>North</v>
      </c>
      <c r="O1646">
        <f>_xlfn.XLOOKUP(D1646, Products!A:A, Products!D:D)</f>
        <v>675</v>
      </c>
      <c r="P1646">
        <f>_xlfn.XLOOKUP(D1646, Products!A:A, Products!E:E)</f>
        <v>960</v>
      </c>
    </row>
    <row r="1647" spans="1:16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 t="shared" si="25"/>
        <v>Bengaluru</v>
      </c>
      <c r="M1647" t="str">
        <f>_xlfn.XLOOKUP(D1647, Products!A:A, Products!C:C)</f>
        <v>Beauty</v>
      </c>
      <c r="N1647" t="str">
        <f>_xlfn.XLOOKUP(E473, Sales_Reps!A:A, Sales_Reps!C:C)</f>
        <v>East</v>
      </c>
      <c r="O1647">
        <f>_xlfn.XLOOKUP(D1647, Products!A:A, Products!D:D)</f>
        <v>675</v>
      </c>
      <c r="P1647">
        <f>_xlfn.XLOOKUP(D1647, Products!A:A, Products!E:E)</f>
        <v>960</v>
      </c>
    </row>
    <row r="1648" spans="1:16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 t="shared" si="25"/>
        <v>Bengaluru</v>
      </c>
      <c r="M1648" t="str">
        <f>_xlfn.XLOOKUP(D1648, Products!A:A, Products!C:C)</f>
        <v>Grocery</v>
      </c>
      <c r="N1648" t="str">
        <f>_xlfn.XLOOKUP(E474, Sales_Reps!A:A, Sales_Reps!C:C)</f>
        <v>East</v>
      </c>
      <c r="O1648">
        <f>_xlfn.XLOOKUP(D1648, Products!A:A, Products!D:D)</f>
        <v>434</v>
      </c>
      <c r="P1648">
        <f>_xlfn.XLOOKUP(D1648, Products!A:A, Products!E:E)</f>
        <v>970</v>
      </c>
    </row>
    <row r="1649" spans="1:16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 t="shared" si="25"/>
        <v>Mumbai</v>
      </c>
      <c r="M1649" t="str">
        <f>_xlfn.XLOOKUP(D1649, Products!A:A, Products!C:C)</f>
        <v>Beauty</v>
      </c>
      <c r="N1649" t="str">
        <f>_xlfn.XLOOKUP(E475, Sales_Reps!A:A, Sales_Reps!C:C)</f>
        <v>East</v>
      </c>
      <c r="O1649">
        <f>_xlfn.XLOOKUP(D1649, Products!A:A, Products!D:D)</f>
        <v>2617</v>
      </c>
      <c r="P1649">
        <f>_xlfn.XLOOKUP(D1649, Products!A:A, Products!E:E)</f>
        <v>6080</v>
      </c>
    </row>
    <row r="1650" spans="1:16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 t="shared" si="25"/>
        <v>Delhi</v>
      </c>
      <c r="M1650" t="str">
        <f>_xlfn.XLOOKUP(D1650, Products!A:A, Products!C:C)</f>
        <v>Grocery</v>
      </c>
      <c r="N1650" t="str">
        <f>_xlfn.XLOOKUP(E476, Sales_Reps!A:A, Sales_Reps!C:C)</f>
        <v>East</v>
      </c>
      <c r="O1650">
        <f>_xlfn.XLOOKUP(D1650, Products!A:A, Products!D:D)</f>
        <v>2214</v>
      </c>
      <c r="P1650">
        <f>_xlfn.XLOOKUP(D1650, Products!A:A, Products!E:E)</f>
        <v>3660</v>
      </c>
    </row>
    <row r="1651" spans="1:16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 t="shared" si="25"/>
        <v>Chennai</v>
      </c>
      <c r="M1651" t="str">
        <f>_xlfn.XLOOKUP(D1651, Products!A:A, Products!C:C)</f>
        <v>Home</v>
      </c>
      <c r="N1651" t="str">
        <f>_xlfn.XLOOKUP(E477, Sales_Reps!A:A, Sales_Reps!C:C)</f>
        <v>North</v>
      </c>
      <c r="O1651">
        <f>_xlfn.XLOOKUP(D1651, Products!A:A, Products!D:D)</f>
        <v>2135</v>
      </c>
      <c r="P1651">
        <f>_xlfn.XLOOKUP(D1651, Products!A:A, Products!E:E)</f>
        <v>3730</v>
      </c>
    </row>
    <row r="1652" spans="1:16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 t="shared" si="25"/>
        <v>Delhi</v>
      </c>
      <c r="M1652" t="str">
        <f>_xlfn.XLOOKUP(D1652, Products!A:A, Products!C:C)</f>
        <v>Electronics</v>
      </c>
      <c r="N1652" t="str">
        <f>_xlfn.XLOOKUP(E478, Sales_Reps!A:A, Sales_Reps!C:C)</f>
        <v>North</v>
      </c>
      <c r="O1652">
        <f>_xlfn.XLOOKUP(D1652, Products!A:A, Products!D:D)</f>
        <v>1559</v>
      </c>
      <c r="P1652">
        <f>_xlfn.XLOOKUP(D1652, Products!A:A, Products!E:E)</f>
        <v>3870</v>
      </c>
    </row>
    <row r="1653" spans="1:16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 t="shared" si="25"/>
        <v>Bengaluru</v>
      </c>
      <c r="M1653" t="str">
        <f>_xlfn.XLOOKUP(D1653, Products!A:A, Products!C:C)</f>
        <v>Grocery</v>
      </c>
      <c r="N1653" t="str">
        <f>_xlfn.XLOOKUP(E479, Sales_Reps!A:A, Sales_Reps!C:C)</f>
        <v>West</v>
      </c>
      <c r="O1653">
        <f>_xlfn.XLOOKUP(D1653, Products!A:A, Products!D:D)</f>
        <v>1435</v>
      </c>
      <c r="P1653">
        <f>_xlfn.XLOOKUP(D1653, Products!A:A, Products!E:E)</f>
        <v>2760</v>
      </c>
    </row>
    <row r="1654" spans="1:16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 t="shared" si="25"/>
        <v>Hyderabad</v>
      </c>
      <c r="M1654" t="str">
        <f>_xlfn.XLOOKUP(D1654, Products!A:A, Products!C:C)</f>
        <v>Grocery</v>
      </c>
      <c r="N1654" t="str">
        <f>_xlfn.XLOOKUP(E480, Sales_Reps!A:A, Sales_Reps!C:C)</f>
        <v>East</v>
      </c>
      <c r="O1654">
        <f>_xlfn.XLOOKUP(D1654, Products!A:A, Products!D:D)</f>
        <v>1182</v>
      </c>
      <c r="P1654">
        <f>_xlfn.XLOOKUP(D1654, Products!A:A, Products!E:E)</f>
        <v>2380</v>
      </c>
    </row>
    <row r="1655" spans="1:16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 t="shared" si="25"/>
        <v>Mumbai</v>
      </c>
      <c r="M1655" t="str">
        <f>_xlfn.XLOOKUP(D1655, Products!A:A, Products!C:C)</f>
        <v>Beauty</v>
      </c>
      <c r="N1655" t="str">
        <f>_xlfn.XLOOKUP(E481, Sales_Reps!A:A, Sales_Reps!C:C)</f>
        <v>North</v>
      </c>
      <c r="O1655">
        <f>_xlfn.XLOOKUP(D1655, Products!A:A, Products!D:D)</f>
        <v>2617</v>
      </c>
      <c r="P1655">
        <f>_xlfn.XLOOKUP(D1655, Products!A:A, Products!E:E)</f>
        <v>6080</v>
      </c>
    </row>
    <row r="1656" spans="1:16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 t="shared" si="25"/>
        <v>Hyderabad</v>
      </c>
      <c r="M1656" t="str">
        <f>_xlfn.XLOOKUP(D1656, Products!A:A, Products!C:C)</f>
        <v>Apparel</v>
      </c>
      <c r="N1656" t="str">
        <f>_xlfn.XLOOKUP(E482, Sales_Reps!A:A, Sales_Reps!C:C)</f>
        <v>South</v>
      </c>
      <c r="O1656">
        <f>_xlfn.XLOOKUP(D1656, Products!A:A, Products!D:D)</f>
        <v>396</v>
      </c>
      <c r="P1656">
        <f>_xlfn.XLOOKUP(D1656, Products!A:A, Products!E:E)</f>
        <v>620</v>
      </c>
    </row>
    <row r="1657" spans="1:16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 t="shared" si="25"/>
        <v>Chennai</v>
      </c>
      <c r="M1657" t="str">
        <f>_xlfn.XLOOKUP(D1657, Products!A:A, Products!C:C)</f>
        <v>Electronics</v>
      </c>
      <c r="N1657" t="str">
        <f>_xlfn.XLOOKUP(E483, Sales_Reps!A:A, Sales_Reps!C:C)</f>
        <v>South</v>
      </c>
      <c r="O1657">
        <f>_xlfn.XLOOKUP(D1657, Products!A:A, Products!D:D)</f>
        <v>1559</v>
      </c>
      <c r="P1657">
        <f>_xlfn.XLOOKUP(D1657, Products!A:A, Products!E:E)</f>
        <v>3870</v>
      </c>
    </row>
    <row r="1658" spans="1:16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 t="shared" si="25"/>
        <v>Bengaluru</v>
      </c>
      <c r="M1658" t="str">
        <f>_xlfn.XLOOKUP(D1658, Products!A:A, Products!C:C)</f>
        <v>Electronics</v>
      </c>
      <c r="N1658" t="str">
        <f>_xlfn.XLOOKUP(E484, Sales_Reps!A:A, Sales_Reps!C:C)</f>
        <v>South</v>
      </c>
      <c r="O1658">
        <f>_xlfn.XLOOKUP(D1658, Products!A:A, Products!D:D)</f>
        <v>1665</v>
      </c>
      <c r="P1658">
        <f>_xlfn.XLOOKUP(D1658, Products!A:A, Products!E:E)</f>
        <v>3570</v>
      </c>
    </row>
    <row r="1659" spans="1:16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 t="shared" si="25"/>
        <v>Bengaluru</v>
      </c>
      <c r="M1659" t="str">
        <f>_xlfn.XLOOKUP(D1659, Products!A:A, Products!C:C)</f>
        <v>Grocery</v>
      </c>
      <c r="N1659" t="str">
        <f>_xlfn.XLOOKUP(E485, Sales_Reps!A:A, Sales_Reps!C:C)</f>
        <v>East</v>
      </c>
      <c r="O1659">
        <f>_xlfn.XLOOKUP(D1659, Products!A:A, Products!D:D)</f>
        <v>2027</v>
      </c>
      <c r="P1659">
        <f>_xlfn.XLOOKUP(D1659, Products!A:A, Products!E:E)</f>
        <v>4070</v>
      </c>
    </row>
    <row r="1660" spans="1:16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 t="shared" si="25"/>
        <v>Bengaluru</v>
      </c>
      <c r="M1660" t="str">
        <f>_xlfn.XLOOKUP(D1660, Products!A:A, Products!C:C)</f>
        <v>Apparel</v>
      </c>
      <c r="N1660" t="str">
        <f>_xlfn.XLOOKUP(E486, Sales_Reps!A:A, Sales_Reps!C:C)</f>
        <v>West</v>
      </c>
      <c r="O1660">
        <f>_xlfn.XLOOKUP(D1660, Products!A:A, Products!D:D)</f>
        <v>391</v>
      </c>
      <c r="P1660">
        <f>_xlfn.XLOOKUP(D1660, Products!A:A, Products!E:E)</f>
        <v>820</v>
      </c>
    </row>
    <row r="1661" spans="1:16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 t="shared" si="25"/>
        <v>Hyderabad</v>
      </c>
      <c r="M1661" t="str">
        <f>_xlfn.XLOOKUP(D1661, Products!A:A, Products!C:C)</f>
        <v>Beauty</v>
      </c>
      <c r="N1661" t="str">
        <f>_xlfn.XLOOKUP(E487, Sales_Reps!A:A, Sales_Reps!C:C)</f>
        <v>East</v>
      </c>
      <c r="O1661">
        <f>_xlfn.XLOOKUP(D1661, Products!A:A, Products!D:D)</f>
        <v>1626</v>
      </c>
      <c r="P1661">
        <f>_xlfn.XLOOKUP(D1661, Products!A:A, Products!E:E)</f>
        <v>3020</v>
      </c>
    </row>
    <row r="1662" spans="1:16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 t="shared" si="25"/>
        <v>Hyderabad</v>
      </c>
      <c r="M1662" t="str">
        <f>_xlfn.XLOOKUP(D1662, Products!A:A, Products!C:C)</f>
        <v>Apparel</v>
      </c>
      <c r="N1662" t="str">
        <f>_xlfn.XLOOKUP(E488, Sales_Reps!A:A, Sales_Reps!C:C)</f>
        <v>West</v>
      </c>
      <c r="O1662">
        <f>_xlfn.XLOOKUP(D1662, Products!A:A, Products!D:D)</f>
        <v>2629</v>
      </c>
      <c r="P1662">
        <f>_xlfn.XLOOKUP(D1662, Products!A:A, Products!E:E)</f>
        <v>3560</v>
      </c>
    </row>
    <row r="1663" spans="1:16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 t="shared" si="25"/>
        <v>Hyderabad</v>
      </c>
      <c r="M1663" t="str">
        <f>_xlfn.XLOOKUP(D1663, Products!A:A, Products!C:C)</f>
        <v>Beauty</v>
      </c>
      <c r="N1663" t="str">
        <f>_xlfn.XLOOKUP(E489, Sales_Reps!A:A, Sales_Reps!C:C)</f>
        <v>West</v>
      </c>
      <c r="O1663">
        <f>_xlfn.XLOOKUP(D1663, Products!A:A, Products!D:D)</f>
        <v>1728</v>
      </c>
      <c r="P1663">
        <f>_xlfn.XLOOKUP(D1663, Products!A:A, Products!E:E)</f>
        <v>3350</v>
      </c>
    </row>
    <row r="1664" spans="1:16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 t="shared" si="25"/>
        <v>Pune</v>
      </c>
      <c r="M1664" t="str">
        <f>_xlfn.XLOOKUP(D1664, Products!A:A, Products!C:C)</f>
        <v>Beauty</v>
      </c>
      <c r="N1664" t="str">
        <f>_xlfn.XLOOKUP(E490, Sales_Reps!A:A, Sales_Reps!C:C)</f>
        <v>East</v>
      </c>
      <c r="O1664">
        <f>_xlfn.XLOOKUP(D1664, Products!A:A, Products!D:D)</f>
        <v>1219</v>
      </c>
      <c r="P1664">
        <f>_xlfn.XLOOKUP(D1664, Products!A:A, Products!E:E)</f>
        <v>2290</v>
      </c>
    </row>
    <row r="1665" spans="1:16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 t="shared" si="25"/>
        <v>Mumbai</v>
      </c>
      <c r="M1665" t="str">
        <f>_xlfn.XLOOKUP(D1665, Products!A:A, Products!C:C)</f>
        <v>Grocery</v>
      </c>
      <c r="N1665" t="str">
        <f>_xlfn.XLOOKUP(E491, Sales_Reps!A:A, Sales_Reps!C:C)</f>
        <v>East</v>
      </c>
      <c r="O1665">
        <f>_xlfn.XLOOKUP(D1665, Products!A:A, Products!D:D)</f>
        <v>2214</v>
      </c>
      <c r="P1665">
        <f>_xlfn.XLOOKUP(D1665, Products!A:A, Products!E:E)</f>
        <v>3660</v>
      </c>
    </row>
    <row r="1666" spans="1:16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 t="shared" si="25"/>
        <v>Mumbai</v>
      </c>
      <c r="M1666" t="str">
        <f>_xlfn.XLOOKUP(D1666, Products!A:A, Products!C:C)</f>
        <v>Electronics</v>
      </c>
      <c r="N1666" t="str">
        <f>_xlfn.XLOOKUP(E492, Sales_Reps!A:A, Sales_Reps!C:C)</f>
        <v>North</v>
      </c>
      <c r="O1666">
        <f>_xlfn.XLOOKUP(D1666, Products!A:A, Products!D:D)</f>
        <v>1149</v>
      </c>
      <c r="P1666">
        <f>_xlfn.XLOOKUP(D1666, Products!A:A, Products!E:E)</f>
        <v>2640</v>
      </c>
    </row>
    <row r="1667" spans="1:16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 t="shared" ref="L1667:L1730" si="26">PROPER(TRIM(K1667))</f>
        <v>Pune</v>
      </c>
      <c r="M1667" t="str">
        <f>_xlfn.XLOOKUP(D1667, Products!A:A, Products!C:C)</f>
        <v>Home</v>
      </c>
      <c r="N1667" t="str">
        <f>_xlfn.XLOOKUP(E493, Sales_Reps!A:A, Sales_Reps!C:C)</f>
        <v>West</v>
      </c>
      <c r="O1667">
        <f>_xlfn.XLOOKUP(D1667, Products!A:A, Products!D:D)</f>
        <v>288</v>
      </c>
      <c r="P1667">
        <f>_xlfn.XLOOKUP(D1667, Products!A:A, Products!E:E)</f>
        <v>370</v>
      </c>
    </row>
    <row r="1668" spans="1:16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 t="shared" si="26"/>
        <v>Chennai</v>
      </c>
      <c r="M1668" t="str">
        <f>_xlfn.XLOOKUP(D1668, Products!A:A, Products!C:C)</f>
        <v>Grocery</v>
      </c>
      <c r="N1668" t="str">
        <f>_xlfn.XLOOKUP(E494, Sales_Reps!A:A, Sales_Reps!C:C)</f>
        <v>West</v>
      </c>
      <c r="O1668">
        <f>_xlfn.XLOOKUP(D1668, Products!A:A, Products!D:D)</f>
        <v>1203</v>
      </c>
      <c r="P1668">
        <f>_xlfn.XLOOKUP(D1668, Products!A:A, Products!E:E)</f>
        <v>2270</v>
      </c>
    </row>
    <row r="1669" spans="1:16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 t="shared" si="26"/>
        <v>Bengaluru</v>
      </c>
      <c r="M1669" t="str">
        <f>_xlfn.XLOOKUP(D1669, Products!A:A, Products!C:C)</f>
        <v>Home</v>
      </c>
      <c r="N1669" t="str">
        <f>_xlfn.XLOOKUP(E495, Sales_Reps!A:A, Sales_Reps!C:C)</f>
        <v>South</v>
      </c>
      <c r="O1669">
        <f>_xlfn.XLOOKUP(D1669, Products!A:A, Products!D:D)</f>
        <v>329</v>
      </c>
      <c r="P1669">
        <f>_xlfn.XLOOKUP(D1669, Products!A:A, Products!E:E)</f>
        <v>660</v>
      </c>
    </row>
    <row r="1670" spans="1:16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 t="shared" si="26"/>
        <v>Bengaluru</v>
      </c>
      <c r="M1670" t="str">
        <f>_xlfn.XLOOKUP(D1670, Products!A:A, Products!C:C)</f>
        <v>Sports</v>
      </c>
      <c r="N1670" t="str">
        <f>_xlfn.XLOOKUP(E496, Sales_Reps!A:A, Sales_Reps!C:C)</f>
        <v>South</v>
      </c>
      <c r="O1670">
        <f>_xlfn.XLOOKUP(D1670, Products!A:A, Products!D:D)</f>
        <v>705</v>
      </c>
      <c r="P1670">
        <f>_xlfn.XLOOKUP(D1670, Products!A:A, Products!E:E)</f>
        <v>960</v>
      </c>
    </row>
    <row r="1671" spans="1:16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 t="shared" si="26"/>
        <v>Hyderabad</v>
      </c>
      <c r="M1671" t="str">
        <f>_xlfn.XLOOKUP(D1671, Products!A:A, Products!C:C)</f>
        <v>Beauty</v>
      </c>
      <c r="N1671" t="str">
        <f>_xlfn.XLOOKUP(E497, Sales_Reps!A:A, Sales_Reps!C:C)</f>
        <v>North</v>
      </c>
      <c r="O1671">
        <f>_xlfn.XLOOKUP(D1671, Products!A:A, Products!D:D)</f>
        <v>2237</v>
      </c>
      <c r="P1671">
        <f>_xlfn.XLOOKUP(D1671, Products!A:A, Products!E:E)</f>
        <v>5100</v>
      </c>
    </row>
    <row r="1672" spans="1:16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 t="shared" si="26"/>
        <v>Pune</v>
      </c>
      <c r="M1672" t="str">
        <f>_xlfn.XLOOKUP(D1672, Products!A:A, Products!C:C)</f>
        <v>Apparel</v>
      </c>
      <c r="N1672" t="str">
        <f>_xlfn.XLOOKUP(E498, Sales_Reps!A:A, Sales_Reps!C:C)</f>
        <v>South</v>
      </c>
      <c r="O1672">
        <f>_xlfn.XLOOKUP(D1672, Products!A:A, Products!D:D)</f>
        <v>1886</v>
      </c>
      <c r="P1672">
        <f>_xlfn.XLOOKUP(D1672, Products!A:A, Products!E:E)</f>
        <v>3160</v>
      </c>
    </row>
    <row r="1673" spans="1:16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 t="shared" si="26"/>
        <v>Bengaluru</v>
      </c>
      <c r="M1673" t="str">
        <f>_xlfn.XLOOKUP(D1673, Products!A:A, Products!C:C)</f>
        <v>Beauty</v>
      </c>
      <c r="N1673" t="str">
        <f>_xlfn.XLOOKUP(E499, Sales_Reps!A:A, Sales_Reps!C:C)</f>
        <v>East</v>
      </c>
      <c r="O1673">
        <f>_xlfn.XLOOKUP(D1673, Products!A:A, Products!D:D)</f>
        <v>647</v>
      </c>
      <c r="P1673">
        <f>_xlfn.XLOOKUP(D1673, Products!A:A, Products!E:E)</f>
        <v>1540</v>
      </c>
    </row>
    <row r="1674" spans="1:16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 t="shared" si="26"/>
        <v>Bengaluru</v>
      </c>
      <c r="M1674" t="str">
        <f>_xlfn.XLOOKUP(D1674, Products!A:A, Products!C:C)</f>
        <v>Beauty</v>
      </c>
      <c r="N1674" t="str">
        <f>_xlfn.XLOOKUP(E500, Sales_Reps!A:A, Sales_Reps!C:C)</f>
        <v>West</v>
      </c>
      <c r="O1674">
        <f>_xlfn.XLOOKUP(D1674, Products!A:A, Products!D:D)</f>
        <v>2420</v>
      </c>
      <c r="P1674">
        <f>_xlfn.XLOOKUP(D1674, Products!A:A, Products!E:E)</f>
        <v>3450</v>
      </c>
    </row>
    <row r="1675" spans="1:16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 t="shared" si="26"/>
        <v>Mumbai</v>
      </c>
      <c r="M1675" t="str">
        <f>_xlfn.XLOOKUP(D1675, Products!A:A, Products!C:C)</f>
        <v>Grocery</v>
      </c>
      <c r="N1675" t="str">
        <f>_xlfn.XLOOKUP(E501, Sales_Reps!A:A, Sales_Reps!C:C)</f>
        <v>South</v>
      </c>
      <c r="O1675">
        <f>_xlfn.XLOOKUP(D1675, Products!A:A, Products!D:D)</f>
        <v>1182</v>
      </c>
      <c r="P1675">
        <f>_xlfn.XLOOKUP(D1675, Products!A:A, Products!E:E)</f>
        <v>2380</v>
      </c>
    </row>
    <row r="1676" spans="1:16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 t="shared" si="26"/>
        <v>Pune</v>
      </c>
      <c r="M1676" t="str">
        <f>_xlfn.XLOOKUP(D1676, Products!A:A, Products!C:C)</f>
        <v>Home</v>
      </c>
      <c r="N1676" t="str">
        <f>_xlfn.XLOOKUP(E502, Sales_Reps!A:A, Sales_Reps!C:C)</f>
        <v>East</v>
      </c>
      <c r="O1676">
        <f>_xlfn.XLOOKUP(D1676, Products!A:A, Products!D:D)</f>
        <v>2135</v>
      </c>
      <c r="P1676">
        <f>_xlfn.XLOOKUP(D1676, Products!A:A, Products!E:E)</f>
        <v>3730</v>
      </c>
    </row>
    <row r="1677" spans="1:16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 t="shared" si="26"/>
        <v>Pune</v>
      </c>
      <c r="M1677" t="str">
        <f>_xlfn.XLOOKUP(D1677, Products!A:A, Products!C:C)</f>
        <v>Home</v>
      </c>
      <c r="N1677" t="str">
        <f>_xlfn.XLOOKUP(E503, Sales_Reps!A:A, Sales_Reps!C:C)</f>
        <v>North</v>
      </c>
      <c r="O1677">
        <f>_xlfn.XLOOKUP(D1677, Products!A:A, Products!D:D)</f>
        <v>1556</v>
      </c>
      <c r="P1677">
        <f>_xlfn.XLOOKUP(D1677, Products!A:A, Products!E:E)</f>
        <v>3250</v>
      </c>
    </row>
    <row r="1678" spans="1:16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 t="shared" si="26"/>
        <v>Pune</v>
      </c>
      <c r="M1678" t="str">
        <f>_xlfn.XLOOKUP(D1678, Products!A:A, Products!C:C)</f>
        <v>Sports</v>
      </c>
      <c r="N1678" t="str">
        <f>_xlfn.XLOOKUP(E504, Sales_Reps!A:A, Sales_Reps!C:C)</f>
        <v>South</v>
      </c>
      <c r="O1678">
        <f>_xlfn.XLOOKUP(D1678, Products!A:A, Products!D:D)</f>
        <v>302</v>
      </c>
      <c r="P1678">
        <f>_xlfn.XLOOKUP(D1678, Products!A:A, Products!E:E)</f>
        <v>470</v>
      </c>
    </row>
    <row r="1679" spans="1:16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 t="shared" si="26"/>
        <v>Bengaluru</v>
      </c>
      <c r="M1679" t="str">
        <f>_xlfn.XLOOKUP(D1679, Products!A:A, Products!C:C)</f>
        <v>Beauty</v>
      </c>
      <c r="N1679" t="str">
        <f>_xlfn.XLOOKUP(E505, Sales_Reps!A:A, Sales_Reps!C:C)</f>
        <v>West</v>
      </c>
      <c r="O1679">
        <f>_xlfn.XLOOKUP(D1679, Products!A:A, Products!D:D)</f>
        <v>1219</v>
      </c>
      <c r="P1679">
        <f>_xlfn.XLOOKUP(D1679, Products!A:A, Products!E:E)</f>
        <v>2290</v>
      </c>
    </row>
    <row r="1680" spans="1:16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 t="shared" si="26"/>
        <v>Hyderabad</v>
      </c>
      <c r="M1680" t="str">
        <f>_xlfn.XLOOKUP(D1680, Products!A:A, Products!C:C)</f>
        <v>Electronics</v>
      </c>
      <c r="N1680" t="str">
        <f>_xlfn.XLOOKUP(E506, Sales_Reps!A:A, Sales_Reps!C:C)</f>
        <v>East</v>
      </c>
      <c r="O1680">
        <f>_xlfn.XLOOKUP(D1680, Products!A:A, Products!D:D)</f>
        <v>861</v>
      </c>
      <c r="P1680">
        <f>_xlfn.XLOOKUP(D1680, Products!A:A, Products!E:E)</f>
        <v>1430</v>
      </c>
    </row>
    <row r="1681" spans="1:16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 t="shared" si="26"/>
        <v>Bengaluru</v>
      </c>
      <c r="M1681" t="str">
        <f>_xlfn.XLOOKUP(D1681, Products!A:A, Products!C:C)</f>
        <v>Sports</v>
      </c>
      <c r="N1681" t="str">
        <f>_xlfn.XLOOKUP(E507, Sales_Reps!A:A, Sales_Reps!C:C)</f>
        <v>East</v>
      </c>
      <c r="O1681">
        <f>_xlfn.XLOOKUP(D1681, Products!A:A, Products!D:D)</f>
        <v>2028</v>
      </c>
      <c r="P1681">
        <f>_xlfn.XLOOKUP(D1681, Products!A:A, Products!E:E)</f>
        <v>2860</v>
      </c>
    </row>
    <row r="1682" spans="1:16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 t="shared" si="26"/>
        <v>Mumbai</v>
      </c>
      <c r="M1682" t="str">
        <f>_xlfn.XLOOKUP(D1682, Products!A:A, Products!C:C)</f>
        <v>Beauty</v>
      </c>
      <c r="N1682" t="str">
        <f>_xlfn.XLOOKUP(E508, Sales_Reps!A:A, Sales_Reps!C:C)</f>
        <v>West</v>
      </c>
      <c r="O1682">
        <f>_xlfn.XLOOKUP(D1682, Products!A:A, Products!D:D)</f>
        <v>2420</v>
      </c>
      <c r="P1682">
        <f>_xlfn.XLOOKUP(D1682, Products!A:A, Products!E:E)</f>
        <v>3450</v>
      </c>
    </row>
    <row r="1683" spans="1:16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 t="shared" si="26"/>
        <v>Pune</v>
      </c>
      <c r="M1683" t="str">
        <f>_xlfn.XLOOKUP(D1683, Products!A:A, Products!C:C)</f>
        <v>Sports</v>
      </c>
      <c r="N1683" t="str">
        <f>_xlfn.XLOOKUP(E509, Sales_Reps!A:A, Sales_Reps!C:C)</f>
        <v>South</v>
      </c>
      <c r="O1683">
        <f>_xlfn.XLOOKUP(D1683, Products!A:A, Products!D:D)</f>
        <v>2265</v>
      </c>
      <c r="P1683">
        <f>_xlfn.XLOOKUP(D1683, Products!A:A, Products!E:E)</f>
        <v>5410</v>
      </c>
    </row>
    <row r="1684" spans="1:16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 t="shared" si="26"/>
        <v>Pune</v>
      </c>
      <c r="M1684" t="str">
        <f>_xlfn.XLOOKUP(D1684, Products!A:A, Products!C:C)</f>
        <v>Home</v>
      </c>
      <c r="N1684" t="str">
        <f>_xlfn.XLOOKUP(E510, Sales_Reps!A:A, Sales_Reps!C:C)</f>
        <v>East</v>
      </c>
      <c r="O1684">
        <f>_xlfn.XLOOKUP(D1684, Products!A:A, Products!D:D)</f>
        <v>519</v>
      </c>
      <c r="P1684">
        <f>_xlfn.XLOOKUP(D1684, Products!A:A, Products!E:E)</f>
        <v>1080</v>
      </c>
    </row>
    <row r="1685" spans="1:16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 t="shared" si="26"/>
        <v>Hyderabad</v>
      </c>
      <c r="M1685" t="str">
        <f>_xlfn.XLOOKUP(D1685, Products!A:A, Products!C:C)</f>
        <v>Sports</v>
      </c>
      <c r="N1685" t="str">
        <f>_xlfn.XLOOKUP(E511, Sales_Reps!A:A, Sales_Reps!C:C)</f>
        <v>South</v>
      </c>
      <c r="O1685">
        <f>_xlfn.XLOOKUP(D1685, Products!A:A, Products!D:D)</f>
        <v>2028</v>
      </c>
      <c r="P1685">
        <f>_xlfn.XLOOKUP(D1685, Products!A:A, Products!E:E)</f>
        <v>2860</v>
      </c>
    </row>
    <row r="1686" spans="1:16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 t="shared" si="26"/>
        <v>Hyderabad</v>
      </c>
      <c r="M1686" t="str">
        <f>_xlfn.XLOOKUP(D1686, Products!A:A, Products!C:C)</f>
        <v>Beauty</v>
      </c>
      <c r="N1686" t="str">
        <f>_xlfn.XLOOKUP(E512, Sales_Reps!A:A, Sales_Reps!C:C)</f>
        <v>North</v>
      </c>
      <c r="O1686">
        <f>_xlfn.XLOOKUP(D1686, Products!A:A, Products!D:D)</f>
        <v>1626</v>
      </c>
      <c r="P1686">
        <f>_xlfn.XLOOKUP(D1686, Products!A:A, Products!E:E)</f>
        <v>3020</v>
      </c>
    </row>
    <row r="1687" spans="1:16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 t="shared" si="26"/>
        <v>Mumbai</v>
      </c>
      <c r="M1687" t="str">
        <f>_xlfn.XLOOKUP(D1687, Products!A:A, Products!C:C)</f>
        <v>Sports</v>
      </c>
      <c r="N1687" t="str">
        <f>_xlfn.XLOOKUP(E513, Sales_Reps!A:A, Sales_Reps!C:C)</f>
        <v>East</v>
      </c>
      <c r="O1687">
        <f>_xlfn.XLOOKUP(D1687, Products!A:A, Products!D:D)</f>
        <v>705</v>
      </c>
      <c r="P1687">
        <f>_xlfn.XLOOKUP(D1687, Products!A:A, Products!E:E)</f>
        <v>960</v>
      </c>
    </row>
    <row r="1688" spans="1:16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 t="shared" si="26"/>
        <v>Mumbai</v>
      </c>
      <c r="M1688" t="str">
        <f>_xlfn.XLOOKUP(D1688, Products!A:A, Products!C:C)</f>
        <v>Electronics</v>
      </c>
      <c r="N1688" t="str">
        <f>_xlfn.XLOOKUP(E514, Sales_Reps!A:A, Sales_Reps!C:C)</f>
        <v>South</v>
      </c>
      <c r="O1688">
        <f>_xlfn.XLOOKUP(D1688, Products!A:A, Products!D:D)</f>
        <v>1559</v>
      </c>
      <c r="P1688">
        <f>_xlfn.XLOOKUP(D1688, Products!A:A, Products!E:E)</f>
        <v>3870</v>
      </c>
    </row>
    <row r="1689" spans="1:16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 t="shared" si="26"/>
        <v>Pune</v>
      </c>
      <c r="M1689" t="str">
        <f>_xlfn.XLOOKUP(D1689, Products!A:A, Products!C:C)</f>
        <v>Apparel</v>
      </c>
      <c r="N1689" t="str">
        <f>_xlfn.XLOOKUP(E515, Sales_Reps!A:A, Sales_Reps!C:C)</f>
        <v>North</v>
      </c>
      <c r="O1689">
        <f>_xlfn.XLOOKUP(D1689, Products!A:A, Products!D:D)</f>
        <v>1886</v>
      </c>
      <c r="P1689">
        <f>_xlfn.XLOOKUP(D1689, Products!A:A, Products!E:E)</f>
        <v>3160</v>
      </c>
    </row>
    <row r="1690" spans="1:16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 t="shared" si="26"/>
        <v>Pune</v>
      </c>
      <c r="M1690" t="str">
        <f>_xlfn.XLOOKUP(D1690, Products!A:A, Products!C:C)</f>
        <v>Beauty</v>
      </c>
      <c r="N1690" t="str">
        <f>_xlfn.XLOOKUP(E516, Sales_Reps!A:A, Sales_Reps!C:C)</f>
        <v>West</v>
      </c>
      <c r="O1690">
        <f>_xlfn.XLOOKUP(D1690, Products!A:A, Products!D:D)</f>
        <v>2420</v>
      </c>
      <c r="P1690">
        <f>_xlfn.XLOOKUP(D1690, Products!A:A, Products!E:E)</f>
        <v>3450</v>
      </c>
    </row>
    <row r="1691" spans="1:16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 t="shared" si="26"/>
        <v>Chennai</v>
      </c>
      <c r="M1691" t="str">
        <f>_xlfn.XLOOKUP(D1691, Products!A:A, Products!C:C)</f>
        <v>Beauty</v>
      </c>
      <c r="N1691" t="str">
        <f>_xlfn.XLOOKUP(E517, Sales_Reps!A:A, Sales_Reps!C:C)</f>
        <v>South</v>
      </c>
      <c r="O1691">
        <f>_xlfn.XLOOKUP(D1691, Products!A:A, Products!D:D)</f>
        <v>675</v>
      </c>
      <c r="P1691">
        <f>_xlfn.XLOOKUP(D1691, Products!A:A, Products!E:E)</f>
        <v>960</v>
      </c>
    </row>
    <row r="1692" spans="1:16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 t="shared" si="26"/>
        <v>Bengaluru</v>
      </c>
      <c r="M1692" t="str">
        <f>_xlfn.XLOOKUP(D1692, Products!A:A, Products!C:C)</f>
        <v>Sports</v>
      </c>
      <c r="N1692" t="str">
        <f>_xlfn.XLOOKUP(E518, Sales_Reps!A:A, Sales_Reps!C:C)</f>
        <v>East</v>
      </c>
      <c r="O1692">
        <f>_xlfn.XLOOKUP(D1692, Products!A:A, Products!D:D)</f>
        <v>2827</v>
      </c>
      <c r="P1692">
        <f>_xlfn.XLOOKUP(D1692, Products!A:A, Products!E:E)</f>
        <v>6940</v>
      </c>
    </row>
    <row r="1693" spans="1:16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 t="shared" si="26"/>
        <v>Bengaluru</v>
      </c>
      <c r="M1693" t="str">
        <f>_xlfn.XLOOKUP(D1693, Products!A:A, Products!C:C)</f>
        <v>Sports</v>
      </c>
      <c r="N1693" t="str">
        <f>_xlfn.XLOOKUP(E519, Sales_Reps!A:A, Sales_Reps!C:C)</f>
        <v>West</v>
      </c>
      <c r="O1693">
        <f>_xlfn.XLOOKUP(D1693, Products!A:A, Products!D:D)</f>
        <v>974</v>
      </c>
      <c r="P1693">
        <f>_xlfn.XLOOKUP(D1693, Products!A:A, Products!E:E)</f>
        <v>2400</v>
      </c>
    </row>
    <row r="1694" spans="1:16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 t="shared" si="26"/>
        <v>Mumbai</v>
      </c>
      <c r="M1694" t="str">
        <f>_xlfn.XLOOKUP(D1694, Products!A:A, Products!C:C)</f>
        <v>Sports</v>
      </c>
      <c r="N1694" t="str">
        <f>_xlfn.XLOOKUP(E520, Sales_Reps!A:A, Sales_Reps!C:C)</f>
        <v>West</v>
      </c>
      <c r="O1694">
        <f>_xlfn.XLOOKUP(D1694, Products!A:A, Products!D:D)</f>
        <v>2265</v>
      </c>
      <c r="P1694">
        <f>_xlfn.XLOOKUP(D1694, Products!A:A, Products!E:E)</f>
        <v>5410</v>
      </c>
    </row>
    <row r="1695" spans="1:16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 t="shared" si="26"/>
        <v>Bengaluru</v>
      </c>
      <c r="M1695" t="str">
        <f>_xlfn.XLOOKUP(D1695, Products!A:A, Products!C:C)</f>
        <v>Electronics</v>
      </c>
      <c r="N1695" t="str">
        <f>_xlfn.XLOOKUP(E521, Sales_Reps!A:A, Sales_Reps!C:C)</f>
        <v>East</v>
      </c>
      <c r="O1695">
        <f>_xlfn.XLOOKUP(D1695, Products!A:A, Products!D:D)</f>
        <v>517</v>
      </c>
      <c r="P1695">
        <f>_xlfn.XLOOKUP(D1695, Products!A:A, Products!E:E)</f>
        <v>1220</v>
      </c>
    </row>
    <row r="1696" spans="1:16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 t="shared" si="26"/>
        <v>Delhi</v>
      </c>
      <c r="M1696" t="str">
        <f>_xlfn.XLOOKUP(D1696, Products!A:A, Products!C:C)</f>
        <v>Home</v>
      </c>
      <c r="N1696" t="str">
        <f>_xlfn.XLOOKUP(E522, Sales_Reps!A:A, Sales_Reps!C:C)</f>
        <v>South</v>
      </c>
      <c r="O1696">
        <f>_xlfn.XLOOKUP(D1696, Products!A:A, Products!D:D)</f>
        <v>464</v>
      </c>
      <c r="P1696">
        <f>_xlfn.XLOOKUP(D1696, Products!A:A, Products!E:E)</f>
        <v>1090</v>
      </c>
    </row>
    <row r="1697" spans="1:16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 t="shared" si="26"/>
        <v>Bengaluru</v>
      </c>
      <c r="M1697" t="str">
        <f>_xlfn.XLOOKUP(D1697, Products!A:A, Products!C:C)</f>
        <v>Grocery</v>
      </c>
      <c r="N1697" t="str">
        <f>_xlfn.XLOOKUP(E523, Sales_Reps!A:A, Sales_Reps!C:C)</f>
        <v>North</v>
      </c>
      <c r="O1697">
        <f>_xlfn.XLOOKUP(D1697, Products!A:A, Products!D:D)</f>
        <v>1435</v>
      </c>
      <c r="P1697">
        <f>_xlfn.XLOOKUP(D1697, Products!A:A, Products!E:E)</f>
        <v>2760</v>
      </c>
    </row>
    <row r="1698" spans="1:16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 t="shared" si="26"/>
        <v>Hyderabad</v>
      </c>
      <c r="M1698" t="str">
        <f>_xlfn.XLOOKUP(D1698, Products!A:A, Products!C:C)</f>
        <v>Electronics</v>
      </c>
      <c r="N1698" t="str">
        <f>_xlfn.XLOOKUP(E524, Sales_Reps!A:A, Sales_Reps!C:C)</f>
        <v>North</v>
      </c>
      <c r="O1698">
        <f>_xlfn.XLOOKUP(D1698, Products!A:A, Products!D:D)</f>
        <v>1665</v>
      </c>
      <c r="P1698">
        <f>_xlfn.XLOOKUP(D1698, Products!A:A, Products!E:E)</f>
        <v>3570</v>
      </c>
    </row>
    <row r="1699" spans="1:16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 t="shared" si="26"/>
        <v>Hyderabad</v>
      </c>
      <c r="M1699" t="str">
        <f>_xlfn.XLOOKUP(D1699, Products!A:A, Products!C:C)</f>
        <v>Electronics</v>
      </c>
      <c r="N1699" t="str">
        <f>_xlfn.XLOOKUP(E525, Sales_Reps!A:A, Sales_Reps!C:C)</f>
        <v>South</v>
      </c>
      <c r="O1699">
        <f>_xlfn.XLOOKUP(D1699, Products!A:A, Products!D:D)</f>
        <v>517</v>
      </c>
      <c r="P1699">
        <f>_xlfn.XLOOKUP(D1699, Products!A:A, Products!E:E)</f>
        <v>1220</v>
      </c>
    </row>
    <row r="1700" spans="1:16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 t="shared" si="26"/>
        <v>Pune</v>
      </c>
      <c r="M1700" t="str">
        <f>_xlfn.XLOOKUP(D1700, Products!A:A, Products!C:C)</f>
        <v>Sports</v>
      </c>
      <c r="N1700" t="str">
        <f>_xlfn.XLOOKUP(E526, Sales_Reps!A:A, Sales_Reps!C:C)</f>
        <v>West</v>
      </c>
      <c r="O1700">
        <f>_xlfn.XLOOKUP(D1700, Products!A:A, Products!D:D)</f>
        <v>2467</v>
      </c>
      <c r="P1700">
        <f>_xlfn.XLOOKUP(D1700, Products!A:A, Products!E:E)</f>
        <v>3450</v>
      </c>
    </row>
    <row r="1701" spans="1:16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 t="shared" si="26"/>
        <v>Mumbai</v>
      </c>
      <c r="M1701" t="str">
        <f>_xlfn.XLOOKUP(D1701, Products!A:A, Products!C:C)</f>
        <v>Grocery</v>
      </c>
      <c r="N1701" t="str">
        <f>_xlfn.XLOOKUP(E527, Sales_Reps!A:A, Sales_Reps!C:C)</f>
        <v>North</v>
      </c>
      <c r="O1701">
        <f>_xlfn.XLOOKUP(D1701, Products!A:A, Products!D:D)</f>
        <v>1010</v>
      </c>
      <c r="P1701">
        <f>_xlfn.XLOOKUP(D1701, Products!A:A, Products!E:E)</f>
        <v>2210</v>
      </c>
    </row>
    <row r="1702" spans="1:16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 t="shared" si="26"/>
        <v>Bengaluru</v>
      </c>
      <c r="M1702" t="str">
        <f>_xlfn.XLOOKUP(D1702, Products!A:A, Products!C:C)</f>
        <v>Apparel</v>
      </c>
      <c r="N1702" t="str">
        <f>_xlfn.XLOOKUP(E528, Sales_Reps!A:A, Sales_Reps!C:C)</f>
        <v>West</v>
      </c>
      <c r="O1702">
        <f>_xlfn.XLOOKUP(D1702, Products!A:A, Products!D:D)</f>
        <v>1173</v>
      </c>
      <c r="P1702">
        <f>_xlfn.XLOOKUP(D1702, Products!A:A, Products!E:E)</f>
        <v>2480</v>
      </c>
    </row>
    <row r="1703" spans="1:16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 t="shared" si="26"/>
        <v>Pune</v>
      </c>
      <c r="M1703" t="str">
        <f>_xlfn.XLOOKUP(D1703, Products!A:A, Products!C:C)</f>
        <v>Home</v>
      </c>
      <c r="N1703" t="str">
        <f>_xlfn.XLOOKUP(E529, Sales_Reps!A:A, Sales_Reps!C:C)</f>
        <v>North</v>
      </c>
      <c r="O1703">
        <f>_xlfn.XLOOKUP(D1703, Products!A:A, Products!D:D)</f>
        <v>1556</v>
      </c>
      <c r="P1703">
        <f>_xlfn.XLOOKUP(D1703, Products!A:A, Products!E:E)</f>
        <v>3250</v>
      </c>
    </row>
    <row r="1704" spans="1:16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 t="shared" si="26"/>
        <v>Bengaluru</v>
      </c>
      <c r="M1704" t="str">
        <f>_xlfn.XLOOKUP(D1704, Products!A:A, Products!C:C)</f>
        <v>Sports</v>
      </c>
      <c r="N1704" t="str">
        <f>_xlfn.XLOOKUP(E530, Sales_Reps!A:A, Sales_Reps!C:C)</f>
        <v>West</v>
      </c>
      <c r="O1704">
        <f>_xlfn.XLOOKUP(D1704, Products!A:A, Products!D:D)</f>
        <v>974</v>
      </c>
      <c r="P1704">
        <f>_xlfn.XLOOKUP(D1704, Products!A:A, Products!E:E)</f>
        <v>2400</v>
      </c>
    </row>
    <row r="1705" spans="1:16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 t="shared" si="26"/>
        <v>Delhi</v>
      </c>
      <c r="M1705" t="str">
        <f>_xlfn.XLOOKUP(D1705, Products!A:A, Products!C:C)</f>
        <v>Sports</v>
      </c>
      <c r="N1705" t="str">
        <f>_xlfn.XLOOKUP(E531, Sales_Reps!A:A, Sales_Reps!C:C)</f>
        <v>West</v>
      </c>
      <c r="O1705">
        <f>_xlfn.XLOOKUP(D1705, Products!A:A, Products!D:D)</f>
        <v>2265</v>
      </c>
      <c r="P1705">
        <f>_xlfn.XLOOKUP(D1705, Products!A:A, Products!E:E)</f>
        <v>5410</v>
      </c>
    </row>
    <row r="1706" spans="1:16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 t="shared" si="26"/>
        <v>Bengaluru</v>
      </c>
      <c r="M1706" t="str">
        <f>_xlfn.XLOOKUP(D1706, Products!A:A, Products!C:C)</f>
        <v>Electronics</v>
      </c>
      <c r="N1706" t="str">
        <f>_xlfn.XLOOKUP(E532, Sales_Reps!A:A, Sales_Reps!C:C)</f>
        <v>South</v>
      </c>
      <c r="O1706">
        <f>_xlfn.XLOOKUP(D1706, Products!A:A, Products!D:D)</f>
        <v>1052</v>
      </c>
      <c r="P1706">
        <f>_xlfn.XLOOKUP(D1706, Products!A:A, Products!E:E)</f>
        <v>2600</v>
      </c>
    </row>
    <row r="1707" spans="1:16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 t="shared" si="26"/>
        <v>Mumbai</v>
      </c>
      <c r="M1707" t="str">
        <f>_xlfn.XLOOKUP(D1707, Products!A:A, Products!C:C)</f>
        <v>Grocery</v>
      </c>
      <c r="N1707" t="str">
        <f>_xlfn.XLOOKUP(E533, Sales_Reps!A:A, Sales_Reps!C:C)</f>
        <v>East</v>
      </c>
      <c r="O1707">
        <f>_xlfn.XLOOKUP(D1707, Products!A:A, Products!D:D)</f>
        <v>2911</v>
      </c>
      <c r="P1707">
        <f>_xlfn.XLOOKUP(D1707, Products!A:A, Products!E:E)</f>
        <v>4060</v>
      </c>
    </row>
    <row r="1708" spans="1:16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 t="shared" si="26"/>
        <v>Mumbai</v>
      </c>
      <c r="M1708" t="str">
        <f>_xlfn.XLOOKUP(D1708, Products!A:A, Products!C:C)</f>
        <v>Electronics</v>
      </c>
      <c r="N1708" t="str">
        <f>_xlfn.XLOOKUP(E534, Sales_Reps!A:A, Sales_Reps!C:C)</f>
        <v>South</v>
      </c>
      <c r="O1708">
        <f>_xlfn.XLOOKUP(D1708, Products!A:A, Products!D:D)</f>
        <v>2405</v>
      </c>
      <c r="P1708">
        <f>_xlfn.XLOOKUP(D1708, Products!A:A, Products!E:E)</f>
        <v>5330</v>
      </c>
    </row>
    <row r="1709" spans="1:16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 t="shared" si="26"/>
        <v>Hyderabad</v>
      </c>
      <c r="M1709" t="str">
        <f>_xlfn.XLOOKUP(D1709, Products!A:A, Products!C:C)</f>
        <v>Beauty</v>
      </c>
      <c r="N1709" t="str">
        <f>_xlfn.XLOOKUP(E535, Sales_Reps!A:A, Sales_Reps!C:C)</f>
        <v>West</v>
      </c>
      <c r="O1709">
        <f>_xlfn.XLOOKUP(D1709, Products!A:A, Products!D:D)</f>
        <v>1728</v>
      </c>
      <c r="P1709">
        <f>_xlfn.XLOOKUP(D1709, Products!A:A, Products!E:E)</f>
        <v>3350</v>
      </c>
    </row>
    <row r="1710" spans="1:16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 t="shared" si="26"/>
        <v>Mumbai</v>
      </c>
      <c r="M1710" t="str">
        <f>_xlfn.XLOOKUP(D1710, Products!A:A, Products!C:C)</f>
        <v>Apparel</v>
      </c>
      <c r="N1710" t="str">
        <f>_xlfn.XLOOKUP(E536, Sales_Reps!A:A, Sales_Reps!C:C)</f>
        <v>East</v>
      </c>
      <c r="O1710">
        <f>_xlfn.XLOOKUP(D1710, Products!A:A, Products!D:D)</f>
        <v>1075</v>
      </c>
      <c r="P1710">
        <f>_xlfn.XLOOKUP(D1710, Products!A:A, Products!E:E)</f>
        <v>2510</v>
      </c>
    </row>
    <row r="1711" spans="1:16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 t="shared" si="26"/>
        <v>Pune</v>
      </c>
      <c r="M1711" t="str">
        <f>_xlfn.XLOOKUP(D1711, Products!A:A, Products!C:C)</f>
        <v>Beauty</v>
      </c>
      <c r="N1711" t="str">
        <f>_xlfn.XLOOKUP(E537, Sales_Reps!A:A, Sales_Reps!C:C)</f>
        <v>South</v>
      </c>
      <c r="O1711">
        <f>_xlfn.XLOOKUP(D1711, Products!A:A, Products!D:D)</f>
        <v>1626</v>
      </c>
      <c r="P1711">
        <f>_xlfn.XLOOKUP(D1711, Products!A:A, Products!E:E)</f>
        <v>3020</v>
      </c>
    </row>
    <row r="1712" spans="1:16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 t="shared" si="26"/>
        <v>Mumbai</v>
      </c>
      <c r="M1712" t="str">
        <f>_xlfn.XLOOKUP(D1712, Products!A:A, Products!C:C)</f>
        <v>Apparel</v>
      </c>
      <c r="N1712" t="str">
        <f>_xlfn.XLOOKUP(E538, Sales_Reps!A:A, Sales_Reps!C:C)</f>
        <v>North</v>
      </c>
      <c r="O1712">
        <f>_xlfn.XLOOKUP(D1712, Products!A:A, Products!D:D)</f>
        <v>391</v>
      </c>
      <c r="P1712">
        <f>_xlfn.XLOOKUP(D1712, Products!A:A, Products!E:E)</f>
        <v>820</v>
      </c>
    </row>
    <row r="1713" spans="1:16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 t="shared" si="26"/>
        <v>Delhi</v>
      </c>
      <c r="M1713" t="str">
        <f>_xlfn.XLOOKUP(D1713, Products!A:A, Products!C:C)</f>
        <v>Apparel</v>
      </c>
      <c r="N1713" t="str">
        <f>_xlfn.XLOOKUP(E539, Sales_Reps!A:A, Sales_Reps!C:C)</f>
        <v>South</v>
      </c>
      <c r="O1713">
        <f>_xlfn.XLOOKUP(D1713, Products!A:A, Products!D:D)</f>
        <v>1886</v>
      </c>
      <c r="P1713">
        <f>_xlfn.XLOOKUP(D1713, Products!A:A, Products!E:E)</f>
        <v>3160</v>
      </c>
    </row>
    <row r="1714" spans="1:16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 t="shared" si="26"/>
        <v>Delhi</v>
      </c>
      <c r="M1714" t="str">
        <f>_xlfn.XLOOKUP(D1714, Products!A:A, Products!C:C)</f>
        <v>Grocery</v>
      </c>
      <c r="N1714" t="str">
        <f>_xlfn.XLOOKUP(E540, Sales_Reps!A:A, Sales_Reps!C:C)</f>
        <v>North</v>
      </c>
      <c r="O1714">
        <f>_xlfn.XLOOKUP(D1714, Products!A:A, Products!D:D)</f>
        <v>2214</v>
      </c>
      <c r="P1714">
        <f>_xlfn.XLOOKUP(D1714, Products!A:A, Products!E:E)</f>
        <v>3660</v>
      </c>
    </row>
    <row r="1715" spans="1:16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 t="shared" si="26"/>
        <v>Delhi</v>
      </c>
      <c r="M1715" t="str">
        <f>_xlfn.XLOOKUP(D1715, Products!A:A, Products!C:C)</f>
        <v>Apparel</v>
      </c>
      <c r="N1715" t="str">
        <f>_xlfn.XLOOKUP(E541, Sales_Reps!A:A, Sales_Reps!C:C)</f>
        <v>West</v>
      </c>
      <c r="O1715">
        <f>_xlfn.XLOOKUP(D1715, Products!A:A, Products!D:D)</f>
        <v>391</v>
      </c>
      <c r="P1715">
        <f>_xlfn.XLOOKUP(D1715, Products!A:A, Products!E:E)</f>
        <v>820</v>
      </c>
    </row>
    <row r="1716" spans="1:16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 t="shared" si="26"/>
        <v>Hyderabad</v>
      </c>
      <c r="M1716" t="str">
        <f>_xlfn.XLOOKUP(D1716, Products!A:A, Products!C:C)</f>
        <v>Grocery</v>
      </c>
      <c r="N1716" t="str">
        <f>_xlfn.XLOOKUP(E542, Sales_Reps!A:A, Sales_Reps!C:C)</f>
        <v>North</v>
      </c>
      <c r="O1716">
        <f>_xlfn.XLOOKUP(D1716, Products!A:A, Products!D:D)</f>
        <v>1182</v>
      </c>
      <c r="P1716">
        <f>_xlfn.XLOOKUP(D1716, Products!A:A, Products!E:E)</f>
        <v>2380</v>
      </c>
    </row>
    <row r="1717" spans="1:16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 t="shared" si="26"/>
        <v>Hyderabad</v>
      </c>
      <c r="M1717" t="str">
        <f>_xlfn.XLOOKUP(D1717, Products!A:A, Products!C:C)</f>
        <v>Electronics</v>
      </c>
      <c r="N1717" t="str">
        <f>_xlfn.XLOOKUP(E543, Sales_Reps!A:A, Sales_Reps!C:C)</f>
        <v>East</v>
      </c>
      <c r="O1717">
        <f>_xlfn.XLOOKUP(D1717, Products!A:A, Products!D:D)</f>
        <v>1559</v>
      </c>
      <c r="P1717">
        <f>_xlfn.XLOOKUP(D1717, Products!A:A, Products!E:E)</f>
        <v>3870</v>
      </c>
    </row>
    <row r="1718" spans="1:16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 t="shared" si="26"/>
        <v>Chennai</v>
      </c>
      <c r="M1718" t="str">
        <f>_xlfn.XLOOKUP(D1718, Products!A:A, Products!C:C)</f>
        <v>Electronics</v>
      </c>
      <c r="N1718" t="str">
        <f>_xlfn.XLOOKUP(E544, Sales_Reps!A:A, Sales_Reps!C:C)</f>
        <v>North</v>
      </c>
      <c r="O1718">
        <f>_xlfn.XLOOKUP(D1718, Products!A:A, Products!D:D)</f>
        <v>128</v>
      </c>
      <c r="P1718">
        <f>_xlfn.XLOOKUP(D1718, Products!A:A, Products!E:E)</f>
        <v>300</v>
      </c>
    </row>
    <row r="1719" spans="1:16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 t="shared" si="26"/>
        <v>Bengaluru</v>
      </c>
      <c r="M1719" t="str">
        <f>_xlfn.XLOOKUP(D1719, Products!A:A, Products!C:C)</f>
        <v>Beauty</v>
      </c>
      <c r="N1719" t="str">
        <f>_xlfn.XLOOKUP(E545, Sales_Reps!A:A, Sales_Reps!C:C)</f>
        <v>East</v>
      </c>
      <c r="O1719">
        <f>_xlfn.XLOOKUP(D1719, Products!A:A, Products!D:D)</f>
        <v>2237</v>
      </c>
      <c r="P1719">
        <f>_xlfn.XLOOKUP(D1719, Products!A:A, Products!E:E)</f>
        <v>5100</v>
      </c>
    </row>
    <row r="1720" spans="1:16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 t="shared" si="26"/>
        <v>Mumbai</v>
      </c>
      <c r="M1720" t="str">
        <f>_xlfn.XLOOKUP(D1720, Products!A:A, Products!C:C)</f>
        <v>Grocery</v>
      </c>
      <c r="N1720" t="str">
        <f>_xlfn.XLOOKUP(E546, Sales_Reps!A:A, Sales_Reps!C:C)</f>
        <v>East</v>
      </c>
      <c r="O1720">
        <f>_xlfn.XLOOKUP(D1720, Products!A:A, Products!D:D)</f>
        <v>1435</v>
      </c>
      <c r="P1720">
        <f>_xlfn.XLOOKUP(D1720, Products!A:A, Products!E:E)</f>
        <v>2760</v>
      </c>
    </row>
    <row r="1721" spans="1:16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 t="shared" si="26"/>
        <v>Hyderabad</v>
      </c>
      <c r="M1721" t="str">
        <f>_xlfn.XLOOKUP(D1721, Products!A:A, Products!C:C)</f>
        <v>Electronics</v>
      </c>
      <c r="N1721" t="str">
        <f>_xlfn.XLOOKUP(E547, Sales_Reps!A:A, Sales_Reps!C:C)</f>
        <v>East</v>
      </c>
      <c r="O1721">
        <f>_xlfn.XLOOKUP(D1721, Products!A:A, Products!D:D)</f>
        <v>2405</v>
      </c>
      <c r="P1721">
        <f>_xlfn.XLOOKUP(D1721, Products!A:A, Products!E:E)</f>
        <v>5330</v>
      </c>
    </row>
    <row r="1722" spans="1:16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 t="shared" si="26"/>
        <v>Chennai</v>
      </c>
      <c r="M1722" t="str">
        <f>_xlfn.XLOOKUP(D1722, Products!A:A, Products!C:C)</f>
        <v>Sports</v>
      </c>
      <c r="N1722" t="str">
        <f>_xlfn.XLOOKUP(E548, Sales_Reps!A:A, Sales_Reps!C:C)</f>
        <v>South</v>
      </c>
      <c r="O1722">
        <f>_xlfn.XLOOKUP(D1722, Products!A:A, Products!D:D)</f>
        <v>516</v>
      </c>
      <c r="P1722">
        <f>_xlfn.XLOOKUP(D1722, Products!A:A, Products!E:E)</f>
        <v>1010</v>
      </c>
    </row>
    <row r="1723" spans="1:16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 t="shared" si="26"/>
        <v>Mumbai</v>
      </c>
      <c r="M1723" t="str">
        <f>_xlfn.XLOOKUP(D1723, Products!A:A, Products!C:C)</f>
        <v>Electronics</v>
      </c>
      <c r="N1723" t="str">
        <f>_xlfn.XLOOKUP(E549, Sales_Reps!A:A, Sales_Reps!C:C)</f>
        <v>South</v>
      </c>
      <c r="O1723">
        <f>_xlfn.XLOOKUP(D1723, Products!A:A, Products!D:D)</f>
        <v>1259</v>
      </c>
      <c r="P1723">
        <f>_xlfn.XLOOKUP(D1723, Products!A:A, Products!E:E)</f>
        <v>2660</v>
      </c>
    </row>
    <row r="1724" spans="1:16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 t="shared" si="26"/>
        <v>Mumbai</v>
      </c>
      <c r="M1724" t="str">
        <f>_xlfn.XLOOKUP(D1724, Products!A:A, Products!C:C)</f>
        <v>Electronics</v>
      </c>
      <c r="N1724" t="str">
        <f>_xlfn.XLOOKUP(E550, Sales_Reps!A:A, Sales_Reps!C:C)</f>
        <v>North</v>
      </c>
      <c r="O1724">
        <f>_xlfn.XLOOKUP(D1724, Products!A:A, Products!D:D)</f>
        <v>2865</v>
      </c>
      <c r="P1724">
        <f>_xlfn.XLOOKUP(D1724, Products!A:A, Products!E:E)</f>
        <v>3970</v>
      </c>
    </row>
    <row r="1725" spans="1:16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 t="shared" si="26"/>
        <v>Mumbai</v>
      </c>
      <c r="M1725" t="str">
        <f>_xlfn.XLOOKUP(D1725, Products!A:A, Products!C:C)</f>
        <v>Apparel</v>
      </c>
      <c r="N1725" t="str">
        <f>_xlfn.XLOOKUP(E551, Sales_Reps!A:A, Sales_Reps!C:C)</f>
        <v>West</v>
      </c>
      <c r="O1725">
        <f>_xlfn.XLOOKUP(D1725, Products!A:A, Products!D:D)</f>
        <v>2509</v>
      </c>
      <c r="P1725">
        <f>_xlfn.XLOOKUP(D1725, Products!A:A, Products!E:E)</f>
        <v>3620</v>
      </c>
    </row>
    <row r="1726" spans="1:16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 t="shared" si="26"/>
        <v>Hyderabad</v>
      </c>
      <c r="M1726" t="str">
        <f>_xlfn.XLOOKUP(D1726, Products!A:A, Products!C:C)</f>
        <v>Grocery</v>
      </c>
      <c r="N1726" t="str">
        <f>_xlfn.XLOOKUP(E552, Sales_Reps!A:A, Sales_Reps!C:C)</f>
        <v>South</v>
      </c>
      <c r="O1726">
        <f>_xlfn.XLOOKUP(D1726, Products!A:A, Products!D:D)</f>
        <v>1412</v>
      </c>
      <c r="P1726">
        <f>_xlfn.XLOOKUP(D1726, Products!A:A, Products!E:E)</f>
        <v>2270</v>
      </c>
    </row>
    <row r="1727" spans="1:16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 t="shared" si="26"/>
        <v>Chennai</v>
      </c>
      <c r="M1727" t="str">
        <f>_xlfn.XLOOKUP(D1727, Products!A:A, Products!C:C)</f>
        <v>Grocery</v>
      </c>
      <c r="N1727" t="str">
        <f>_xlfn.XLOOKUP(E553, Sales_Reps!A:A, Sales_Reps!C:C)</f>
        <v>South</v>
      </c>
      <c r="O1727">
        <f>_xlfn.XLOOKUP(D1727, Products!A:A, Products!D:D)</f>
        <v>1412</v>
      </c>
      <c r="P1727">
        <f>_xlfn.XLOOKUP(D1727, Products!A:A, Products!E:E)</f>
        <v>2270</v>
      </c>
    </row>
    <row r="1728" spans="1:16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 t="shared" si="26"/>
        <v>Mumbai</v>
      </c>
      <c r="M1728" t="str">
        <f>_xlfn.XLOOKUP(D1728, Products!A:A, Products!C:C)</f>
        <v>Home</v>
      </c>
      <c r="N1728" t="str">
        <f>_xlfn.XLOOKUP(E554, Sales_Reps!A:A, Sales_Reps!C:C)</f>
        <v>South</v>
      </c>
      <c r="O1728">
        <f>_xlfn.XLOOKUP(D1728, Products!A:A, Products!D:D)</f>
        <v>1850</v>
      </c>
      <c r="P1728">
        <f>_xlfn.XLOOKUP(D1728, Products!A:A, Products!E:E)</f>
        <v>4610</v>
      </c>
    </row>
    <row r="1729" spans="1:16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 t="shared" si="26"/>
        <v>Delhi</v>
      </c>
      <c r="M1729" t="str">
        <f>_xlfn.XLOOKUP(D1729, Products!A:A, Products!C:C)</f>
        <v>Sports</v>
      </c>
      <c r="N1729" t="str">
        <f>_xlfn.XLOOKUP(E555, Sales_Reps!A:A, Sales_Reps!C:C)</f>
        <v>East</v>
      </c>
      <c r="O1729">
        <f>_xlfn.XLOOKUP(D1729, Products!A:A, Products!D:D)</f>
        <v>147</v>
      </c>
      <c r="P1729">
        <f>_xlfn.XLOOKUP(D1729, Products!A:A, Products!E:E)</f>
        <v>190</v>
      </c>
    </row>
    <row r="1730" spans="1:16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 t="shared" si="26"/>
        <v>Chennai</v>
      </c>
      <c r="M1730" t="str">
        <f>_xlfn.XLOOKUP(D1730, Products!A:A, Products!C:C)</f>
        <v>Home</v>
      </c>
      <c r="N1730" t="str">
        <f>_xlfn.XLOOKUP(E556, Sales_Reps!A:A, Sales_Reps!C:C)</f>
        <v>South</v>
      </c>
      <c r="O1730">
        <f>_xlfn.XLOOKUP(D1730, Products!A:A, Products!D:D)</f>
        <v>1143</v>
      </c>
      <c r="P1730">
        <f>_xlfn.XLOOKUP(D1730, Products!A:A, Products!E:E)</f>
        <v>2030</v>
      </c>
    </row>
    <row r="1731" spans="1:16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 t="shared" ref="L1731:L1794" si="27">PROPER(TRIM(K1731))</f>
        <v>Pune</v>
      </c>
      <c r="M1731" t="str">
        <f>_xlfn.XLOOKUP(D1731, Products!A:A, Products!C:C)</f>
        <v>Grocery</v>
      </c>
      <c r="N1731" t="str">
        <f>_xlfn.XLOOKUP(E557, Sales_Reps!A:A, Sales_Reps!C:C)</f>
        <v>West</v>
      </c>
      <c r="O1731">
        <f>_xlfn.XLOOKUP(D1731, Products!A:A, Products!D:D)</f>
        <v>2027</v>
      </c>
      <c r="P1731">
        <f>_xlfn.XLOOKUP(D1731, Products!A:A, Products!E:E)</f>
        <v>4070</v>
      </c>
    </row>
    <row r="1732" spans="1:16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 t="shared" si="27"/>
        <v>Delhi</v>
      </c>
      <c r="M1732" t="str">
        <f>_xlfn.XLOOKUP(D1732, Products!A:A, Products!C:C)</f>
        <v>Beauty</v>
      </c>
      <c r="N1732" t="str">
        <f>_xlfn.XLOOKUP(E558, Sales_Reps!A:A, Sales_Reps!C:C)</f>
        <v>South</v>
      </c>
      <c r="O1732">
        <f>_xlfn.XLOOKUP(D1732, Products!A:A, Products!D:D)</f>
        <v>1219</v>
      </c>
      <c r="P1732">
        <f>_xlfn.XLOOKUP(D1732, Products!A:A, Products!E:E)</f>
        <v>2290</v>
      </c>
    </row>
    <row r="1733" spans="1:16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 t="shared" si="27"/>
        <v>Hyderabad</v>
      </c>
      <c r="M1733" t="str">
        <f>_xlfn.XLOOKUP(D1733, Products!A:A, Products!C:C)</f>
        <v>Home</v>
      </c>
      <c r="N1733" t="str">
        <f>_xlfn.XLOOKUP(E559, Sales_Reps!A:A, Sales_Reps!C:C)</f>
        <v>West</v>
      </c>
      <c r="O1733">
        <f>_xlfn.XLOOKUP(D1733, Products!A:A, Products!D:D)</f>
        <v>2135</v>
      </c>
      <c r="P1733">
        <f>_xlfn.XLOOKUP(D1733, Products!A:A, Products!E:E)</f>
        <v>3730</v>
      </c>
    </row>
    <row r="1734" spans="1:16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 t="shared" si="27"/>
        <v>Pune</v>
      </c>
      <c r="M1734" t="str">
        <f>_xlfn.XLOOKUP(D1734, Products!A:A, Products!C:C)</f>
        <v>Apparel</v>
      </c>
      <c r="N1734" t="str">
        <f>_xlfn.XLOOKUP(E560, Sales_Reps!A:A, Sales_Reps!C:C)</f>
        <v>East</v>
      </c>
      <c r="O1734">
        <f>_xlfn.XLOOKUP(D1734, Products!A:A, Products!D:D)</f>
        <v>396</v>
      </c>
      <c r="P1734">
        <f>_xlfn.XLOOKUP(D1734, Products!A:A, Products!E:E)</f>
        <v>620</v>
      </c>
    </row>
    <row r="1735" spans="1:16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 t="shared" si="27"/>
        <v>Delhi</v>
      </c>
      <c r="M1735" t="str">
        <f>_xlfn.XLOOKUP(D1735, Products!A:A, Products!C:C)</f>
        <v>Electronics</v>
      </c>
      <c r="N1735" t="str">
        <f>_xlfn.XLOOKUP(E561, Sales_Reps!A:A, Sales_Reps!C:C)</f>
        <v>North</v>
      </c>
      <c r="O1735">
        <f>_xlfn.XLOOKUP(D1735, Products!A:A, Products!D:D)</f>
        <v>1149</v>
      </c>
      <c r="P1735">
        <f>_xlfn.XLOOKUP(D1735, Products!A:A, Products!E:E)</f>
        <v>2640</v>
      </c>
    </row>
    <row r="1736" spans="1:16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 t="shared" si="27"/>
        <v>Chennai</v>
      </c>
      <c r="M1736" t="str">
        <f>_xlfn.XLOOKUP(D1736, Products!A:A, Products!C:C)</f>
        <v>Grocery</v>
      </c>
      <c r="N1736" t="str">
        <f>_xlfn.XLOOKUP(E562, Sales_Reps!A:A, Sales_Reps!C:C)</f>
        <v>West</v>
      </c>
      <c r="O1736">
        <f>_xlfn.XLOOKUP(D1736, Products!A:A, Products!D:D)</f>
        <v>2214</v>
      </c>
      <c r="P1736">
        <f>_xlfn.XLOOKUP(D1736, Products!A:A, Products!E:E)</f>
        <v>3660</v>
      </c>
    </row>
    <row r="1737" spans="1:16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 t="shared" si="27"/>
        <v>Hyderabad</v>
      </c>
      <c r="M1737" t="str">
        <f>_xlfn.XLOOKUP(D1737, Products!A:A, Products!C:C)</f>
        <v>Apparel</v>
      </c>
      <c r="N1737" t="str">
        <f>_xlfn.XLOOKUP(E563, Sales_Reps!A:A, Sales_Reps!C:C)</f>
        <v>East</v>
      </c>
      <c r="O1737">
        <f>_xlfn.XLOOKUP(D1737, Products!A:A, Products!D:D)</f>
        <v>391</v>
      </c>
      <c r="P1737">
        <f>_xlfn.XLOOKUP(D1737, Products!A:A, Products!E:E)</f>
        <v>820</v>
      </c>
    </row>
    <row r="1738" spans="1:16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 t="shared" si="27"/>
        <v>Mumbai</v>
      </c>
      <c r="M1738" t="str">
        <f>_xlfn.XLOOKUP(D1738, Products!A:A, Products!C:C)</f>
        <v>Apparel</v>
      </c>
      <c r="N1738" t="str">
        <f>_xlfn.XLOOKUP(E564, Sales_Reps!A:A, Sales_Reps!C:C)</f>
        <v>West</v>
      </c>
      <c r="O1738">
        <f>_xlfn.XLOOKUP(D1738, Products!A:A, Products!D:D)</f>
        <v>1173</v>
      </c>
      <c r="P1738">
        <f>_xlfn.XLOOKUP(D1738, Products!A:A, Products!E:E)</f>
        <v>2480</v>
      </c>
    </row>
    <row r="1739" spans="1:16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 t="shared" si="27"/>
        <v>Chennai</v>
      </c>
      <c r="M1739" t="str">
        <f>_xlfn.XLOOKUP(D1739, Products!A:A, Products!C:C)</f>
        <v>Beauty</v>
      </c>
      <c r="N1739" t="str">
        <f>_xlfn.XLOOKUP(E565, Sales_Reps!A:A, Sales_Reps!C:C)</f>
        <v>South</v>
      </c>
      <c r="O1739">
        <f>_xlfn.XLOOKUP(D1739, Products!A:A, Products!D:D)</f>
        <v>2617</v>
      </c>
      <c r="P1739">
        <f>_xlfn.XLOOKUP(D1739, Products!A:A, Products!E:E)</f>
        <v>6080</v>
      </c>
    </row>
    <row r="1740" spans="1:16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 t="shared" si="27"/>
        <v>Pune</v>
      </c>
      <c r="M1740" t="str">
        <f>_xlfn.XLOOKUP(D1740, Products!A:A, Products!C:C)</f>
        <v>Sports</v>
      </c>
      <c r="N1740" t="str">
        <f>_xlfn.XLOOKUP(E566, Sales_Reps!A:A, Sales_Reps!C:C)</f>
        <v>East</v>
      </c>
      <c r="O1740">
        <f>_xlfn.XLOOKUP(D1740, Products!A:A, Products!D:D)</f>
        <v>147</v>
      </c>
      <c r="P1740">
        <f>_xlfn.XLOOKUP(D1740, Products!A:A, Products!E:E)</f>
        <v>190</v>
      </c>
    </row>
    <row r="1741" spans="1:16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 t="shared" si="27"/>
        <v>Delhi</v>
      </c>
      <c r="M1741" t="str">
        <f>_xlfn.XLOOKUP(D1741, Products!A:A, Products!C:C)</f>
        <v>Sports</v>
      </c>
      <c r="N1741" t="str">
        <f>_xlfn.XLOOKUP(E567, Sales_Reps!A:A, Sales_Reps!C:C)</f>
        <v>West</v>
      </c>
      <c r="O1741">
        <f>_xlfn.XLOOKUP(D1741, Products!A:A, Products!D:D)</f>
        <v>1860</v>
      </c>
      <c r="P1741">
        <f>_xlfn.XLOOKUP(D1741, Products!A:A, Products!E:E)</f>
        <v>3780</v>
      </c>
    </row>
    <row r="1742" spans="1:16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 t="shared" si="27"/>
        <v>Bengaluru</v>
      </c>
      <c r="M1742" t="str">
        <f>_xlfn.XLOOKUP(D1742, Products!A:A, Products!C:C)</f>
        <v>Home</v>
      </c>
      <c r="N1742" t="str">
        <f>_xlfn.XLOOKUP(E568, Sales_Reps!A:A, Sales_Reps!C:C)</f>
        <v>South</v>
      </c>
      <c r="O1742">
        <f>_xlfn.XLOOKUP(D1742, Products!A:A, Products!D:D)</f>
        <v>1556</v>
      </c>
      <c r="P1742">
        <f>_xlfn.XLOOKUP(D1742, Products!A:A, Products!E:E)</f>
        <v>3250</v>
      </c>
    </row>
    <row r="1743" spans="1:16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 t="shared" si="27"/>
        <v>Hyderabad</v>
      </c>
      <c r="M1743" t="str">
        <f>_xlfn.XLOOKUP(D1743, Products!A:A, Products!C:C)</f>
        <v>Home</v>
      </c>
      <c r="N1743" t="str">
        <f>_xlfn.XLOOKUP(E569, Sales_Reps!A:A, Sales_Reps!C:C)</f>
        <v>South</v>
      </c>
      <c r="O1743">
        <f>_xlfn.XLOOKUP(D1743, Products!A:A, Products!D:D)</f>
        <v>1143</v>
      </c>
      <c r="P1743">
        <f>_xlfn.XLOOKUP(D1743, Products!A:A, Products!E:E)</f>
        <v>2030</v>
      </c>
    </row>
    <row r="1744" spans="1:16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 t="shared" si="27"/>
        <v>Hyderabad</v>
      </c>
      <c r="M1744" t="str">
        <f>_xlfn.XLOOKUP(D1744, Products!A:A, Products!C:C)</f>
        <v>Beauty</v>
      </c>
      <c r="N1744" t="str">
        <f>_xlfn.XLOOKUP(E570, Sales_Reps!A:A, Sales_Reps!C:C)</f>
        <v>North</v>
      </c>
      <c r="O1744">
        <f>_xlfn.XLOOKUP(D1744, Products!A:A, Products!D:D)</f>
        <v>2768</v>
      </c>
      <c r="P1744">
        <f>_xlfn.XLOOKUP(D1744, Products!A:A, Products!E:E)</f>
        <v>4880</v>
      </c>
    </row>
    <row r="1745" spans="1:16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 t="shared" si="27"/>
        <v>Hyderabad</v>
      </c>
      <c r="M1745" t="str">
        <f>_xlfn.XLOOKUP(D1745, Products!A:A, Products!C:C)</f>
        <v>Beauty</v>
      </c>
      <c r="N1745" t="str">
        <f>_xlfn.XLOOKUP(E571, Sales_Reps!A:A, Sales_Reps!C:C)</f>
        <v>South</v>
      </c>
      <c r="O1745">
        <f>_xlfn.XLOOKUP(D1745, Products!A:A, Products!D:D)</f>
        <v>1728</v>
      </c>
      <c r="P1745">
        <f>_xlfn.XLOOKUP(D1745, Products!A:A, Products!E:E)</f>
        <v>3350</v>
      </c>
    </row>
    <row r="1746" spans="1:16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 t="shared" si="27"/>
        <v>Pune</v>
      </c>
      <c r="M1746" t="str">
        <f>_xlfn.XLOOKUP(D1746, Products!A:A, Products!C:C)</f>
        <v>Sports</v>
      </c>
      <c r="N1746" t="str">
        <f>_xlfn.XLOOKUP(E572, Sales_Reps!A:A, Sales_Reps!C:C)</f>
        <v>North</v>
      </c>
      <c r="O1746">
        <f>_xlfn.XLOOKUP(D1746, Products!A:A, Products!D:D)</f>
        <v>2028</v>
      </c>
      <c r="P1746">
        <f>_xlfn.XLOOKUP(D1746, Products!A:A, Products!E:E)</f>
        <v>2860</v>
      </c>
    </row>
    <row r="1747" spans="1:16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 t="shared" si="27"/>
        <v>Bengaluru</v>
      </c>
      <c r="M1747" t="str">
        <f>_xlfn.XLOOKUP(D1747, Products!A:A, Products!C:C)</f>
        <v>Beauty</v>
      </c>
      <c r="N1747" t="str">
        <f>_xlfn.XLOOKUP(E573, Sales_Reps!A:A, Sales_Reps!C:C)</f>
        <v>East</v>
      </c>
      <c r="O1747">
        <f>_xlfn.XLOOKUP(D1747, Products!A:A, Products!D:D)</f>
        <v>2420</v>
      </c>
      <c r="P1747">
        <f>_xlfn.XLOOKUP(D1747, Products!A:A, Products!E:E)</f>
        <v>3450</v>
      </c>
    </row>
    <row r="1748" spans="1:16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 t="shared" si="27"/>
        <v>Pune</v>
      </c>
      <c r="M1748" t="str">
        <f>_xlfn.XLOOKUP(D1748, Products!A:A, Products!C:C)</f>
        <v>Grocery</v>
      </c>
      <c r="N1748" t="str">
        <f>_xlfn.XLOOKUP(E574, Sales_Reps!A:A, Sales_Reps!C:C)</f>
        <v>West</v>
      </c>
      <c r="O1748">
        <f>_xlfn.XLOOKUP(D1748, Products!A:A, Products!D:D)</f>
        <v>1203</v>
      </c>
      <c r="P1748">
        <f>_xlfn.XLOOKUP(D1748, Products!A:A, Products!E:E)</f>
        <v>2270</v>
      </c>
    </row>
    <row r="1749" spans="1:16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 t="shared" si="27"/>
        <v>Delhi</v>
      </c>
      <c r="M1749" t="str">
        <f>_xlfn.XLOOKUP(D1749, Products!A:A, Products!C:C)</f>
        <v>Grocery</v>
      </c>
      <c r="N1749" t="str">
        <f>_xlfn.XLOOKUP(E575, Sales_Reps!A:A, Sales_Reps!C:C)</f>
        <v>West</v>
      </c>
      <c r="O1749">
        <f>_xlfn.XLOOKUP(D1749, Products!A:A, Products!D:D)</f>
        <v>2214</v>
      </c>
      <c r="P1749">
        <f>_xlfn.XLOOKUP(D1749, Products!A:A, Products!E:E)</f>
        <v>3660</v>
      </c>
    </row>
    <row r="1750" spans="1:16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 t="shared" si="27"/>
        <v>Mumbai</v>
      </c>
      <c r="M1750" t="str">
        <f>_xlfn.XLOOKUP(D1750, Products!A:A, Products!C:C)</f>
        <v>Beauty</v>
      </c>
      <c r="N1750" t="str">
        <f>_xlfn.XLOOKUP(E576, Sales_Reps!A:A, Sales_Reps!C:C)</f>
        <v>North</v>
      </c>
      <c r="O1750">
        <f>_xlfn.XLOOKUP(D1750, Products!A:A, Products!D:D)</f>
        <v>1626</v>
      </c>
      <c r="P1750">
        <f>_xlfn.XLOOKUP(D1750, Products!A:A, Products!E:E)</f>
        <v>3020</v>
      </c>
    </row>
    <row r="1751" spans="1:16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 t="shared" si="27"/>
        <v>Bengaluru</v>
      </c>
      <c r="M1751" t="str">
        <f>_xlfn.XLOOKUP(D1751, Products!A:A, Products!C:C)</f>
        <v>Home</v>
      </c>
      <c r="N1751" t="str">
        <f>_xlfn.XLOOKUP(E577, Sales_Reps!A:A, Sales_Reps!C:C)</f>
        <v>East</v>
      </c>
      <c r="O1751">
        <f>_xlfn.XLOOKUP(D1751, Products!A:A, Products!D:D)</f>
        <v>519</v>
      </c>
      <c r="P1751">
        <f>_xlfn.XLOOKUP(D1751, Products!A:A, Products!E:E)</f>
        <v>1080</v>
      </c>
    </row>
    <row r="1752" spans="1:16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 t="shared" si="27"/>
        <v>Mumbai</v>
      </c>
      <c r="M1752" t="str">
        <f>_xlfn.XLOOKUP(D1752, Products!A:A, Products!C:C)</f>
        <v>Grocery</v>
      </c>
      <c r="N1752" t="str">
        <f>_xlfn.XLOOKUP(E578, Sales_Reps!A:A, Sales_Reps!C:C)</f>
        <v>East</v>
      </c>
      <c r="O1752">
        <f>_xlfn.XLOOKUP(D1752, Products!A:A, Products!D:D)</f>
        <v>1412</v>
      </c>
      <c r="P1752">
        <f>_xlfn.XLOOKUP(D1752, Products!A:A, Products!E:E)</f>
        <v>2270</v>
      </c>
    </row>
    <row r="1753" spans="1:16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 t="shared" si="27"/>
        <v>Pune</v>
      </c>
      <c r="M1753" t="str">
        <f>_xlfn.XLOOKUP(D1753, Products!A:A, Products!C:C)</f>
        <v>Apparel</v>
      </c>
      <c r="N1753" t="str">
        <f>_xlfn.XLOOKUP(E579, Sales_Reps!A:A, Sales_Reps!C:C)</f>
        <v>East</v>
      </c>
      <c r="O1753">
        <f>_xlfn.XLOOKUP(D1753, Products!A:A, Products!D:D)</f>
        <v>396</v>
      </c>
      <c r="P1753">
        <f>_xlfn.XLOOKUP(D1753, Products!A:A, Products!E:E)</f>
        <v>620</v>
      </c>
    </row>
    <row r="1754" spans="1:16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 t="shared" si="27"/>
        <v>Mumbai</v>
      </c>
      <c r="M1754" t="str">
        <f>_xlfn.XLOOKUP(D1754, Products!A:A, Products!C:C)</f>
        <v>Grocery</v>
      </c>
      <c r="N1754" t="str">
        <f>_xlfn.XLOOKUP(E580, Sales_Reps!A:A, Sales_Reps!C:C)</f>
        <v>East</v>
      </c>
      <c r="O1754">
        <f>_xlfn.XLOOKUP(D1754, Products!A:A, Products!D:D)</f>
        <v>2911</v>
      </c>
      <c r="P1754">
        <f>_xlfn.XLOOKUP(D1754, Products!A:A, Products!E:E)</f>
        <v>4060</v>
      </c>
    </row>
    <row r="1755" spans="1:16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 t="shared" si="27"/>
        <v>Hyderabad</v>
      </c>
      <c r="M1755" t="str">
        <f>_xlfn.XLOOKUP(D1755, Products!A:A, Products!C:C)</f>
        <v>Grocery</v>
      </c>
      <c r="N1755" t="str">
        <f>_xlfn.XLOOKUP(E581, Sales_Reps!A:A, Sales_Reps!C:C)</f>
        <v>North</v>
      </c>
      <c r="O1755">
        <f>_xlfn.XLOOKUP(D1755, Products!A:A, Products!D:D)</f>
        <v>2436</v>
      </c>
      <c r="P1755">
        <f>_xlfn.XLOOKUP(D1755, Products!A:A, Products!E:E)</f>
        <v>3780</v>
      </c>
    </row>
    <row r="1756" spans="1:16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 t="shared" si="27"/>
        <v>Delhi</v>
      </c>
      <c r="M1756" t="str">
        <f>_xlfn.XLOOKUP(D1756, Products!A:A, Products!C:C)</f>
        <v>Grocery</v>
      </c>
      <c r="N1756" t="str">
        <f>_xlfn.XLOOKUP(E582, Sales_Reps!A:A, Sales_Reps!C:C)</f>
        <v>North</v>
      </c>
      <c r="O1756">
        <f>_xlfn.XLOOKUP(D1756, Products!A:A, Products!D:D)</f>
        <v>1182</v>
      </c>
      <c r="P1756">
        <f>_xlfn.XLOOKUP(D1756, Products!A:A, Products!E:E)</f>
        <v>2380</v>
      </c>
    </row>
    <row r="1757" spans="1:16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 t="shared" si="27"/>
        <v>Chennai</v>
      </c>
      <c r="M1757" t="str">
        <f>_xlfn.XLOOKUP(D1757, Products!A:A, Products!C:C)</f>
        <v>Grocery</v>
      </c>
      <c r="N1757" t="str">
        <f>_xlfn.XLOOKUP(E583, Sales_Reps!A:A, Sales_Reps!C:C)</f>
        <v>South</v>
      </c>
      <c r="O1757">
        <f>_xlfn.XLOOKUP(D1757, Products!A:A, Products!D:D)</f>
        <v>2027</v>
      </c>
      <c r="P1757">
        <f>_xlfn.XLOOKUP(D1757, Products!A:A, Products!E:E)</f>
        <v>4070</v>
      </c>
    </row>
    <row r="1758" spans="1:16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 t="shared" si="27"/>
        <v>Mumbai</v>
      </c>
      <c r="M1758" t="str">
        <f>_xlfn.XLOOKUP(D1758, Products!A:A, Products!C:C)</f>
        <v>Electronics</v>
      </c>
      <c r="N1758" t="str">
        <f>_xlfn.XLOOKUP(E584, Sales_Reps!A:A, Sales_Reps!C:C)</f>
        <v>North</v>
      </c>
      <c r="O1758">
        <f>_xlfn.XLOOKUP(D1758, Products!A:A, Products!D:D)</f>
        <v>1149</v>
      </c>
      <c r="P1758">
        <f>_xlfn.XLOOKUP(D1758, Products!A:A, Products!E:E)</f>
        <v>2640</v>
      </c>
    </row>
    <row r="1759" spans="1:16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 t="shared" si="27"/>
        <v>Delhi</v>
      </c>
      <c r="M1759" t="str">
        <f>_xlfn.XLOOKUP(D1759, Products!A:A, Products!C:C)</f>
        <v>Sports</v>
      </c>
      <c r="N1759" t="str">
        <f>_xlfn.XLOOKUP(E585, Sales_Reps!A:A, Sales_Reps!C:C)</f>
        <v>West</v>
      </c>
      <c r="O1759">
        <f>_xlfn.XLOOKUP(D1759, Products!A:A, Products!D:D)</f>
        <v>1860</v>
      </c>
      <c r="P1759">
        <f>_xlfn.XLOOKUP(D1759, Products!A:A, Products!E:E)</f>
        <v>3780</v>
      </c>
    </row>
    <row r="1760" spans="1:16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 t="shared" si="27"/>
        <v>Mumbai</v>
      </c>
      <c r="M1760" t="str">
        <f>_xlfn.XLOOKUP(D1760, Products!A:A, Products!C:C)</f>
        <v>Beauty</v>
      </c>
      <c r="N1760" t="str">
        <f>_xlfn.XLOOKUP(E586, Sales_Reps!A:A, Sales_Reps!C:C)</f>
        <v>East</v>
      </c>
      <c r="O1760">
        <f>_xlfn.XLOOKUP(D1760, Products!A:A, Products!D:D)</f>
        <v>1728</v>
      </c>
      <c r="P1760">
        <f>_xlfn.XLOOKUP(D1760, Products!A:A, Products!E:E)</f>
        <v>3350</v>
      </c>
    </row>
    <row r="1761" spans="1:16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 t="shared" si="27"/>
        <v>Pune</v>
      </c>
      <c r="M1761" t="str">
        <f>_xlfn.XLOOKUP(D1761, Products!A:A, Products!C:C)</f>
        <v>Apparel</v>
      </c>
      <c r="N1761" t="str">
        <f>_xlfn.XLOOKUP(E587, Sales_Reps!A:A, Sales_Reps!C:C)</f>
        <v>North</v>
      </c>
      <c r="O1761">
        <f>_xlfn.XLOOKUP(D1761, Products!A:A, Products!D:D)</f>
        <v>1886</v>
      </c>
      <c r="P1761">
        <f>_xlfn.XLOOKUP(D1761, Products!A:A, Products!E:E)</f>
        <v>3160</v>
      </c>
    </row>
    <row r="1762" spans="1:16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 t="shared" si="27"/>
        <v>Bengaluru</v>
      </c>
      <c r="M1762" t="str">
        <f>_xlfn.XLOOKUP(D1762, Products!A:A, Products!C:C)</f>
        <v>Sports</v>
      </c>
      <c r="N1762" t="str">
        <f>_xlfn.XLOOKUP(E588, Sales_Reps!A:A, Sales_Reps!C:C)</f>
        <v>East</v>
      </c>
      <c r="O1762">
        <f>_xlfn.XLOOKUP(D1762, Products!A:A, Products!D:D)</f>
        <v>2028</v>
      </c>
      <c r="P1762">
        <f>_xlfn.XLOOKUP(D1762, Products!A:A, Products!E:E)</f>
        <v>2860</v>
      </c>
    </row>
    <row r="1763" spans="1:16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 t="shared" si="27"/>
        <v>Bengaluru</v>
      </c>
      <c r="M1763" t="str">
        <f>_xlfn.XLOOKUP(D1763, Products!A:A, Products!C:C)</f>
        <v>Electronics</v>
      </c>
      <c r="N1763" t="str">
        <f>_xlfn.XLOOKUP(E589, Sales_Reps!A:A, Sales_Reps!C:C)</f>
        <v>East</v>
      </c>
      <c r="O1763">
        <f>_xlfn.XLOOKUP(D1763, Products!A:A, Products!D:D)</f>
        <v>128</v>
      </c>
      <c r="P1763">
        <f>_xlfn.XLOOKUP(D1763, Products!A:A, Products!E:E)</f>
        <v>300</v>
      </c>
    </row>
    <row r="1764" spans="1:16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 t="shared" si="27"/>
        <v>Pune</v>
      </c>
      <c r="M1764" t="str">
        <f>_xlfn.XLOOKUP(D1764, Products!A:A, Products!C:C)</f>
        <v>Sports</v>
      </c>
      <c r="N1764" t="str">
        <f>_xlfn.XLOOKUP(E590, Sales_Reps!A:A, Sales_Reps!C:C)</f>
        <v>South</v>
      </c>
      <c r="O1764">
        <f>_xlfn.XLOOKUP(D1764, Products!A:A, Products!D:D)</f>
        <v>147</v>
      </c>
      <c r="P1764">
        <f>_xlfn.XLOOKUP(D1764, Products!A:A, Products!E:E)</f>
        <v>190</v>
      </c>
    </row>
    <row r="1765" spans="1:16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 t="shared" si="27"/>
        <v>Pune</v>
      </c>
      <c r="M1765" t="str">
        <f>_xlfn.XLOOKUP(D1765, Products!A:A, Products!C:C)</f>
        <v>Sports</v>
      </c>
      <c r="N1765" t="str">
        <f>_xlfn.XLOOKUP(E591, Sales_Reps!A:A, Sales_Reps!C:C)</f>
        <v>West</v>
      </c>
      <c r="O1765">
        <f>_xlfn.XLOOKUP(D1765, Products!A:A, Products!D:D)</f>
        <v>516</v>
      </c>
      <c r="P1765">
        <f>_xlfn.XLOOKUP(D1765, Products!A:A, Products!E:E)</f>
        <v>1010</v>
      </c>
    </row>
    <row r="1766" spans="1:16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 t="shared" si="27"/>
        <v>Delhi</v>
      </c>
      <c r="M1766" t="str">
        <f>_xlfn.XLOOKUP(D1766, Products!A:A, Products!C:C)</f>
        <v>Sports</v>
      </c>
      <c r="N1766" t="str">
        <f>_xlfn.XLOOKUP(E592, Sales_Reps!A:A, Sales_Reps!C:C)</f>
        <v>South</v>
      </c>
      <c r="O1766">
        <f>_xlfn.XLOOKUP(D1766, Products!A:A, Products!D:D)</f>
        <v>2467</v>
      </c>
      <c r="P1766">
        <f>_xlfn.XLOOKUP(D1766, Products!A:A, Products!E:E)</f>
        <v>3450</v>
      </c>
    </row>
    <row r="1767" spans="1:16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 t="shared" si="27"/>
        <v>Chennai</v>
      </c>
      <c r="M1767" t="str">
        <f>_xlfn.XLOOKUP(D1767, Products!A:A, Products!C:C)</f>
        <v>Electronics</v>
      </c>
      <c r="N1767" t="str">
        <f>_xlfn.XLOOKUP(E593, Sales_Reps!A:A, Sales_Reps!C:C)</f>
        <v>West</v>
      </c>
      <c r="O1767">
        <f>_xlfn.XLOOKUP(D1767, Products!A:A, Products!D:D)</f>
        <v>128</v>
      </c>
      <c r="P1767">
        <f>_xlfn.XLOOKUP(D1767, Products!A:A, Products!E:E)</f>
        <v>300</v>
      </c>
    </row>
    <row r="1768" spans="1:16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 t="shared" si="27"/>
        <v>Mumbai</v>
      </c>
      <c r="M1768" t="str">
        <f>_xlfn.XLOOKUP(D1768, Products!A:A, Products!C:C)</f>
        <v>Home</v>
      </c>
      <c r="N1768" t="str">
        <f>_xlfn.XLOOKUP(E594, Sales_Reps!A:A, Sales_Reps!C:C)</f>
        <v>North</v>
      </c>
      <c r="O1768">
        <f>_xlfn.XLOOKUP(D1768, Products!A:A, Products!D:D)</f>
        <v>2135</v>
      </c>
      <c r="P1768">
        <f>_xlfn.XLOOKUP(D1768, Products!A:A, Products!E:E)</f>
        <v>3730</v>
      </c>
    </row>
    <row r="1769" spans="1:16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 t="shared" si="27"/>
        <v>Chennai</v>
      </c>
      <c r="M1769" t="str">
        <f>_xlfn.XLOOKUP(D1769, Products!A:A, Products!C:C)</f>
        <v>Sports</v>
      </c>
      <c r="N1769" t="str">
        <f>_xlfn.XLOOKUP(E595, Sales_Reps!A:A, Sales_Reps!C:C)</f>
        <v>North</v>
      </c>
      <c r="O1769">
        <f>_xlfn.XLOOKUP(D1769, Products!A:A, Products!D:D)</f>
        <v>974</v>
      </c>
      <c r="P1769">
        <f>_xlfn.XLOOKUP(D1769, Products!A:A, Products!E:E)</f>
        <v>2400</v>
      </c>
    </row>
    <row r="1770" spans="1:16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 t="shared" si="27"/>
        <v>Bengaluru</v>
      </c>
      <c r="M1770" t="str">
        <f>_xlfn.XLOOKUP(D1770, Products!A:A, Products!C:C)</f>
        <v>Grocery</v>
      </c>
      <c r="N1770" t="str">
        <f>_xlfn.XLOOKUP(E596, Sales_Reps!A:A, Sales_Reps!C:C)</f>
        <v>North</v>
      </c>
      <c r="O1770">
        <f>_xlfn.XLOOKUP(D1770, Products!A:A, Products!D:D)</f>
        <v>1435</v>
      </c>
      <c r="P1770">
        <f>_xlfn.XLOOKUP(D1770, Products!A:A, Products!E:E)</f>
        <v>2760</v>
      </c>
    </row>
    <row r="1771" spans="1:16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 t="shared" si="27"/>
        <v>Hyderabad</v>
      </c>
      <c r="M1771" t="str">
        <f>_xlfn.XLOOKUP(D1771, Products!A:A, Products!C:C)</f>
        <v>Sports</v>
      </c>
      <c r="N1771" t="str">
        <f>_xlfn.XLOOKUP(E597, Sales_Reps!A:A, Sales_Reps!C:C)</f>
        <v>East</v>
      </c>
      <c r="O1771">
        <f>_xlfn.XLOOKUP(D1771, Products!A:A, Products!D:D)</f>
        <v>302</v>
      </c>
      <c r="P1771">
        <f>_xlfn.XLOOKUP(D1771, Products!A:A, Products!E:E)</f>
        <v>470</v>
      </c>
    </row>
    <row r="1772" spans="1:16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 t="shared" si="27"/>
        <v>Chennai</v>
      </c>
      <c r="M1772" t="str">
        <f>_xlfn.XLOOKUP(D1772, Products!A:A, Products!C:C)</f>
        <v>Sports</v>
      </c>
      <c r="N1772" t="str">
        <f>_xlfn.XLOOKUP(E598, Sales_Reps!A:A, Sales_Reps!C:C)</f>
        <v>West</v>
      </c>
      <c r="O1772">
        <f>_xlfn.XLOOKUP(D1772, Products!A:A, Products!D:D)</f>
        <v>302</v>
      </c>
      <c r="P1772">
        <f>_xlfn.XLOOKUP(D1772, Products!A:A, Products!E:E)</f>
        <v>470</v>
      </c>
    </row>
    <row r="1773" spans="1:16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 t="shared" si="27"/>
        <v>Pune</v>
      </c>
      <c r="M1773" t="str">
        <f>_xlfn.XLOOKUP(D1773, Products!A:A, Products!C:C)</f>
        <v>Home</v>
      </c>
      <c r="N1773" t="str">
        <f>_xlfn.XLOOKUP(E599, Sales_Reps!A:A, Sales_Reps!C:C)</f>
        <v>North</v>
      </c>
      <c r="O1773">
        <f>_xlfn.XLOOKUP(D1773, Products!A:A, Products!D:D)</f>
        <v>288</v>
      </c>
      <c r="P1773">
        <f>_xlfn.XLOOKUP(D1773, Products!A:A, Products!E:E)</f>
        <v>370</v>
      </c>
    </row>
    <row r="1774" spans="1:16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 t="shared" si="27"/>
        <v>Mumbai</v>
      </c>
      <c r="M1774" t="str">
        <f>_xlfn.XLOOKUP(D1774, Products!A:A, Products!C:C)</f>
        <v>Grocery</v>
      </c>
      <c r="N1774" t="str">
        <f>_xlfn.XLOOKUP(E600, Sales_Reps!A:A, Sales_Reps!C:C)</f>
        <v>North</v>
      </c>
      <c r="O1774">
        <f>_xlfn.XLOOKUP(D1774, Products!A:A, Products!D:D)</f>
        <v>1010</v>
      </c>
      <c r="P1774">
        <f>_xlfn.XLOOKUP(D1774, Products!A:A, Products!E:E)</f>
        <v>2210</v>
      </c>
    </row>
    <row r="1775" spans="1:16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 t="shared" si="27"/>
        <v>Hyderabad</v>
      </c>
      <c r="M1775" t="str">
        <f>_xlfn.XLOOKUP(D1775, Products!A:A, Products!C:C)</f>
        <v>Sports</v>
      </c>
      <c r="N1775" t="str">
        <f>_xlfn.XLOOKUP(E601, Sales_Reps!A:A, Sales_Reps!C:C)</f>
        <v>South</v>
      </c>
      <c r="O1775">
        <f>_xlfn.XLOOKUP(D1775, Products!A:A, Products!D:D)</f>
        <v>2827</v>
      </c>
      <c r="P1775">
        <f>_xlfn.XLOOKUP(D1775, Products!A:A, Products!E:E)</f>
        <v>6940</v>
      </c>
    </row>
    <row r="1776" spans="1:16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 t="shared" si="27"/>
        <v>Pune</v>
      </c>
      <c r="M1776" t="str">
        <f>_xlfn.XLOOKUP(D1776, Products!A:A, Products!C:C)</f>
        <v>Home</v>
      </c>
      <c r="N1776" t="str">
        <f>_xlfn.XLOOKUP(E602, Sales_Reps!A:A, Sales_Reps!C:C)</f>
        <v>South</v>
      </c>
      <c r="O1776">
        <f>_xlfn.XLOOKUP(D1776, Products!A:A, Products!D:D)</f>
        <v>1143</v>
      </c>
      <c r="P1776">
        <f>_xlfn.XLOOKUP(D1776, Products!A:A, Products!E:E)</f>
        <v>2030</v>
      </c>
    </row>
    <row r="1777" spans="1:16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 t="shared" si="27"/>
        <v>Pune</v>
      </c>
      <c r="M1777" t="str">
        <f>_xlfn.XLOOKUP(D1777, Products!A:A, Products!C:C)</f>
        <v>Sports</v>
      </c>
      <c r="N1777" t="str">
        <f>_xlfn.XLOOKUP(E603, Sales_Reps!A:A, Sales_Reps!C:C)</f>
        <v>West</v>
      </c>
      <c r="O1777">
        <f>_xlfn.XLOOKUP(D1777, Products!A:A, Products!D:D)</f>
        <v>516</v>
      </c>
      <c r="P1777">
        <f>_xlfn.XLOOKUP(D1777, Products!A:A, Products!E:E)</f>
        <v>1010</v>
      </c>
    </row>
    <row r="1778" spans="1:16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 t="shared" si="27"/>
        <v>Chennai</v>
      </c>
      <c r="M1778" t="str">
        <f>_xlfn.XLOOKUP(D1778, Products!A:A, Products!C:C)</f>
        <v>Apparel</v>
      </c>
      <c r="N1778" t="str">
        <f>_xlfn.XLOOKUP(E604, Sales_Reps!A:A, Sales_Reps!C:C)</f>
        <v>North</v>
      </c>
      <c r="O1778">
        <f>_xlfn.XLOOKUP(D1778, Products!A:A, Products!D:D)</f>
        <v>1075</v>
      </c>
      <c r="P1778">
        <f>_xlfn.XLOOKUP(D1778, Products!A:A, Products!E:E)</f>
        <v>2510</v>
      </c>
    </row>
    <row r="1779" spans="1:16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 t="shared" si="27"/>
        <v>Bengaluru</v>
      </c>
      <c r="M1779" t="str">
        <f>_xlfn.XLOOKUP(D1779, Products!A:A, Products!C:C)</f>
        <v>Home</v>
      </c>
      <c r="N1779" t="str">
        <f>_xlfn.XLOOKUP(E605, Sales_Reps!A:A, Sales_Reps!C:C)</f>
        <v>West</v>
      </c>
      <c r="O1779">
        <f>_xlfn.XLOOKUP(D1779, Products!A:A, Products!D:D)</f>
        <v>288</v>
      </c>
      <c r="P1779">
        <f>_xlfn.XLOOKUP(D1779, Products!A:A, Products!E:E)</f>
        <v>370</v>
      </c>
    </row>
    <row r="1780" spans="1:16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 t="shared" si="27"/>
        <v>Hyderabad</v>
      </c>
      <c r="M1780" t="str">
        <f>_xlfn.XLOOKUP(D1780, Products!A:A, Products!C:C)</f>
        <v>Apparel</v>
      </c>
      <c r="N1780" t="str">
        <f>_xlfn.XLOOKUP(E606, Sales_Reps!A:A, Sales_Reps!C:C)</f>
        <v>East</v>
      </c>
      <c r="O1780">
        <f>_xlfn.XLOOKUP(D1780, Products!A:A, Products!D:D)</f>
        <v>1173</v>
      </c>
      <c r="P1780">
        <f>_xlfn.XLOOKUP(D1780, Products!A:A, Products!E:E)</f>
        <v>2480</v>
      </c>
    </row>
    <row r="1781" spans="1:16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 t="shared" si="27"/>
        <v>Chennai</v>
      </c>
      <c r="M1781" t="str">
        <f>_xlfn.XLOOKUP(D1781, Products!A:A, Products!C:C)</f>
        <v>Electronics</v>
      </c>
      <c r="N1781" t="str">
        <f>_xlfn.XLOOKUP(E607, Sales_Reps!A:A, Sales_Reps!C:C)</f>
        <v>East</v>
      </c>
      <c r="O1781">
        <f>_xlfn.XLOOKUP(D1781, Products!A:A, Products!D:D)</f>
        <v>1149</v>
      </c>
      <c r="P1781">
        <f>_xlfn.XLOOKUP(D1781, Products!A:A, Products!E:E)</f>
        <v>2640</v>
      </c>
    </row>
    <row r="1782" spans="1:16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 t="shared" si="27"/>
        <v>Chennai</v>
      </c>
      <c r="M1782" t="str">
        <f>_xlfn.XLOOKUP(D1782, Products!A:A, Products!C:C)</f>
        <v>Home</v>
      </c>
      <c r="N1782" t="str">
        <f>_xlfn.XLOOKUP(E608, Sales_Reps!A:A, Sales_Reps!C:C)</f>
        <v>South</v>
      </c>
      <c r="O1782">
        <f>_xlfn.XLOOKUP(D1782, Products!A:A, Products!D:D)</f>
        <v>464</v>
      </c>
      <c r="P1782">
        <f>_xlfn.XLOOKUP(D1782, Products!A:A, Products!E:E)</f>
        <v>1090</v>
      </c>
    </row>
    <row r="1783" spans="1:16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 t="shared" si="27"/>
        <v>Mumbai</v>
      </c>
      <c r="M1783" t="str">
        <f>_xlfn.XLOOKUP(D1783, Products!A:A, Products!C:C)</f>
        <v>Beauty</v>
      </c>
      <c r="N1783" t="str">
        <f>_xlfn.XLOOKUP(E609, Sales_Reps!A:A, Sales_Reps!C:C)</f>
        <v>West</v>
      </c>
      <c r="O1783">
        <f>_xlfn.XLOOKUP(D1783, Products!A:A, Products!D:D)</f>
        <v>1728</v>
      </c>
      <c r="P1783">
        <f>_xlfn.XLOOKUP(D1783, Products!A:A, Products!E:E)</f>
        <v>3350</v>
      </c>
    </row>
    <row r="1784" spans="1:16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 t="shared" si="27"/>
        <v>Chennai</v>
      </c>
      <c r="M1784" t="str">
        <f>_xlfn.XLOOKUP(D1784, Products!A:A, Products!C:C)</f>
        <v>Beauty</v>
      </c>
      <c r="N1784" t="str">
        <f>_xlfn.XLOOKUP(E610, Sales_Reps!A:A, Sales_Reps!C:C)</f>
        <v>South</v>
      </c>
      <c r="O1784">
        <f>_xlfn.XLOOKUP(D1784, Products!A:A, Products!D:D)</f>
        <v>2617</v>
      </c>
      <c r="P1784">
        <f>_xlfn.XLOOKUP(D1784, Products!A:A, Products!E:E)</f>
        <v>6080</v>
      </c>
    </row>
    <row r="1785" spans="1:16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 t="shared" si="27"/>
        <v>Hyderabad</v>
      </c>
      <c r="M1785" t="str">
        <f>_xlfn.XLOOKUP(D1785, Products!A:A, Products!C:C)</f>
        <v>Beauty</v>
      </c>
      <c r="N1785" t="str">
        <f>_xlfn.XLOOKUP(E611, Sales_Reps!A:A, Sales_Reps!C:C)</f>
        <v>West</v>
      </c>
      <c r="O1785">
        <f>_xlfn.XLOOKUP(D1785, Products!A:A, Products!D:D)</f>
        <v>675</v>
      </c>
      <c r="P1785">
        <f>_xlfn.XLOOKUP(D1785, Products!A:A, Products!E:E)</f>
        <v>960</v>
      </c>
    </row>
    <row r="1786" spans="1:16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 t="shared" si="27"/>
        <v>Pune</v>
      </c>
      <c r="M1786" t="str">
        <f>_xlfn.XLOOKUP(D1786, Products!A:A, Products!C:C)</f>
        <v>Grocery</v>
      </c>
      <c r="N1786" t="str">
        <f>_xlfn.XLOOKUP(E612, Sales_Reps!A:A, Sales_Reps!C:C)</f>
        <v>West</v>
      </c>
      <c r="O1786">
        <f>_xlfn.XLOOKUP(D1786, Products!A:A, Products!D:D)</f>
        <v>2214</v>
      </c>
      <c r="P1786">
        <f>_xlfn.XLOOKUP(D1786, Products!A:A, Products!E:E)</f>
        <v>3660</v>
      </c>
    </row>
    <row r="1787" spans="1:16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 t="shared" si="27"/>
        <v>Chennai</v>
      </c>
      <c r="M1787" t="str">
        <f>_xlfn.XLOOKUP(D1787, Products!A:A, Products!C:C)</f>
        <v>Beauty</v>
      </c>
      <c r="N1787" t="str">
        <f>_xlfn.XLOOKUP(E613, Sales_Reps!A:A, Sales_Reps!C:C)</f>
        <v>East</v>
      </c>
      <c r="O1787">
        <f>_xlfn.XLOOKUP(D1787, Products!A:A, Products!D:D)</f>
        <v>2420</v>
      </c>
      <c r="P1787">
        <f>_xlfn.XLOOKUP(D1787, Products!A:A, Products!E:E)</f>
        <v>3450</v>
      </c>
    </row>
    <row r="1788" spans="1:16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 t="shared" si="27"/>
        <v>Mumbai</v>
      </c>
      <c r="M1788" t="str">
        <f>_xlfn.XLOOKUP(D1788, Products!A:A, Products!C:C)</f>
        <v>Home</v>
      </c>
      <c r="N1788" t="str">
        <f>_xlfn.XLOOKUP(E614, Sales_Reps!A:A, Sales_Reps!C:C)</f>
        <v>North</v>
      </c>
      <c r="O1788">
        <f>_xlfn.XLOOKUP(D1788, Products!A:A, Products!D:D)</f>
        <v>1850</v>
      </c>
      <c r="P1788">
        <f>_xlfn.XLOOKUP(D1788, Products!A:A, Products!E:E)</f>
        <v>4610</v>
      </c>
    </row>
    <row r="1789" spans="1:16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 t="shared" si="27"/>
        <v>Bengaluru</v>
      </c>
      <c r="M1789" t="str">
        <f>_xlfn.XLOOKUP(D1789, Products!A:A, Products!C:C)</f>
        <v>Sports</v>
      </c>
      <c r="N1789" t="str">
        <f>_xlfn.XLOOKUP(E615, Sales_Reps!A:A, Sales_Reps!C:C)</f>
        <v>West</v>
      </c>
      <c r="O1789">
        <f>_xlfn.XLOOKUP(D1789, Products!A:A, Products!D:D)</f>
        <v>705</v>
      </c>
      <c r="P1789">
        <f>_xlfn.XLOOKUP(D1789, Products!A:A, Products!E:E)</f>
        <v>960</v>
      </c>
    </row>
    <row r="1790" spans="1:16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 t="shared" si="27"/>
        <v>Chennai</v>
      </c>
      <c r="M1790" t="str">
        <f>_xlfn.XLOOKUP(D1790, Products!A:A, Products!C:C)</f>
        <v>Home</v>
      </c>
      <c r="N1790" t="str">
        <f>_xlfn.XLOOKUP(E616, Sales_Reps!A:A, Sales_Reps!C:C)</f>
        <v>South</v>
      </c>
      <c r="O1790">
        <f>_xlfn.XLOOKUP(D1790, Products!A:A, Products!D:D)</f>
        <v>288</v>
      </c>
      <c r="P1790">
        <f>_xlfn.XLOOKUP(D1790, Products!A:A, Products!E:E)</f>
        <v>370</v>
      </c>
    </row>
    <row r="1791" spans="1:16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 t="shared" si="27"/>
        <v>Chennai</v>
      </c>
      <c r="M1791" t="str">
        <f>_xlfn.XLOOKUP(D1791, Products!A:A, Products!C:C)</f>
        <v>Grocery</v>
      </c>
      <c r="N1791" t="str">
        <f>_xlfn.XLOOKUP(E617, Sales_Reps!A:A, Sales_Reps!C:C)</f>
        <v>East</v>
      </c>
      <c r="O1791">
        <f>_xlfn.XLOOKUP(D1791, Products!A:A, Products!D:D)</f>
        <v>1203</v>
      </c>
      <c r="P1791">
        <f>_xlfn.XLOOKUP(D1791, Products!A:A, Products!E:E)</f>
        <v>2270</v>
      </c>
    </row>
    <row r="1792" spans="1:16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 t="shared" si="27"/>
        <v>Mumbai</v>
      </c>
      <c r="M1792" t="str">
        <f>_xlfn.XLOOKUP(D1792, Products!A:A, Products!C:C)</f>
        <v>Home</v>
      </c>
      <c r="N1792" t="str">
        <f>_xlfn.XLOOKUP(E618, Sales_Reps!A:A, Sales_Reps!C:C)</f>
        <v>East</v>
      </c>
      <c r="O1792">
        <f>_xlfn.XLOOKUP(D1792, Products!A:A, Products!D:D)</f>
        <v>1556</v>
      </c>
      <c r="P1792">
        <f>_xlfn.XLOOKUP(D1792, Products!A:A, Products!E:E)</f>
        <v>3250</v>
      </c>
    </row>
    <row r="1793" spans="1:16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 t="shared" si="27"/>
        <v>Chennai</v>
      </c>
      <c r="M1793" t="str">
        <f>_xlfn.XLOOKUP(D1793, Products!A:A, Products!C:C)</f>
        <v>Apparel</v>
      </c>
      <c r="N1793" t="str">
        <f>_xlfn.XLOOKUP(E619, Sales_Reps!A:A, Sales_Reps!C:C)</f>
        <v>West</v>
      </c>
      <c r="O1793">
        <f>_xlfn.XLOOKUP(D1793, Products!A:A, Products!D:D)</f>
        <v>396</v>
      </c>
      <c r="P1793">
        <f>_xlfn.XLOOKUP(D1793, Products!A:A, Products!E:E)</f>
        <v>620</v>
      </c>
    </row>
    <row r="1794" spans="1:16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 t="shared" si="27"/>
        <v>Pune</v>
      </c>
      <c r="M1794" t="str">
        <f>_xlfn.XLOOKUP(D1794, Products!A:A, Products!C:C)</f>
        <v>Electronics</v>
      </c>
      <c r="N1794" t="str">
        <f>_xlfn.XLOOKUP(E620, Sales_Reps!A:A, Sales_Reps!C:C)</f>
        <v>North</v>
      </c>
      <c r="O1794">
        <f>_xlfn.XLOOKUP(D1794, Products!A:A, Products!D:D)</f>
        <v>1259</v>
      </c>
      <c r="P1794">
        <f>_xlfn.XLOOKUP(D1794, Products!A:A, Products!E:E)</f>
        <v>2660</v>
      </c>
    </row>
    <row r="1795" spans="1:16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 t="shared" ref="L1795:L1858" si="28">PROPER(TRIM(K1795))</f>
        <v>Bengaluru</v>
      </c>
      <c r="M1795" t="str">
        <f>_xlfn.XLOOKUP(D1795, Products!A:A, Products!C:C)</f>
        <v>Apparel</v>
      </c>
      <c r="N1795" t="str">
        <f>_xlfn.XLOOKUP(E621, Sales_Reps!A:A, Sales_Reps!C:C)</f>
        <v>North</v>
      </c>
      <c r="O1795">
        <f>_xlfn.XLOOKUP(D1795, Products!A:A, Products!D:D)</f>
        <v>2509</v>
      </c>
      <c r="P1795">
        <f>_xlfn.XLOOKUP(D1795, Products!A:A, Products!E:E)</f>
        <v>3620</v>
      </c>
    </row>
    <row r="1796" spans="1:16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 t="shared" si="28"/>
        <v>Bengaluru</v>
      </c>
      <c r="M1796" t="str">
        <f>_xlfn.XLOOKUP(D1796, Products!A:A, Products!C:C)</f>
        <v>Apparel</v>
      </c>
      <c r="N1796" t="str">
        <f>_xlfn.XLOOKUP(E622, Sales_Reps!A:A, Sales_Reps!C:C)</f>
        <v>North</v>
      </c>
      <c r="O1796">
        <f>_xlfn.XLOOKUP(D1796, Products!A:A, Products!D:D)</f>
        <v>2611</v>
      </c>
      <c r="P1796">
        <f>_xlfn.XLOOKUP(D1796, Products!A:A, Products!E:E)</f>
        <v>3640</v>
      </c>
    </row>
    <row r="1797" spans="1:16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 t="shared" si="28"/>
        <v>Hyderabad</v>
      </c>
      <c r="M1797" t="str">
        <f>_xlfn.XLOOKUP(D1797, Products!A:A, Products!C:C)</f>
        <v>Electronics</v>
      </c>
      <c r="N1797" t="str">
        <f>_xlfn.XLOOKUP(E623, Sales_Reps!A:A, Sales_Reps!C:C)</f>
        <v>South</v>
      </c>
      <c r="O1797">
        <f>_xlfn.XLOOKUP(D1797, Products!A:A, Products!D:D)</f>
        <v>517</v>
      </c>
      <c r="P1797">
        <f>_xlfn.XLOOKUP(D1797, Products!A:A, Products!E:E)</f>
        <v>1220</v>
      </c>
    </row>
    <row r="1798" spans="1:16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 t="shared" si="28"/>
        <v>Bengaluru</v>
      </c>
      <c r="M1798" t="str">
        <f>_xlfn.XLOOKUP(D1798, Products!A:A, Products!C:C)</f>
        <v>Apparel</v>
      </c>
      <c r="N1798" t="str">
        <f>_xlfn.XLOOKUP(E624, Sales_Reps!A:A, Sales_Reps!C:C)</f>
        <v>East</v>
      </c>
      <c r="O1798">
        <f>_xlfn.XLOOKUP(D1798, Products!A:A, Products!D:D)</f>
        <v>1173</v>
      </c>
      <c r="P1798">
        <f>_xlfn.XLOOKUP(D1798, Products!A:A, Products!E:E)</f>
        <v>2480</v>
      </c>
    </row>
    <row r="1799" spans="1:16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 t="shared" si="28"/>
        <v>Chennai</v>
      </c>
      <c r="M1799" t="str">
        <f>_xlfn.XLOOKUP(D1799, Products!A:A, Products!C:C)</f>
        <v>Beauty</v>
      </c>
      <c r="N1799" t="str">
        <f>_xlfn.XLOOKUP(E625, Sales_Reps!A:A, Sales_Reps!C:C)</f>
        <v>South</v>
      </c>
      <c r="O1799">
        <f>_xlfn.XLOOKUP(D1799, Products!A:A, Products!D:D)</f>
        <v>1222</v>
      </c>
      <c r="P1799">
        <f>_xlfn.XLOOKUP(D1799, Products!A:A, Products!E:E)</f>
        <v>1650</v>
      </c>
    </row>
    <row r="1800" spans="1:16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 t="shared" si="28"/>
        <v>Chennai</v>
      </c>
      <c r="M1800" t="str">
        <f>_xlfn.XLOOKUP(D1800, Products!A:A, Products!C:C)</f>
        <v>Beauty</v>
      </c>
      <c r="N1800" t="str">
        <f>_xlfn.XLOOKUP(E626, Sales_Reps!A:A, Sales_Reps!C:C)</f>
        <v>North</v>
      </c>
      <c r="O1800">
        <f>_xlfn.XLOOKUP(D1800, Products!A:A, Products!D:D)</f>
        <v>1626</v>
      </c>
      <c r="P1800">
        <f>_xlfn.XLOOKUP(D1800, Products!A:A, Products!E:E)</f>
        <v>3020</v>
      </c>
    </row>
    <row r="1801" spans="1:16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 t="shared" si="28"/>
        <v>Bengaluru</v>
      </c>
      <c r="M1801" t="str">
        <f>_xlfn.XLOOKUP(D1801, Products!A:A, Products!C:C)</f>
        <v>Apparel</v>
      </c>
      <c r="N1801" t="str">
        <f>_xlfn.XLOOKUP(E627, Sales_Reps!A:A, Sales_Reps!C:C)</f>
        <v>North</v>
      </c>
      <c r="O1801">
        <f>_xlfn.XLOOKUP(D1801, Products!A:A, Products!D:D)</f>
        <v>1748</v>
      </c>
      <c r="P1801">
        <f>_xlfn.XLOOKUP(D1801, Products!A:A, Products!E:E)</f>
        <v>3450</v>
      </c>
    </row>
    <row r="1802" spans="1:16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 t="shared" si="28"/>
        <v>Hyderabad</v>
      </c>
      <c r="M1802" t="str">
        <f>_xlfn.XLOOKUP(D1802, Products!A:A, Products!C:C)</f>
        <v>Electronics</v>
      </c>
      <c r="N1802" t="str">
        <f>_xlfn.XLOOKUP(E628, Sales_Reps!A:A, Sales_Reps!C:C)</f>
        <v>South</v>
      </c>
      <c r="O1802">
        <f>_xlfn.XLOOKUP(D1802, Products!A:A, Products!D:D)</f>
        <v>517</v>
      </c>
      <c r="P1802">
        <f>_xlfn.XLOOKUP(D1802, Products!A:A, Products!E:E)</f>
        <v>1220</v>
      </c>
    </row>
    <row r="1803" spans="1:16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 t="shared" si="28"/>
        <v>Hyderabad</v>
      </c>
      <c r="M1803" t="str">
        <f>_xlfn.XLOOKUP(D1803, Products!A:A, Products!C:C)</f>
        <v>Grocery</v>
      </c>
      <c r="N1803" t="str">
        <f>_xlfn.XLOOKUP(E629, Sales_Reps!A:A, Sales_Reps!C:C)</f>
        <v>North</v>
      </c>
      <c r="O1803">
        <f>_xlfn.XLOOKUP(D1803, Products!A:A, Products!D:D)</f>
        <v>2436</v>
      </c>
      <c r="P1803">
        <f>_xlfn.XLOOKUP(D1803, Products!A:A, Products!E:E)</f>
        <v>3780</v>
      </c>
    </row>
    <row r="1804" spans="1:16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 t="shared" si="28"/>
        <v>Delhi</v>
      </c>
      <c r="M1804" t="str">
        <f>_xlfn.XLOOKUP(D1804, Products!A:A, Products!C:C)</f>
        <v>Electronics</v>
      </c>
      <c r="N1804" t="str">
        <f>_xlfn.XLOOKUP(E630, Sales_Reps!A:A, Sales_Reps!C:C)</f>
        <v>South</v>
      </c>
      <c r="O1804">
        <f>_xlfn.XLOOKUP(D1804, Products!A:A, Products!D:D)</f>
        <v>1259</v>
      </c>
      <c r="P1804">
        <f>_xlfn.XLOOKUP(D1804, Products!A:A, Products!E:E)</f>
        <v>2660</v>
      </c>
    </row>
    <row r="1805" spans="1:16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 t="shared" si="28"/>
        <v>Hyderabad</v>
      </c>
      <c r="M1805" t="str">
        <f>_xlfn.XLOOKUP(D1805, Products!A:A, Products!C:C)</f>
        <v>Home</v>
      </c>
      <c r="N1805" t="str">
        <f>_xlfn.XLOOKUP(E631, Sales_Reps!A:A, Sales_Reps!C:C)</f>
        <v>West</v>
      </c>
      <c r="O1805">
        <f>_xlfn.XLOOKUP(D1805, Products!A:A, Products!D:D)</f>
        <v>464</v>
      </c>
      <c r="P1805">
        <f>_xlfn.XLOOKUP(D1805, Products!A:A, Products!E:E)</f>
        <v>1090</v>
      </c>
    </row>
    <row r="1806" spans="1:16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 t="shared" si="28"/>
        <v>Mumbai</v>
      </c>
      <c r="M1806" t="str">
        <f>_xlfn.XLOOKUP(D1806, Products!A:A, Products!C:C)</f>
        <v>Home</v>
      </c>
      <c r="N1806" t="str">
        <f>_xlfn.XLOOKUP(E632, Sales_Reps!A:A, Sales_Reps!C:C)</f>
        <v>South</v>
      </c>
      <c r="O1806">
        <f>_xlfn.XLOOKUP(D1806, Products!A:A, Products!D:D)</f>
        <v>329</v>
      </c>
      <c r="P1806">
        <f>_xlfn.XLOOKUP(D1806, Products!A:A, Products!E:E)</f>
        <v>660</v>
      </c>
    </row>
    <row r="1807" spans="1:16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 t="shared" si="28"/>
        <v>Mumbai</v>
      </c>
      <c r="M1807" t="str">
        <f>_xlfn.XLOOKUP(D1807, Products!A:A, Products!C:C)</f>
        <v>Home</v>
      </c>
      <c r="N1807" t="str">
        <f>_xlfn.XLOOKUP(E633, Sales_Reps!A:A, Sales_Reps!C:C)</f>
        <v>North</v>
      </c>
      <c r="O1807">
        <f>_xlfn.XLOOKUP(D1807, Products!A:A, Products!D:D)</f>
        <v>464</v>
      </c>
      <c r="P1807">
        <f>_xlfn.XLOOKUP(D1807, Products!A:A, Products!E:E)</f>
        <v>1090</v>
      </c>
    </row>
    <row r="1808" spans="1:16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 t="shared" si="28"/>
        <v>Bengaluru</v>
      </c>
      <c r="M1808" t="str">
        <f>_xlfn.XLOOKUP(D1808, Products!A:A, Products!C:C)</f>
        <v>Grocery</v>
      </c>
      <c r="N1808" t="str">
        <f>_xlfn.XLOOKUP(E634, Sales_Reps!A:A, Sales_Reps!C:C)</f>
        <v>North</v>
      </c>
      <c r="O1808">
        <f>_xlfn.XLOOKUP(D1808, Products!A:A, Products!D:D)</f>
        <v>1010</v>
      </c>
      <c r="P1808">
        <f>_xlfn.XLOOKUP(D1808, Products!A:A, Products!E:E)</f>
        <v>2210</v>
      </c>
    </row>
    <row r="1809" spans="1:16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 t="shared" si="28"/>
        <v>Chennai</v>
      </c>
      <c r="M1809" t="str">
        <f>_xlfn.XLOOKUP(D1809, Products!A:A, Products!C:C)</f>
        <v>Electronics</v>
      </c>
      <c r="N1809" t="str">
        <f>_xlfn.XLOOKUP(E635, Sales_Reps!A:A, Sales_Reps!C:C)</f>
        <v>North</v>
      </c>
      <c r="O1809">
        <f>_xlfn.XLOOKUP(D1809, Products!A:A, Products!D:D)</f>
        <v>2865</v>
      </c>
      <c r="P1809">
        <f>_xlfn.XLOOKUP(D1809, Products!A:A, Products!E:E)</f>
        <v>3970</v>
      </c>
    </row>
    <row r="1810" spans="1:16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 t="shared" si="28"/>
        <v>Pune</v>
      </c>
      <c r="M1810" t="str">
        <f>_xlfn.XLOOKUP(D1810, Products!A:A, Products!C:C)</f>
        <v>Home</v>
      </c>
      <c r="N1810" t="str">
        <f>_xlfn.XLOOKUP(E636, Sales_Reps!A:A, Sales_Reps!C:C)</f>
        <v>South</v>
      </c>
      <c r="O1810">
        <f>_xlfn.XLOOKUP(D1810, Products!A:A, Products!D:D)</f>
        <v>1850</v>
      </c>
      <c r="P1810">
        <f>_xlfn.XLOOKUP(D1810, Products!A:A, Products!E:E)</f>
        <v>4610</v>
      </c>
    </row>
    <row r="1811" spans="1:16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 t="shared" si="28"/>
        <v>Delhi</v>
      </c>
      <c r="M1811" t="str">
        <f>_xlfn.XLOOKUP(D1811, Products!A:A, Products!C:C)</f>
        <v>Beauty</v>
      </c>
      <c r="N1811" t="str">
        <f>_xlfn.XLOOKUP(E637, Sales_Reps!A:A, Sales_Reps!C:C)</f>
        <v>South</v>
      </c>
      <c r="O1811">
        <f>_xlfn.XLOOKUP(D1811, Products!A:A, Products!D:D)</f>
        <v>675</v>
      </c>
      <c r="P1811">
        <f>_xlfn.XLOOKUP(D1811, Products!A:A, Products!E:E)</f>
        <v>960</v>
      </c>
    </row>
    <row r="1812" spans="1:16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 t="shared" si="28"/>
        <v>Bengaluru</v>
      </c>
      <c r="M1812" t="str">
        <f>_xlfn.XLOOKUP(D1812, Products!A:A, Products!C:C)</f>
        <v>Beauty</v>
      </c>
      <c r="N1812" t="str">
        <f>_xlfn.XLOOKUP(E638, Sales_Reps!A:A, Sales_Reps!C:C)</f>
        <v>North</v>
      </c>
      <c r="O1812">
        <f>_xlfn.XLOOKUP(D1812, Products!A:A, Products!D:D)</f>
        <v>1626</v>
      </c>
      <c r="P1812">
        <f>_xlfn.XLOOKUP(D1812, Products!A:A, Products!E:E)</f>
        <v>3020</v>
      </c>
    </row>
    <row r="1813" spans="1:16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 t="shared" si="28"/>
        <v>Pune</v>
      </c>
      <c r="M1813" t="str">
        <f>_xlfn.XLOOKUP(D1813, Products!A:A, Products!C:C)</f>
        <v>Apparel</v>
      </c>
      <c r="N1813" t="str">
        <f>_xlfn.XLOOKUP(E639, Sales_Reps!A:A, Sales_Reps!C:C)</f>
        <v>North</v>
      </c>
      <c r="O1813">
        <f>_xlfn.XLOOKUP(D1813, Products!A:A, Products!D:D)</f>
        <v>1173</v>
      </c>
      <c r="P1813">
        <f>_xlfn.XLOOKUP(D1813, Products!A:A, Products!E:E)</f>
        <v>2480</v>
      </c>
    </row>
    <row r="1814" spans="1:16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 t="shared" si="28"/>
        <v>Hyderabad</v>
      </c>
      <c r="M1814" t="str">
        <f>_xlfn.XLOOKUP(D1814, Products!A:A, Products!C:C)</f>
        <v>Electronics</v>
      </c>
      <c r="N1814" t="str">
        <f>_xlfn.XLOOKUP(E640, Sales_Reps!A:A, Sales_Reps!C:C)</f>
        <v>East</v>
      </c>
      <c r="O1814">
        <f>_xlfn.XLOOKUP(D1814, Products!A:A, Products!D:D)</f>
        <v>1559</v>
      </c>
      <c r="P1814">
        <f>_xlfn.XLOOKUP(D1814, Products!A:A, Products!E:E)</f>
        <v>3870</v>
      </c>
    </row>
    <row r="1815" spans="1:16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 t="shared" si="28"/>
        <v>Mumbai</v>
      </c>
      <c r="M1815" t="str">
        <f>_xlfn.XLOOKUP(D1815, Products!A:A, Products!C:C)</f>
        <v>Home</v>
      </c>
      <c r="N1815" t="str">
        <f>_xlfn.XLOOKUP(E641, Sales_Reps!A:A, Sales_Reps!C:C)</f>
        <v>South</v>
      </c>
      <c r="O1815">
        <f>_xlfn.XLOOKUP(D1815, Products!A:A, Products!D:D)</f>
        <v>329</v>
      </c>
      <c r="P1815">
        <f>_xlfn.XLOOKUP(D1815, Products!A:A, Products!E:E)</f>
        <v>660</v>
      </c>
    </row>
    <row r="1816" spans="1:16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 t="shared" si="28"/>
        <v>Chennai</v>
      </c>
      <c r="M1816" t="str">
        <f>_xlfn.XLOOKUP(D1816, Products!A:A, Products!C:C)</f>
        <v>Electronics</v>
      </c>
      <c r="N1816" t="str">
        <f>_xlfn.XLOOKUP(E642, Sales_Reps!A:A, Sales_Reps!C:C)</f>
        <v>East</v>
      </c>
      <c r="O1816">
        <f>_xlfn.XLOOKUP(D1816, Products!A:A, Products!D:D)</f>
        <v>1559</v>
      </c>
      <c r="P1816">
        <f>_xlfn.XLOOKUP(D1816, Products!A:A, Products!E:E)</f>
        <v>3870</v>
      </c>
    </row>
    <row r="1817" spans="1:16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 t="shared" si="28"/>
        <v>Pune</v>
      </c>
      <c r="M1817" t="str">
        <f>_xlfn.XLOOKUP(D1817, Products!A:A, Products!C:C)</f>
        <v>Apparel</v>
      </c>
      <c r="N1817" t="str">
        <f>_xlfn.XLOOKUP(E643, Sales_Reps!A:A, Sales_Reps!C:C)</f>
        <v>North</v>
      </c>
      <c r="O1817">
        <f>_xlfn.XLOOKUP(D1817, Products!A:A, Products!D:D)</f>
        <v>1173</v>
      </c>
      <c r="P1817">
        <f>_xlfn.XLOOKUP(D1817, Products!A:A, Products!E:E)</f>
        <v>2480</v>
      </c>
    </row>
    <row r="1818" spans="1:16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 t="shared" si="28"/>
        <v>Chennai</v>
      </c>
      <c r="M1818" t="str">
        <f>_xlfn.XLOOKUP(D1818, Products!A:A, Products!C:C)</f>
        <v>Electronics</v>
      </c>
      <c r="N1818" t="str">
        <f>_xlfn.XLOOKUP(E644, Sales_Reps!A:A, Sales_Reps!C:C)</f>
        <v>South</v>
      </c>
      <c r="O1818">
        <f>_xlfn.XLOOKUP(D1818, Products!A:A, Products!D:D)</f>
        <v>1149</v>
      </c>
      <c r="P1818">
        <f>_xlfn.XLOOKUP(D1818, Products!A:A, Products!E:E)</f>
        <v>2640</v>
      </c>
    </row>
    <row r="1819" spans="1:16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 t="shared" si="28"/>
        <v>Hyderabad</v>
      </c>
      <c r="M1819" t="str">
        <f>_xlfn.XLOOKUP(D1819, Products!A:A, Products!C:C)</f>
        <v>Grocery</v>
      </c>
      <c r="N1819" t="str">
        <f>_xlfn.XLOOKUP(E645, Sales_Reps!A:A, Sales_Reps!C:C)</f>
        <v>South</v>
      </c>
      <c r="O1819">
        <f>_xlfn.XLOOKUP(D1819, Products!A:A, Products!D:D)</f>
        <v>434</v>
      </c>
      <c r="P1819">
        <f>_xlfn.XLOOKUP(D1819, Products!A:A, Products!E:E)</f>
        <v>970</v>
      </c>
    </row>
    <row r="1820" spans="1:16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 t="shared" si="28"/>
        <v>Mumbai</v>
      </c>
      <c r="M1820" t="str">
        <f>_xlfn.XLOOKUP(D1820, Products!A:A, Products!C:C)</f>
        <v>Sports</v>
      </c>
      <c r="N1820" t="str">
        <f>_xlfn.XLOOKUP(E646, Sales_Reps!A:A, Sales_Reps!C:C)</f>
        <v>East</v>
      </c>
      <c r="O1820">
        <f>_xlfn.XLOOKUP(D1820, Products!A:A, Products!D:D)</f>
        <v>705</v>
      </c>
      <c r="P1820">
        <f>_xlfn.XLOOKUP(D1820, Products!A:A, Products!E:E)</f>
        <v>960</v>
      </c>
    </row>
    <row r="1821" spans="1:16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 t="shared" si="28"/>
        <v>Chennai</v>
      </c>
      <c r="M1821" t="str">
        <f>_xlfn.XLOOKUP(D1821, Products!A:A, Products!C:C)</f>
        <v>Home</v>
      </c>
      <c r="N1821" t="str">
        <f>_xlfn.XLOOKUP(E647, Sales_Reps!A:A, Sales_Reps!C:C)</f>
        <v>North</v>
      </c>
      <c r="O1821">
        <f>_xlfn.XLOOKUP(D1821, Products!A:A, Products!D:D)</f>
        <v>1143</v>
      </c>
      <c r="P1821">
        <f>_xlfn.XLOOKUP(D1821, Products!A:A, Products!E:E)</f>
        <v>2030</v>
      </c>
    </row>
    <row r="1822" spans="1:16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 t="shared" si="28"/>
        <v>Pune</v>
      </c>
      <c r="M1822" t="str">
        <f>_xlfn.XLOOKUP(D1822, Products!A:A, Products!C:C)</f>
        <v>Beauty</v>
      </c>
      <c r="N1822" t="str">
        <f>_xlfn.XLOOKUP(E648, Sales_Reps!A:A, Sales_Reps!C:C)</f>
        <v>East</v>
      </c>
      <c r="O1822">
        <f>_xlfn.XLOOKUP(D1822, Products!A:A, Products!D:D)</f>
        <v>1219</v>
      </c>
      <c r="P1822">
        <f>_xlfn.XLOOKUP(D1822, Products!A:A, Products!E:E)</f>
        <v>2290</v>
      </c>
    </row>
    <row r="1823" spans="1:16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 t="shared" si="28"/>
        <v>Chennai</v>
      </c>
      <c r="M1823" t="str">
        <f>_xlfn.XLOOKUP(D1823, Products!A:A, Products!C:C)</f>
        <v>Apparel</v>
      </c>
      <c r="N1823" t="str">
        <f>_xlfn.XLOOKUP(E649, Sales_Reps!A:A, Sales_Reps!C:C)</f>
        <v>West</v>
      </c>
      <c r="O1823">
        <f>_xlfn.XLOOKUP(D1823, Products!A:A, Products!D:D)</f>
        <v>391</v>
      </c>
      <c r="P1823">
        <f>_xlfn.XLOOKUP(D1823, Products!A:A, Products!E:E)</f>
        <v>820</v>
      </c>
    </row>
    <row r="1824" spans="1:16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 t="shared" si="28"/>
        <v>Hyderabad</v>
      </c>
      <c r="M1824" t="str">
        <f>_xlfn.XLOOKUP(D1824, Products!A:A, Products!C:C)</f>
        <v>Home</v>
      </c>
      <c r="N1824" t="str">
        <f>_xlfn.XLOOKUP(E650, Sales_Reps!A:A, Sales_Reps!C:C)</f>
        <v>East</v>
      </c>
      <c r="O1824">
        <f>_xlfn.XLOOKUP(D1824, Products!A:A, Products!D:D)</f>
        <v>519</v>
      </c>
      <c r="P1824">
        <f>_xlfn.XLOOKUP(D1824, Products!A:A, Products!E:E)</f>
        <v>1080</v>
      </c>
    </row>
    <row r="1825" spans="1:16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 t="shared" si="28"/>
        <v>Pune</v>
      </c>
      <c r="M1825" t="str">
        <f>_xlfn.XLOOKUP(D1825, Products!A:A, Products!C:C)</f>
        <v>Sports</v>
      </c>
      <c r="N1825" t="str">
        <f>_xlfn.XLOOKUP(E651, Sales_Reps!A:A, Sales_Reps!C:C)</f>
        <v>West</v>
      </c>
      <c r="O1825">
        <f>_xlfn.XLOOKUP(D1825, Products!A:A, Products!D:D)</f>
        <v>147</v>
      </c>
      <c r="P1825">
        <f>_xlfn.XLOOKUP(D1825, Products!A:A, Products!E:E)</f>
        <v>190</v>
      </c>
    </row>
    <row r="1826" spans="1:16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 t="shared" si="28"/>
        <v>Chennai</v>
      </c>
      <c r="M1826" t="str">
        <f>_xlfn.XLOOKUP(D1826, Products!A:A, Products!C:C)</f>
        <v>Apparel</v>
      </c>
      <c r="N1826" t="str">
        <f>_xlfn.XLOOKUP(E652, Sales_Reps!A:A, Sales_Reps!C:C)</f>
        <v>East</v>
      </c>
      <c r="O1826">
        <f>_xlfn.XLOOKUP(D1826, Products!A:A, Products!D:D)</f>
        <v>1075</v>
      </c>
      <c r="P1826">
        <f>_xlfn.XLOOKUP(D1826, Products!A:A, Products!E:E)</f>
        <v>2510</v>
      </c>
    </row>
    <row r="1827" spans="1:16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 t="shared" si="28"/>
        <v>Chennai</v>
      </c>
      <c r="M1827" t="str">
        <f>_xlfn.XLOOKUP(D1827, Products!A:A, Products!C:C)</f>
        <v>Apparel</v>
      </c>
      <c r="N1827" t="str">
        <f>_xlfn.XLOOKUP(E653, Sales_Reps!A:A, Sales_Reps!C:C)</f>
        <v>North</v>
      </c>
      <c r="O1827">
        <f>_xlfn.XLOOKUP(D1827, Products!A:A, Products!D:D)</f>
        <v>2629</v>
      </c>
      <c r="P1827">
        <f>_xlfn.XLOOKUP(D1827, Products!A:A, Products!E:E)</f>
        <v>3560</v>
      </c>
    </row>
    <row r="1828" spans="1:16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 t="shared" si="28"/>
        <v>Bengaluru</v>
      </c>
      <c r="M1828" t="str">
        <f>_xlfn.XLOOKUP(D1828, Products!A:A, Products!C:C)</f>
        <v>Apparel</v>
      </c>
      <c r="N1828" t="str">
        <f>_xlfn.XLOOKUP(E654, Sales_Reps!A:A, Sales_Reps!C:C)</f>
        <v>West</v>
      </c>
      <c r="O1828">
        <f>_xlfn.XLOOKUP(D1828, Products!A:A, Products!D:D)</f>
        <v>391</v>
      </c>
      <c r="P1828">
        <f>_xlfn.XLOOKUP(D1828, Products!A:A, Products!E:E)</f>
        <v>820</v>
      </c>
    </row>
    <row r="1829" spans="1:16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 t="shared" si="28"/>
        <v>Mumbai</v>
      </c>
      <c r="M1829" t="str">
        <f>_xlfn.XLOOKUP(D1829, Products!A:A, Products!C:C)</f>
        <v>Apparel</v>
      </c>
      <c r="N1829" t="str">
        <f>_xlfn.XLOOKUP(E655, Sales_Reps!A:A, Sales_Reps!C:C)</f>
        <v>North</v>
      </c>
      <c r="O1829">
        <f>_xlfn.XLOOKUP(D1829, Products!A:A, Products!D:D)</f>
        <v>2611</v>
      </c>
      <c r="P1829">
        <f>_xlfn.XLOOKUP(D1829, Products!A:A, Products!E:E)</f>
        <v>3640</v>
      </c>
    </row>
    <row r="1830" spans="1:16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 t="shared" si="28"/>
        <v>Mumbai</v>
      </c>
      <c r="M1830" t="str">
        <f>_xlfn.XLOOKUP(D1830, Products!A:A, Products!C:C)</f>
        <v>Grocery</v>
      </c>
      <c r="N1830" t="str">
        <f>_xlfn.XLOOKUP(E656, Sales_Reps!A:A, Sales_Reps!C:C)</f>
        <v>West</v>
      </c>
      <c r="O1830">
        <f>_xlfn.XLOOKUP(D1830, Products!A:A, Products!D:D)</f>
        <v>2214</v>
      </c>
      <c r="P1830">
        <f>_xlfn.XLOOKUP(D1830, Products!A:A, Products!E:E)</f>
        <v>3660</v>
      </c>
    </row>
    <row r="1831" spans="1:16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 t="shared" si="28"/>
        <v>Pune</v>
      </c>
      <c r="M1831" t="str">
        <f>_xlfn.XLOOKUP(D1831, Products!A:A, Products!C:C)</f>
        <v>Sports</v>
      </c>
      <c r="N1831" t="str">
        <f>_xlfn.XLOOKUP(E657, Sales_Reps!A:A, Sales_Reps!C:C)</f>
        <v>West</v>
      </c>
      <c r="O1831">
        <f>_xlfn.XLOOKUP(D1831, Products!A:A, Products!D:D)</f>
        <v>2028</v>
      </c>
      <c r="P1831">
        <f>_xlfn.XLOOKUP(D1831, Products!A:A, Products!E:E)</f>
        <v>2860</v>
      </c>
    </row>
    <row r="1832" spans="1:16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 t="shared" si="28"/>
        <v>Delhi</v>
      </c>
      <c r="M1832" t="str">
        <f>_xlfn.XLOOKUP(D1832, Products!A:A, Products!C:C)</f>
        <v>Apparel</v>
      </c>
      <c r="N1832" t="str">
        <f>_xlfn.XLOOKUP(E658, Sales_Reps!A:A, Sales_Reps!C:C)</f>
        <v>South</v>
      </c>
      <c r="O1832">
        <f>_xlfn.XLOOKUP(D1832, Products!A:A, Products!D:D)</f>
        <v>1962</v>
      </c>
      <c r="P1832">
        <f>_xlfn.XLOOKUP(D1832, Products!A:A, Products!E:E)</f>
        <v>2720</v>
      </c>
    </row>
    <row r="1833" spans="1:16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 t="shared" si="28"/>
        <v>Bengaluru</v>
      </c>
      <c r="M1833" t="str">
        <f>_xlfn.XLOOKUP(D1833, Products!A:A, Products!C:C)</f>
        <v>Sports</v>
      </c>
      <c r="N1833" t="str">
        <f>_xlfn.XLOOKUP(E659, Sales_Reps!A:A, Sales_Reps!C:C)</f>
        <v>East</v>
      </c>
      <c r="O1833">
        <f>_xlfn.XLOOKUP(D1833, Products!A:A, Products!D:D)</f>
        <v>2028</v>
      </c>
      <c r="P1833">
        <f>_xlfn.XLOOKUP(D1833, Products!A:A, Products!E:E)</f>
        <v>2860</v>
      </c>
    </row>
    <row r="1834" spans="1:16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 t="shared" si="28"/>
        <v>Mumbai</v>
      </c>
      <c r="M1834" t="str">
        <f>_xlfn.XLOOKUP(D1834, Products!A:A, Products!C:C)</f>
        <v>Apparel</v>
      </c>
      <c r="N1834" t="str">
        <f>_xlfn.XLOOKUP(E660, Sales_Reps!A:A, Sales_Reps!C:C)</f>
        <v>East</v>
      </c>
      <c r="O1834">
        <f>_xlfn.XLOOKUP(D1834, Products!A:A, Products!D:D)</f>
        <v>1075</v>
      </c>
      <c r="P1834">
        <f>_xlfn.XLOOKUP(D1834, Products!A:A, Products!E:E)</f>
        <v>2510</v>
      </c>
    </row>
    <row r="1835" spans="1:16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 t="shared" si="28"/>
        <v>Chennai</v>
      </c>
      <c r="M1835" t="str">
        <f>_xlfn.XLOOKUP(D1835, Products!A:A, Products!C:C)</f>
        <v>Apparel</v>
      </c>
      <c r="N1835" t="str">
        <f>_xlfn.XLOOKUP(E661, Sales_Reps!A:A, Sales_Reps!C:C)</f>
        <v>West</v>
      </c>
      <c r="O1835">
        <f>_xlfn.XLOOKUP(D1835, Products!A:A, Products!D:D)</f>
        <v>1075</v>
      </c>
      <c r="P1835">
        <f>_xlfn.XLOOKUP(D1835, Products!A:A, Products!E:E)</f>
        <v>2510</v>
      </c>
    </row>
    <row r="1836" spans="1:16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 t="shared" si="28"/>
        <v>Chennai</v>
      </c>
      <c r="M1836" t="str">
        <f>_xlfn.XLOOKUP(D1836, Products!A:A, Products!C:C)</f>
        <v>Beauty</v>
      </c>
      <c r="N1836" t="str">
        <f>_xlfn.XLOOKUP(E662, Sales_Reps!A:A, Sales_Reps!C:C)</f>
        <v>South</v>
      </c>
      <c r="O1836">
        <f>_xlfn.XLOOKUP(D1836, Products!A:A, Products!D:D)</f>
        <v>675</v>
      </c>
      <c r="P1836">
        <f>_xlfn.XLOOKUP(D1836, Products!A:A, Products!E:E)</f>
        <v>960</v>
      </c>
    </row>
    <row r="1837" spans="1:16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 t="shared" si="28"/>
        <v>Hyderabad</v>
      </c>
      <c r="M1837" t="str">
        <f>_xlfn.XLOOKUP(D1837, Products!A:A, Products!C:C)</f>
        <v>Home</v>
      </c>
      <c r="N1837" t="str">
        <f>_xlfn.XLOOKUP(E663, Sales_Reps!A:A, Sales_Reps!C:C)</f>
        <v>East</v>
      </c>
      <c r="O1837">
        <f>_xlfn.XLOOKUP(D1837, Products!A:A, Products!D:D)</f>
        <v>2549</v>
      </c>
      <c r="P1837">
        <f>_xlfn.XLOOKUP(D1837, Products!A:A, Products!E:E)</f>
        <v>5490</v>
      </c>
    </row>
    <row r="1838" spans="1:16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 t="shared" si="28"/>
        <v>Pune</v>
      </c>
      <c r="M1838" t="str">
        <f>_xlfn.XLOOKUP(D1838, Products!A:A, Products!C:C)</f>
        <v>Apparel</v>
      </c>
      <c r="N1838" t="str">
        <f>_xlfn.XLOOKUP(E664, Sales_Reps!A:A, Sales_Reps!C:C)</f>
        <v>South</v>
      </c>
      <c r="O1838">
        <f>_xlfn.XLOOKUP(D1838, Products!A:A, Products!D:D)</f>
        <v>1075</v>
      </c>
      <c r="P1838">
        <f>_xlfn.XLOOKUP(D1838, Products!A:A, Products!E:E)</f>
        <v>2510</v>
      </c>
    </row>
    <row r="1839" spans="1:16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 t="shared" si="28"/>
        <v>Delhi</v>
      </c>
      <c r="M1839" t="str">
        <f>_xlfn.XLOOKUP(D1839, Products!A:A, Products!C:C)</f>
        <v>Apparel</v>
      </c>
      <c r="N1839" t="str">
        <f>_xlfn.XLOOKUP(E665, Sales_Reps!A:A, Sales_Reps!C:C)</f>
        <v>East</v>
      </c>
      <c r="O1839">
        <f>_xlfn.XLOOKUP(D1839, Products!A:A, Products!D:D)</f>
        <v>391</v>
      </c>
      <c r="P1839">
        <f>_xlfn.XLOOKUP(D1839, Products!A:A, Products!E:E)</f>
        <v>820</v>
      </c>
    </row>
    <row r="1840" spans="1:16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 t="shared" si="28"/>
        <v>Mumbai</v>
      </c>
      <c r="M1840" t="str">
        <f>_xlfn.XLOOKUP(D1840, Products!A:A, Products!C:C)</f>
        <v>Electronics</v>
      </c>
      <c r="N1840" t="str">
        <f>_xlfn.XLOOKUP(E666, Sales_Reps!A:A, Sales_Reps!C:C)</f>
        <v>West</v>
      </c>
      <c r="O1840">
        <f>_xlfn.XLOOKUP(D1840, Products!A:A, Products!D:D)</f>
        <v>128</v>
      </c>
      <c r="P1840">
        <f>_xlfn.XLOOKUP(D1840, Products!A:A, Products!E:E)</f>
        <v>300</v>
      </c>
    </row>
    <row r="1841" spans="1:16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 t="shared" si="28"/>
        <v>Chennai</v>
      </c>
      <c r="M1841" t="str">
        <f>_xlfn.XLOOKUP(D1841, Products!A:A, Products!C:C)</f>
        <v>Beauty</v>
      </c>
      <c r="N1841" t="str">
        <f>_xlfn.XLOOKUP(E667, Sales_Reps!A:A, Sales_Reps!C:C)</f>
        <v>South</v>
      </c>
      <c r="O1841">
        <f>_xlfn.XLOOKUP(D1841, Products!A:A, Products!D:D)</f>
        <v>1728</v>
      </c>
      <c r="P1841">
        <f>_xlfn.XLOOKUP(D1841, Products!A:A, Products!E:E)</f>
        <v>3350</v>
      </c>
    </row>
    <row r="1842" spans="1:16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 t="shared" si="28"/>
        <v>Delhi</v>
      </c>
      <c r="M1842" t="str">
        <f>_xlfn.XLOOKUP(D1842, Products!A:A, Products!C:C)</f>
        <v>Home</v>
      </c>
      <c r="N1842" t="str">
        <f>_xlfn.XLOOKUP(E668, Sales_Reps!A:A, Sales_Reps!C:C)</f>
        <v>South</v>
      </c>
      <c r="O1842">
        <f>_xlfn.XLOOKUP(D1842, Products!A:A, Products!D:D)</f>
        <v>1556</v>
      </c>
      <c r="P1842">
        <f>_xlfn.XLOOKUP(D1842, Products!A:A, Products!E:E)</f>
        <v>3250</v>
      </c>
    </row>
    <row r="1843" spans="1:16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 t="shared" si="28"/>
        <v>Bengaluru</v>
      </c>
      <c r="M1843" t="str">
        <f>_xlfn.XLOOKUP(D1843, Products!A:A, Products!C:C)</f>
        <v>Beauty</v>
      </c>
      <c r="N1843" t="str">
        <f>_xlfn.XLOOKUP(E669, Sales_Reps!A:A, Sales_Reps!C:C)</f>
        <v>East</v>
      </c>
      <c r="O1843">
        <f>_xlfn.XLOOKUP(D1843, Products!A:A, Products!D:D)</f>
        <v>1222</v>
      </c>
      <c r="P1843">
        <f>_xlfn.XLOOKUP(D1843, Products!A:A, Products!E:E)</f>
        <v>1650</v>
      </c>
    </row>
    <row r="1844" spans="1:16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 t="shared" si="28"/>
        <v>Bengaluru</v>
      </c>
      <c r="M1844" t="str">
        <f>_xlfn.XLOOKUP(D1844, Products!A:A, Products!C:C)</f>
        <v>Electronics</v>
      </c>
      <c r="N1844" t="str">
        <f>_xlfn.XLOOKUP(E670, Sales_Reps!A:A, Sales_Reps!C:C)</f>
        <v>East</v>
      </c>
      <c r="O1844">
        <f>_xlfn.XLOOKUP(D1844, Products!A:A, Products!D:D)</f>
        <v>517</v>
      </c>
      <c r="P1844">
        <f>_xlfn.XLOOKUP(D1844, Products!A:A, Products!E:E)</f>
        <v>1220</v>
      </c>
    </row>
    <row r="1845" spans="1:16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 t="shared" si="28"/>
        <v>Hyderabad</v>
      </c>
      <c r="M1845" t="str">
        <f>_xlfn.XLOOKUP(D1845, Products!A:A, Products!C:C)</f>
        <v>Beauty</v>
      </c>
      <c r="N1845" t="str">
        <f>_xlfn.XLOOKUP(E671, Sales_Reps!A:A, Sales_Reps!C:C)</f>
        <v>East</v>
      </c>
      <c r="O1845">
        <f>_xlfn.XLOOKUP(D1845, Products!A:A, Products!D:D)</f>
        <v>675</v>
      </c>
      <c r="P1845">
        <f>_xlfn.XLOOKUP(D1845, Products!A:A, Products!E:E)</f>
        <v>960</v>
      </c>
    </row>
    <row r="1846" spans="1:16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 t="shared" si="28"/>
        <v>Mumbai</v>
      </c>
      <c r="M1846" t="str">
        <f>_xlfn.XLOOKUP(D1846, Products!A:A, Products!C:C)</f>
        <v>Beauty</v>
      </c>
      <c r="N1846" t="str">
        <f>_xlfn.XLOOKUP(E672, Sales_Reps!A:A, Sales_Reps!C:C)</f>
        <v>North</v>
      </c>
      <c r="O1846">
        <f>_xlfn.XLOOKUP(D1846, Products!A:A, Products!D:D)</f>
        <v>2768</v>
      </c>
      <c r="P1846">
        <f>_xlfn.XLOOKUP(D1846, Products!A:A, Products!E:E)</f>
        <v>4880</v>
      </c>
    </row>
    <row r="1847" spans="1:16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 t="shared" si="28"/>
        <v>Chennai</v>
      </c>
      <c r="M1847" t="str">
        <f>_xlfn.XLOOKUP(D1847, Products!A:A, Products!C:C)</f>
        <v>Grocery</v>
      </c>
      <c r="N1847" t="str">
        <f>_xlfn.XLOOKUP(E673, Sales_Reps!A:A, Sales_Reps!C:C)</f>
        <v>East</v>
      </c>
      <c r="O1847">
        <f>_xlfn.XLOOKUP(D1847, Products!A:A, Products!D:D)</f>
        <v>1203</v>
      </c>
      <c r="P1847">
        <f>_xlfn.XLOOKUP(D1847, Products!A:A, Products!E:E)</f>
        <v>2270</v>
      </c>
    </row>
    <row r="1848" spans="1:16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 t="shared" si="28"/>
        <v>Mumbai</v>
      </c>
      <c r="M1848" t="str">
        <f>_xlfn.XLOOKUP(D1848, Products!A:A, Products!C:C)</f>
        <v>Home</v>
      </c>
      <c r="N1848" t="str">
        <f>_xlfn.XLOOKUP(E674, Sales_Reps!A:A, Sales_Reps!C:C)</f>
        <v>South</v>
      </c>
      <c r="O1848">
        <f>_xlfn.XLOOKUP(D1848, Products!A:A, Products!D:D)</f>
        <v>464</v>
      </c>
      <c r="P1848">
        <f>_xlfn.XLOOKUP(D1848, Products!A:A, Products!E:E)</f>
        <v>1090</v>
      </c>
    </row>
    <row r="1849" spans="1:16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 t="shared" si="28"/>
        <v>Hyderabad</v>
      </c>
      <c r="M1849" t="str">
        <f>_xlfn.XLOOKUP(D1849, Products!A:A, Products!C:C)</f>
        <v>Home</v>
      </c>
      <c r="N1849" t="str">
        <f>_xlfn.XLOOKUP(E675, Sales_Reps!A:A, Sales_Reps!C:C)</f>
        <v>South</v>
      </c>
      <c r="O1849">
        <f>_xlfn.XLOOKUP(D1849, Products!A:A, Products!D:D)</f>
        <v>2459</v>
      </c>
      <c r="P1849">
        <f>_xlfn.XLOOKUP(D1849, Products!A:A, Products!E:E)</f>
        <v>5080</v>
      </c>
    </row>
    <row r="1850" spans="1:16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 t="shared" si="28"/>
        <v>Pune</v>
      </c>
      <c r="M1850" t="str">
        <f>_xlfn.XLOOKUP(D1850, Products!A:A, Products!C:C)</f>
        <v>Home</v>
      </c>
      <c r="N1850" t="str">
        <f>_xlfn.XLOOKUP(E676, Sales_Reps!A:A, Sales_Reps!C:C)</f>
        <v>West</v>
      </c>
      <c r="O1850">
        <f>_xlfn.XLOOKUP(D1850, Products!A:A, Products!D:D)</f>
        <v>1850</v>
      </c>
      <c r="P1850">
        <f>_xlfn.XLOOKUP(D1850, Products!A:A, Products!E:E)</f>
        <v>4610</v>
      </c>
    </row>
    <row r="1851" spans="1:16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 t="shared" si="28"/>
        <v>Hyderabad</v>
      </c>
      <c r="M1851" t="str">
        <f>_xlfn.XLOOKUP(D1851, Products!A:A, Products!C:C)</f>
        <v>Beauty</v>
      </c>
      <c r="N1851" t="str">
        <f>_xlfn.XLOOKUP(E677, Sales_Reps!A:A, Sales_Reps!C:C)</f>
        <v>West</v>
      </c>
      <c r="O1851">
        <f>_xlfn.XLOOKUP(D1851, Products!A:A, Products!D:D)</f>
        <v>1626</v>
      </c>
      <c r="P1851">
        <f>_xlfn.XLOOKUP(D1851, Products!A:A, Products!E:E)</f>
        <v>3020</v>
      </c>
    </row>
    <row r="1852" spans="1:16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 t="shared" si="28"/>
        <v>Delhi</v>
      </c>
      <c r="M1852" t="str">
        <f>_xlfn.XLOOKUP(D1852, Products!A:A, Products!C:C)</f>
        <v>Grocery</v>
      </c>
      <c r="N1852" t="str">
        <f>_xlfn.XLOOKUP(E678, Sales_Reps!A:A, Sales_Reps!C:C)</f>
        <v>South</v>
      </c>
      <c r="O1852">
        <f>_xlfn.XLOOKUP(D1852, Products!A:A, Products!D:D)</f>
        <v>1412</v>
      </c>
      <c r="P1852">
        <f>_xlfn.XLOOKUP(D1852, Products!A:A, Products!E:E)</f>
        <v>2270</v>
      </c>
    </row>
    <row r="1853" spans="1:16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 t="shared" si="28"/>
        <v>Pune</v>
      </c>
      <c r="M1853" t="str">
        <f>_xlfn.XLOOKUP(D1853, Products!A:A, Products!C:C)</f>
        <v>Grocery</v>
      </c>
      <c r="N1853" t="str">
        <f>_xlfn.XLOOKUP(E679, Sales_Reps!A:A, Sales_Reps!C:C)</f>
        <v>North</v>
      </c>
      <c r="O1853">
        <f>_xlfn.XLOOKUP(D1853, Products!A:A, Products!D:D)</f>
        <v>2027</v>
      </c>
      <c r="P1853">
        <f>_xlfn.XLOOKUP(D1853, Products!A:A, Products!E:E)</f>
        <v>4070</v>
      </c>
    </row>
    <row r="1854" spans="1:16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 t="shared" si="28"/>
        <v>Chennai</v>
      </c>
      <c r="M1854" t="str">
        <f>_xlfn.XLOOKUP(D1854, Products!A:A, Products!C:C)</f>
        <v>Electronics</v>
      </c>
      <c r="N1854" t="str">
        <f>_xlfn.XLOOKUP(E680, Sales_Reps!A:A, Sales_Reps!C:C)</f>
        <v>West</v>
      </c>
      <c r="O1854">
        <f>_xlfn.XLOOKUP(D1854, Products!A:A, Products!D:D)</f>
        <v>517</v>
      </c>
      <c r="P1854">
        <f>_xlfn.XLOOKUP(D1854, Products!A:A, Products!E:E)</f>
        <v>1220</v>
      </c>
    </row>
    <row r="1855" spans="1:16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 t="shared" si="28"/>
        <v>Bengaluru</v>
      </c>
      <c r="M1855" t="str">
        <f>_xlfn.XLOOKUP(D1855, Products!A:A, Products!C:C)</f>
        <v>Apparel</v>
      </c>
      <c r="N1855" t="str">
        <f>_xlfn.XLOOKUP(E681, Sales_Reps!A:A, Sales_Reps!C:C)</f>
        <v>South</v>
      </c>
      <c r="O1855">
        <f>_xlfn.XLOOKUP(D1855, Products!A:A, Products!D:D)</f>
        <v>1173</v>
      </c>
      <c r="P1855">
        <f>_xlfn.XLOOKUP(D1855, Products!A:A, Products!E:E)</f>
        <v>2480</v>
      </c>
    </row>
    <row r="1856" spans="1:16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 t="shared" si="28"/>
        <v>Pune</v>
      </c>
      <c r="M1856" t="str">
        <f>_xlfn.XLOOKUP(D1856, Products!A:A, Products!C:C)</f>
        <v>Sports</v>
      </c>
      <c r="N1856" t="str">
        <f>_xlfn.XLOOKUP(E682, Sales_Reps!A:A, Sales_Reps!C:C)</f>
        <v>North</v>
      </c>
      <c r="O1856">
        <f>_xlfn.XLOOKUP(D1856, Products!A:A, Products!D:D)</f>
        <v>2028</v>
      </c>
      <c r="P1856">
        <f>_xlfn.XLOOKUP(D1856, Products!A:A, Products!E:E)</f>
        <v>2860</v>
      </c>
    </row>
    <row r="1857" spans="1:16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 t="shared" si="28"/>
        <v>Delhi</v>
      </c>
      <c r="M1857" t="str">
        <f>_xlfn.XLOOKUP(D1857, Products!A:A, Products!C:C)</f>
        <v>Grocery</v>
      </c>
      <c r="N1857" t="str">
        <f>_xlfn.XLOOKUP(E683, Sales_Reps!A:A, Sales_Reps!C:C)</f>
        <v>West</v>
      </c>
      <c r="O1857">
        <f>_xlfn.XLOOKUP(D1857, Products!A:A, Products!D:D)</f>
        <v>2436</v>
      </c>
      <c r="P1857">
        <f>_xlfn.XLOOKUP(D1857, Products!A:A, Products!E:E)</f>
        <v>3780</v>
      </c>
    </row>
    <row r="1858" spans="1:16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 t="shared" si="28"/>
        <v>Pune</v>
      </c>
      <c r="M1858" t="str">
        <f>_xlfn.XLOOKUP(D1858, Products!A:A, Products!C:C)</f>
        <v>Sports</v>
      </c>
      <c r="N1858" t="str">
        <f>_xlfn.XLOOKUP(E684, Sales_Reps!A:A, Sales_Reps!C:C)</f>
        <v>North</v>
      </c>
      <c r="O1858">
        <f>_xlfn.XLOOKUP(D1858, Products!A:A, Products!D:D)</f>
        <v>2028</v>
      </c>
      <c r="P1858">
        <f>_xlfn.XLOOKUP(D1858, Products!A:A, Products!E:E)</f>
        <v>2860</v>
      </c>
    </row>
    <row r="1859" spans="1:16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 t="shared" ref="L1859:L1922" si="29">PROPER(TRIM(K1859))</f>
        <v>Hyderabad</v>
      </c>
      <c r="M1859" t="str">
        <f>_xlfn.XLOOKUP(D1859, Products!A:A, Products!C:C)</f>
        <v>Sports</v>
      </c>
      <c r="N1859" t="str">
        <f>_xlfn.XLOOKUP(E685, Sales_Reps!A:A, Sales_Reps!C:C)</f>
        <v>West</v>
      </c>
      <c r="O1859">
        <f>_xlfn.XLOOKUP(D1859, Products!A:A, Products!D:D)</f>
        <v>974</v>
      </c>
      <c r="P1859">
        <f>_xlfn.XLOOKUP(D1859, Products!A:A, Products!E:E)</f>
        <v>2400</v>
      </c>
    </row>
    <row r="1860" spans="1:16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 t="shared" si="29"/>
        <v>Bengaluru</v>
      </c>
      <c r="M1860" t="str">
        <f>_xlfn.XLOOKUP(D1860, Products!A:A, Products!C:C)</f>
        <v>Grocery</v>
      </c>
      <c r="N1860" t="str">
        <f>_xlfn.XLOOKUP(E686, Sales_Reps!A:A, Sales_Reps!C:C)</f>
        <v>North</v>
      </c>
      <c r="O1860">
        <f>_xlfn.XLOOKUP(D1860, Products!A:A, Products!D:D)</f>
        <v>1182</v>
      </c>
      <c r="P1860">
        <f>_xlfn.XLOOKUP(D1860, Products!A:A, Products!E:E)</f>
        <v>2380</v>
      </c>
    </row>
    <row r="1861" spans="1:16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 t="shared" si="29"/>
        <v>Pune</v>
      </c>
      <c r="M1861" t="str">
        <f>_xlfn.XLOOKUP(D1861, Products!A:A, Products!C:C)</f>
        <v>Beauty</v>
      </c>
      <c r="N1861" t="str">
        <f>_xlfn.XLOOKUP(E687, Sales_Reps!A:A, Sales_Reps!C:C)</f>
        <v>East</v>
      </c>
      <c r="O1861">
        <f>_xlfn.XLOOKUP(D1861, Products!A:A, Products!D:D)</f>
        <v>2237</v>
      </c>
      <c r="P1861">
        <f>_xlfn.XLOOKUP(D1861, Products!A:A, Products!E:E)</f>
        <v>5100</v>
      </c>
    </row>
    <row r="1862" spans="1:16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 t="shared" si="29"/>
        <v>Pune</v>
      </c>
      <c r="M1862" t="str">
        <f>_xlfn.XLOOKUP(D1862, Products!A:A, Products!C:C)</f>
        <v>Electronics</v>
      </c>
      <c r="N1862" t="str">
        <f>_xlfn.XLOOKUP(E688, Sales_Reps!A:A, Sales_Reps!C:C)</f>
        <v>West</v>
      </c>
      <c r="O1862">
        <f>_xlfn.XLOOKUP(D1862, Products!A:A, Products!D:D)</f>
        <v>128</v>
      </c>
      <c r="P1862">
        <f>_xlfn.XLOOKUP(D1862, Products!A:A, Products!E:E)</f>
        <v>300</v>
      </c>
    </row>
    <row r="1863" spans="1:16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 t="shared" si="29"/>
        <v>Delhi</v>
      </c>
      <c r="M1863" t="str">
        <f>_xlfn.XLOOKUP(D1863, Products!A:A, Products!C:C)</f>
        <v>Sports</v>
      </c>
      <c r="N1863" t="str">
        <f>_xlfn.XLOOKUP(E689, Sales_Reps!A:A, Sales_Reps!C:C)</f>
        <v>South</v>
      </c>
      <c r="O1863">
        <f>_xlfn.XLOOKUP(D1863, Products!A:A, Products!D:D)</f>
        <v>2467</v>
      </c>
      <c r="P1863">
        <f>_xlfn.XLOOKUP(D1863, Products!A:A, Products!E:E)</f>
        <v>3450</v>
      </c>
    </row>
    <row r="1864" spans="1:16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 t="shared" si="29"/>
        <v>Mumbai</v>
      </c>
      <c r="M1864" t="str">
        <f>_xlfn.XLOOKUP(D1864, Products!A:A, Products!C:C)</f>
        <v>Sports</v>
      </c>
      <c r="N1864" t="str">
        <f>_xlfn.XLOOKUP(E690, Sales_Reps!A:A, Sales_Reps!C:C)</f>
        <v>South</v>
      </c>
      <c r="O1864">
        <f>_xlfn.XLOOKUP(D1864, Products!A:A, Products!D:D)</f>
        <v>2028</v>
      </c>
      <c r="P1864">
        <f>_xlfn.XLOOKUP(D1864, Products!A:A, Products!E:E)</f>
        <v>2860</v>
      </c>
    </row>
    <row r="1865" spans="1:16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 t="shared" si="29"/>
        <v>Mumbai</v>
      </c>
      <c r="M1865" t="str">
        <f>_xlfn.XLOOKUP(D1865, Products!A:A, Products!C:C)</f>
        <v>Apparel</v>
      </c>
      <c r="N1865" t="str">
        <f>_xlfn.XLOOKUP(E691, Sales_Reps!A:A, Sales_Reps!C:C)</f>
        <v>South</v>
      </c>
      <c r="O1865">
        <f>_xlfn.XLOOKUP(D1865, Products!A:A, Products!D:D)</f>
        <v>1962</v>
      </c>
      <c r="P1865">
        <f>_xlfn.XLOOKUP(D1865, Products!A:A, Products!E:E)</f>
        <v>2720</v>
      </c>
    </row>
    <row r="1866" spans="1:16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 t="shared" si="29"/>
        <v>Chennai</v>
      </c>
      <c r="M1866" t="str">
        <f>_xlfn.XLOOKUP(D1866, Products!A:A, Products!C:C)</f>
        <v>Home</v>
      </c>
      <c r="N1866" t="str">
        <f>_xlfn.XLOOKUP(E692, Sales_Reps!A:A, Sales_Reps!C:C)</f>
        <v>East</v>
      </c>
      <c r="O1866">
        <f>_xlfn.XLOOKUP(D1866, Products!A:A, Products!D:D)</f>
        <v>2135</v>
      </c>
      <c r="P1866">
        <f>_xlfn.XLOOKUP(D1866, Products!A:A, Products!E:E)</f>
        <v>3730</v>
      </c>
    </row>
    <row r="1867" spans="1:16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 t="shared" si="29"/>
        <v>Mumbai</v>
      </c>
      <c r="M1867" t="str">
        <f>_xlfn.XLOOKUP(D1867, Products!A:A, Products!C:C)</f>
        <v>Grocery</v>
      </c>
      <c r="N1867" t="str">
        <f>_xlfn.XLOOKUP(E693, Sales_Reps!A:A, Sales_Reps!C:C)</f>
        <v>North</v>
      </c>
      <c r="O1867">
        <f>_xlfn.XLOOKUP(D1867, Products!A:A, Products!D:D)</f>
        <v>2911</v>
      </c>
      <c r="P1867">
        <f>_xlfn.XLOOKUP(D1867, Products!A:A, Products!E:E)</f>
        <v>4060</v>
      </c>
    </row>
    <row r="1868" spans="1:16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 t="shared" si="29"/>
        <v>Bengaluru</v>
      </c>
      <c r="M1868" t="str">
        <f>_xlfn.XLOOKUP(D1868, Products!A:A, Products!C:C)</f>
        <v>Beauty</v>
      </c>
      <c r="N1868" t="str">
        <f>_xlfn.XLOOKUP(E694, Sales_Reps!A:A, Sales_Reps!C:C)</f>
        <v>North</v>
      </c>
      <c r="O1868">
        <f>_xlfn.XLOOKUP(D1868, Products!A:A, Products!D:D)</f>
        <v>1219</v>
      </c>
      <c r="P1868">
        <f>_xlfn.XLOOKUP(D1868, Products!A:A, Products!E:E)</f>
        <v>2290</v>
      </c>
    </row>
    <row r="1869" spans="1:16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 t="shared" si="29"/>
        <v>Chennai</v>
      </c>
      <c r="M1869" t="str">
        <f>_xlfn.XLOOKUP(D1869, Products!A:A, Products!C:C)</f>
        <v>Sports</v>
      </c>
      <c r="N1869" t="str">
        <f>_xlfn.XLOOKUP(E695, Sales_Reps!A:A, Sales_Reps!C:C)</f>
        <v>North</v>
      </c>
      <c r="O1869">
        <f>_xlfn.XLOOKUP(D1869, Products!A:A, Products!D:D)</f>
        <v>2827</v>
      </c>
      <c r="P1869">
        <f>_xlfn.XLOOKUP(D1869, Products!A:A, Products!E:E)</f>
        <v>6940</v>
      </c>
    </row>
    <row r="1870" spans="1:16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 t="shared" si="29"/>
        <v>Mumbai</v>
      </c>
      <c r="M1870" t="str">
        <f>_xlfn.XLOOKUP(D1870, Products!A:A, Products!C:C)</f>
        <v>Home</v>
      </c>
      <c r="N1870" t="str">
        <f>_xlfn.XLOOKUP(E696, Sales_Reps!A:A, Sales_Reps!C:C)</f>
        <v>South</v>
      </c>
      <c r="O1870">
        <f>_xlfn.XLOOKUP(D1870, Products!A:A, Products!D:D)</f>
        <v>2135</v>
      </c>
      <c r="P1870">
        <f>_xlfn.XLOOKUP(D1870, Products!A:A, Products!E:E)</f>
        <v>3730</v>
      </c>
    </row>
    <row r="1871" spans="1:16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 t="shared" si="29"/>
        <v>Chennai</v>
      </c>
      <c r="M1871" t="str">
        <f>_xlfn.XLOOKUP(D1871, Products!A:A, Products!C:C)</f>
        <v>Home</v>
      </c>
      <c r="N1871" t="str">
        <f>_xlfn.XLOOKUP(E697, Sales_Reps!A:A, Sales_Reps!C:C)</f>
        <v>North</v>
      </c>
      <c r="O1871">
        <f>_xlfn.XLOOKUP(D1871, Products!A:A, Products!D:D)</f>
        <v>2135</v>
      </c>
      <c r="P1871">
        <f>_xlfn.XLOOKUP(D1871, Products!A:A, Products!E:E)</f>
        <v>3730</v>
      </c>
    </row>
    <row r="1872" spans="1:16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 t="shared" si="29"/>
        <v>Delhi</v>
      </c>
      <c r="M1872" t="str">
        <f>_xlfn.XLOOKUP(D1872, Products!A:A, Products!C:C)</f>
        <v>Grocery</v>
      </c>
      <c r="N1872" t="str">
        <f>_xlfn.XLOOKUP(E698, Sales_Reps!A:A, Sales_Reps!C:C)</f>
        <v>South</v>
      </c>
      <c r="O1872">
        <f>_xlfn.XLOOKUP(D1872, Products!A:A, Products!D:D)</f>
        <v>1182</v>
      </c>
      <c r="P1872">
        <f>_xlfn.XLOOKUP(D1872, Products!A:A, Products!E:E)</f>
        <v>2380</v>
      </c>
    </row>
    <row r="1873" spans="1:16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 t="shared" si="29"/>
        <v>Mumbai</v>
      </c>
      <c r="M1873" t="str">
        <f>_xlfn.XLOOKUP(D1873, Products!A:A, Products!C:C)</f>
        <v>Home</v>
      </c>
      <c r="N1873" t="str">
        <f>_xlfn.XLOOKUP(E699, Sales_Reps!A:A, Sales_Reps!C:C)</f>
        <v>East</v>
      </c>
      <c r="O1873">
        <f>_xlfn.XLOOKUP(D1873, Products!A:A, Products!D:D)</f>
        <v>519</v>
      </c>
      <c r="P1873">
        <f>_xlfn.XLOOKUP(D1873, Products!A:A, Products!E:E)</f>
        <v>1080</v>
      </c>
    </row>
    <row r="1874" spans="1:16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 t="shared" si="29"/>
        <v>Hyderabad</v>
      </c>
      <c r="M1874" t="str">
        <f>_xlfn.XLOOKUP(D1874, Products!A:A, Products!C:C)</f>
        <v>Sports</v>
      </c>
      <c r="N1874" t="str">
        <f>_xlfn.XLOOKUP(E700, Sales_Reps!A:A, Sales_Reps!C:C)</f>
        <v>East</v>
      </c>
      <c r="O1874">
        <f>_xlfn.XLOOKUP(D1874, Products!A:A, Products!D:D)</f>
        <v>302</v>
      </c>
      <c r="P1874">
        <f>_xlfn.XLOOKUP(D1874, Products!A:A, Products!E:E)</f>
        <v>470</v>
      </c>
    </row>
    <row r="1875" spans="1:16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 t="shared" si="29"/>
        <v>Pune</v>
      </c>
      <c r="M1875" t="str">
        <f>_xlfn.XLOOKUP(D1875, Products!A:A, Products!C:C)</f>
        <v>Home</v>
      </c>
      <c r="N1875" t="str">
        <f>_xlfn.XLOOKUP(E701, Sales_Reps!A:A, Sales_Reps!C:C)</f>
        <v>West</v>
      </c>
      <c r="O1875">
        <f>_xlfn.XLOOKUP(D1875, Products!A:A, Products!D:D)</f>
        <v>288</v>
      </c>
      <c r="P1875">
        <f>_xlfn.XLOOKUP(D1875, Products!A:A, Products!E:E)</f>
        <v>370</v>
      </c>
    </row>
    <row r="1876" spans="1:16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 t="shared" si="29"/>
        <v>Mumbai</v>
      </c>
      <c r="M1876" t="str">
        <f>_xlfn.XLOOKUP(D1876, Products!A:A, Products!C:C)</f>
        <v>Apparel</v>
      </c>
      <c r="N1876" t="str">
        <f>_xlfn.XLOOKUP(E702, Sales_Reps!A:A, Sales_Reps!C:C)</f>
        <v>North</v>
      </c>
      <c r="O1876">
        <f>_xlfn.XLOOKUP(D1876, Products!A:A, Products!D:D)</f>
        <v>1886</v>
      </c>
      <c r="P1876">
        <f>_xlfn.XLOOKUP(D1876, Products!A:A, Products!E:E)</f>
        <v>3160</v>
      </c>
    </row>
    <row r="1877" spans="1:16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 t="shared" si="29"/>
        <v>Bengaluru</v>
      </c>
      <c r="M1877" t="str">
        <f>_xlfn.XLOOKUP(D1877, Products!A:A, Products!C:C)</f>
        <v>Apparel</v>
      </c>
      <c r="N1877" t="str">
        <f>_xlfn.XLOOKUP(E703, Sales_Reps!A:A, Sales_Reps!C:C)</f>
        <v>East</v>
      </c>
      <c r="O1877">
        <f>_xlfn.XLOOKUP(D1877, Products!A:A, Products!D:D)</f>
        <v>2629</v>
      </c>
      <c r="P1877">
        <f>_xlfn.XLOOKUP(D1877, Products!A:A, Products!E:E)</f>
        <v>3560</v>
      </c>
    </row>
    <row r="1878" spans="1:16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 t="shared" si="29"/>
        <v>Chennai</v>
      </c>
      <c r="M1878" t="str">
        <f>_xlfn.XLOOKUP(D1878, Products!A:A, Products!C:C)</f>
        <v>Home</v>
      </c>
      <c r="N1878" t="str">
        <f>_xlfn.XLOOKUP(E704, Sales_Reps!A:A, Sales_Reps!C:C)</f>
        <v>South</v>
      </c>
      <c r="O1878">
        <f>_xlfn.XLOOKUP(D1878, Products!A:A, Products!D:D)</f>
        <v>1143</v>
      </c>
      <c r="P1878">
        <f>_xlfn.XLOOKUP(D1878, Products!A:A, Products!E:E)</f>
        <v>2030</v>
      </c>
    </row>
    <row r="1879" spans="1:16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 t="shared" si="29"/>
        <v>Chennai</v>
      </c>
      <c r="M1879" t="str">
        <f>_xlfn.XLOOKUP(D1879, Products!A:A, Products!C:C)</f>
        <v>Electronics</v>
      </c>
      <c r="N1879" t="str">
        <f>_xlfn.XLOOKUP(E705, Sales_Reps!A:A, Sales_Reps!C:C)</f>
        <v>South</v>
      </c>
      <c r="O1879">
        <f>_xlfn.XLOOKUP(D1879, Products!A:A, Products!D:D)</f>
        <v>1149</v>
      </c>
      <c r="P1879">
        <f>_xlfn.XLOOKUP(D1879, Products!A:A, Products!E:E)</f>
        <v>2640</v>
      </c>
    </row>
    <row r="1880" spans="1:16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 t="shared" si="29"/>
        <v>Chennai</v>
      </c>
      <c r="M1880" t="str">
        <f>_xlfn.XLOOKUP(D1880, Products!A:A, Products!C:C)</f>
        <v>Grocery</v>
      </c>
      <c r="N1880" t="str">
        <f>_xlfn.XLOOKUP(E706, Sales_Reps!A:A, Sales_Reps!C:C)</f>
        <v>East</v>
      </c>
      <c r="O1880">
        <f>_xlfn.XLOOKUP(D1880, Products!A:A, Products!D:D)</f>
        <v>1412</v>
      </c>
      <c r="P1880">
        <f>_xlfn.XLOOKUP(D1880, Products!A:A, Products!E:E)</f>
        <v>2270</v>
      </c>
    </row>
    <row r="1881" spans="1:16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 t="shared" si="29"/>
        <v>Mumbai</v>
      </c>
      <c r="M1881" t="str">
        <f>_xlfn.XLOOKUP(D1881, Products!A:A, Products!C:C)</f>
        <v>Home</v>
      </c>
      <c r="N1881" t="str">
        <f>_xlfn.XLOOKUP(E707, Sales_Reps!A:A, Sales_Reps!C:C)</f>
        <v>South</v>
      </c>
      <c r="O1881">
        <f>_xlfn.XLOOKUP(D1881, Products!A:A, Products!D:D)</f>
        <v>288</v>
      </c>
      <c r="P1881">
        <f>_xlfn.XLOOKUP(D1881, Products!A:A, Products!E:E)</f>
        <v>370</v>
      </c>
    </row>
    <row r="1882" spans="1:16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 t="shared" si="29"/>
        <v>Chennai</v>
      </c>
      <c r="M1882" t="str">
        <f>_xlfn.XLOOKUP(D1882, Products!A:A, Products!C:C)</f>
        <v>Beauty</v>
      </c>
      <c r="N1882" t="str">
        <f>_xlfn.XLOOKUP(E708, Sales_Reps!A:A, Sales_Reps!C:C)</f>
        <v>North</v>
      </c>
      <c r="O1882">
        <f>_xlfn.XLOOKUP(D1882, Products!A:A, Products!D:D)</f>
        <v>2237</v>
      </c>
      <c r="P1882">
        <f>_xlfn.XLOOKUP(D1882, Products!A:A, Products!E:E)</f>
        <v>5100</v>
      </c>
    </row>
    <row r="1883" spans="1:16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 t="shared" si="29"/>
        <v>Hyderabad</v>
      </c>
      <c r="M1883" t="str">
        <f>_xlfn.XLOOKUP(D1883, Products!A:A, Products!C:C)</f>
        <v>Home</v>
      </c>
      <c r="N1883" t="str">
        <f>_xlfn.XLOOKUP(E709, Sales_Reps!A:A, Sales_Reps!C:C)</f>
        <v>North</v>
      </c>
      <c r="O1883">
        <f>_xlfn.XLOOKUP(D1883, Products!A:A, Products!D:D)</f>
        <v>288</v>
      </c>
      <c r="P1883">
        <f>_xlfn.XLOOKUP(D1883, Products!A:A, Products!E:E)</f>
        <v>370</v>
      </c>
    </row>
    <row r="1884" spans="1:16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 t="shared" si="29"/>
        <v>Pune</v>
      </c>
      <c r="M1884" t="str">
        <f>_xlfn.XLOOKUP(D1884, Products!A:A, Products!C:C)</f>
        <v>Grocery</v>
      </c>
      <c r="N1884" t="str">
        <f>_xlfn.XLOOKUP(E710, Sales_Reps!A:A, Sales_Reps!C:C)</f>
        <v>West</v>
      </c>
      <c r="O1884">
        <f>_xlfn.XLOOKUP(D1884, Products!A:A, Products!D:D)</f>
        <v>434</v>
      </c>
      <c r="P1884">
        <f>_xlfn.XLOOKUP(D1884, Products!A:A, Products!E:E)</f>
        <v>970</v>
      </c>
    </row>
    <row r="1885" spans="1:16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 t="shared" si="29"/>
        <v>Delhi</v>
      </c>
      <c r="M1885" t="str">
        <f>_xlfn.XLOOKUP(D1885, Products!A:A, Products!C:C)</f>
        <v>Grocery</v>
      </c>
      <c r="N1885" t="str">
        <f>_xlfn.XLOOKUP(E711, Sales_Reps!A:A, Sales_Reps!C:C)</f>
        <v>North</v>
      </c>
      <c r="O1885">
        <f>_xlfn.XLOOKUP(D1885, Products!A:A, Products!D:D)</f>
        <v>1010</v>
      </c>
      <c r="P1885">
        <f>_xlfn.XLOOKUP(D1885, Products!A:A, Products!E:E)</f>
        <v>2210</v>
      </c>
    </row>
    <row r="1886" spans="1:16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 t="shared" si="29"/>
        <v>Delhi</v>
      </c>
      <c r="M1886" t="str">
        <f>_xlfn.XLOOKUP(D1886, Products!A:A, Products!C:C)</f>
        <v>Beauty</v>
      </c>
      <c r="N1886" t="str">
        <f>_xlfn.XLOOKUP(E712, Sales_Reps!A:A, Sales_Reps!C:C)</f>
        <v>South</v>
      </c>
      <c r="O1886">
        <f>_xlfn.XLOOKUP(D1886, Products!A:A, Products!D:D)</f>
        <v>1222</v>
      </c>
      <c r="P1886">
        <f>_xlfn.XLOOKUP(D1886, Products!A:A, Products!E:E)</f>
        <v>1650</v>
      </c>
    </row>
    <row r="1887" spans="1:16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 t="shared" si="29"/>
        <v>Pune</v>
      </c>
      <c r="M1887" t="str">
        <f>_xlfn.XLOOKUP(D1887, Products!A:A, Products!C:C)</f>
        <v>Sports</v>
      </c>
      <c r="N1887" t="str">
        <f>_xlfn.XLOOKUP(E713, Sales_Reps!A:A, Sales_Reps!C:C)</f>
        <v>South</v>
      </c>
      <c r="O1887">
        <f>_xlfn.XLOOKUP(D1887, Products!A:A, Products!D:D)</f>
        <v>2827</v>
      </c>
      <c r="P1887">
        <f>_xlfn.XLOOKUP(D1887, Products!A:A, Products!E:E)</f>
        <v>6940</v>
      </c>
    </row>
    <row r="1888" spans="1:16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 t="shared" si="29"/>
        <v>Pune</v>
      </c>
      <c r="M1888" t="str">
        <f>_xlfn.XLOOKUP(D1888, Products!A:A, Products!C:C)</f>
        <v>Grocery</v>
      </c>
      <c r="N1888" t="str">
        <f>_xlfn.XLOOKUP(E714, Sales_Reps!A:A, Sales_Reps!C:C)</f>
        <v>North</v>
      </c>
      <c r="O1888">
        <f>_xlfn.XLOOKUP(D1888, Products!A:A, Products!D:D)</f>
        <v>1010</v>
      </c>
      <c r="P1888">
        <f>_xlfn.XLOOKUP(D1888, Products!A:A, Products!E:E)</f>
        <v>2210</v>
      </c>
    </row>
    <row r="1889" spans="1:16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 t="shared" si="29"/>
        <v>Pune</v>
      </c>
      <c r="M1889" t="str">
        <f>_xlfn.XLOOKUP(D1889, Products!A:A, Products!C:C)</f>
        <v>Electronics</v>
      </c>
      <c r="N1889" t="str">
        <f>_xlfn.XLOOKUP(E715, Sales_Reps!A:A, Sales_Reps!C:C)</f>
        <v>South</v>
      </c>
      <c r="O1889">
        <f>_xlfn.XLOOKUP(D1889, Products!A:A, Products!D:D)</f>
        <v>1052</v>
      </c>
      <c r="P1889">
        <f>_xlfn.XLOOKUP(D1889, Products!A:A, Products!E:E)</f>
        <v>2600</v>
      </c>
    </row>
    <row r="1890" spans="1:16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 t="shared" si="29"/>
        <v>Bengaluru</v>
      </c>
      <c r="M1890" t="str">
        <f>_xlfn.XLOOKUP(D1890, Products!A:A, Products!C:C)</f>
        <v>Sports</v>
      </c>
      <c r="N1890" t="str">
        <f>_xlfn.XLOOKUP(E716, Sales_Reps!A:A, Sales_Reps!C:C)</f>
        <v>South</v>
      </c>
      <c r="O1890">
        <f>_xlfn.XLOOKUP(D1890, Products!A:A, Products!D:D)</f>
        <v>1860</v>
      </c>
      <c r="P1890">
        <f>_xlfn.XLOOKUP(D1890, Products!A:A, Products!E:E)</f>
        <v>3780</v>
      </c>
    </row>
    <row r="1891" spans="1:16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 t="shared" si="29"/>
        <v>Bengaluru</v>
      </c>
      <c r="M1891" t="str">
        <f>_xlfn.XLOOKUP(D1891, Products!A:A, Products!C:C)</f>
        <v>Sports</v>
      </c>
      <c r="N1891" t="str">
        <f>_xlfn.XLOOKUP(E717, Sales_Reps!A:A, Sales_Reps!C:C)</f>
        <v>West</v>
      </c>
      <c r="O1891">
        <f>_xlfn.XLOOKUP(D1891, Products!A:A, Products!D:D)</f>
        <v>974</v>
      </c>
      <c r="P1891">
        <f>_xlfn.XLOOKUP(D1891, Products!A:A, Products!E:E)</f>
        <v>2400</v>
      </c>
    </row>
    <row r="1892" spans="1:16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 t="shared" si="29"/>
        <v>Pune</v>
      </c>
      <c r="M1892" t="str">
        <f>_xlfn.XLOOKUP(D1892, Products!A:A, Products!C:C)</f>
        <v>Electronics</v>
      </c>
      <c r="N1892" t="str">
        <f>_xlfn.XLOOKUP(E718, Sales_Reps!A:A, Sales_Reps!C:C)</f>
        <v>North</v>
      </c>
      <c r="O1892">
        <f>_xlfn.XLOOKUP(D1892, Products!A:A, Products!D:D)</f>
        <v>128</v>
      </c>
      <c r="P1892">
        <f>_xlfn.XLOOKUP(D1892, Products!A:A, Products!E:E)</f>
        <v>300</v>
      </c>
    </row>
    <row r="1893" spans="1:16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 t="shared" si="29"/>
        <v>Delhi</v>
      </c>
      <c r="M1893" t="str">
        <f>_xlfn.XLOOKUP(D1893, Products!A:A, Products!C:C)</f>
        <v>Grocery</v>
      </c>
      <c r="N1893" t="str">
        <f>_xlfn.XLOOKUP(E719, Sales_Reps!A:A, Sales_Reps!C:C)</f>
        <v>North</v>
      </c>
      <c r="O1893">
        <f>_xlfn.XLOOKUP(D1893, Products!A:A, Products!D:D)</f>
        <v>2214</v>
      </c>
      <c r="P1893">
        <f>_xlfn.XLOOKUP(D1893, Products!A:A, Products!E:E)</f>
        <v>3660</v>
      </c>
    </row>
    <row r="1894" spans="1:16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 t="shared" si="29"/>
        <v>Bengaluru</v>
      </c>
      <c r="M1894" t="str">
        <f>_xlfn.XLOOKUP(D1894, Products!A:A, Products!C:C)</f>
        <v>Sports</v>
      </c>
      <c r="N1894" t="str">
        <f>_xlfn.XLOOKUP(E720, Sales_Reps!A:A, Sales_Reps!C:C)</f>
        <v>South</v>
      </c>
      <c r="O1894">
        <f>_xlfn.XLOOKUP(D1894, Products!A:A, Products!D:D)</f>
        <v>2467</v>
      </c>
      <c r="P1894">
        <f>_xlfn.XLOOKUP(D1894, Products!A:A, Products!E:E)</f>
        <v>3450</v>
      </c>
    </row>
    <row r="1895" spans="1:16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 t="shared" si="29"/>
        <v>Hyderabad</v>
      </c>
      <c r="M1895" t="str">
        <f>_xlfn.XLOOKUP(D1895, Products!A:A, Products!C:C)</f>
        <v>Apparel</v>
      </c>
      <c r="N1895" t="str">
        <f>_xlfn.XLOOKUP(E721, Sales_Reps!A:A, Sales_Reps!C:C)</f>
        <v>East</v>
      </c>
      <c r="O1895">
        <f>_xlfn.XLOOKUP(D1895, Products!A:A, Products!D:D)</f>
        <v>1748</v>
      </c>
      <c r="P1895">
        <f>_xlfn.XLOOKUP(D1895, Products!A:A, Products!E:E)</f>
        <v>3450</v>
      </c>
    </row>
    <row r="1896" spans="1:16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 t="shared" si="29"/>
        <v>Delhi</v>
      </c>
      <c r="M1896" t="str">
        <f>_xlfn.XLOOKUP(D1896, Products!A:A, Products!C:C)</f>
        <v>Grocery</v>
      </c>
      <c r="N1896" t="str">
        <f>_xlfn.XLOOKUP(E722, Sales_Reps!A:A, Sales_Reps!C:C)</f>
        <v>North</v>
      </c>
      <c r="O1896">
        <f>_xlfn.XLOOKUP(D1896, Products!A:A, Products!D:D)</f>
        <v>2027</v>
      </c>
      <c r="P1896">
        <f>_xlfn.XLOOKUP(D1896, Products!A:A, Products!E:E)</f>
        <v>4070</v>
      </c>
    </row>
    <row r="1897" spans="1:16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 t="shared" si="29"/>
        <v>Chennai</v>
      </c>
      <c r="M1897" t="str">
        <f>_xlfn.XLOOKUP(D1897, Products!A:A, Products!C:C)</f>
        <v>Sports</v>
      </c>
      <c r="N1897" t="str">
        <f>_xlfn.XLOOKUP(E723, Sales_Reps!A:A, Sales_Reps!C:C)</f>
        <v>East</v>
      </c>
      <c r="O1897">
        <f>_xlfn.XLOOKUP(D1897, Products!A:A, Products!D:D)</f>
        <v>1860</v>
      </c>
      <c r="P1897">
        <f>_xlfn.XLOOKUP(D1897, Products!A:A, Products!E:E)</f>
        <v>3780</v>
      </c>
    </row>
    <row r="1898" spans="1:16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 t="shared" si="29"/>
        <v>Mumbai</v>
      </c>
      <c r="M1898" t="str">
        <f>_xlfn.XLOOKUP(D1898, Products!A:A, Products!C:C)</f>
        <v>Grocery</v>
      </c>
      <c r="N1898" t="str">
        <f>_xlfn.XLOOKUP(E724, Sales_Reps!A:A, Sales_Reps!C:C)</f>
        <v>South</v>
      </c>
      <c r="O1898">
        <f>_xlfn.XLOOKUP(D1898, Products!A:A, Products!D:D)</f>
        <v>1435</v>
      </c>
      <c r="P1898">
        <f>_xlfn.XLOOKUP(D1898, Products!A:A, Products!E:E)</f>
        <v>2760</v>
      </c>
    </row>
    <row r="1899" spans="1:16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 t="shared" si="29"/>
        <v>Hyderabad</v>
      </c>
      <c r="M1899" t="str">
        <f>_xlfn.XLOOKUP(D1899, Products!A:A, Products!C:C)</f>
        <v>Beauty</v>
      </c>
      <c r="N1899" t="str">
        <f>_xlfn.XLOOKUP(E725, Sales_Reps!A:A, Sales_Reps!C:C)</f>
        <v>West</v>
      </c>
      <c r="O1899">
        <f>_xlfn.XLOOKUP(D1899, Products!A:A, Products!D:D)</f>
        <v>2768</v>
      </c>
      <c r="P1899">
        <f>_xlfn.XLOOKUP(D1899, Products!A:A, Products!E:E)</f>
        <v>4880</v>
      </c>
    </row>
    <row r="1900" spans="1:16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 t="shared" si="29"/>
        <v>Mumbai</v>
      </c>
      <c r="M1900" t="str">
        <f>_xlfn.XLOOKUP(D1900, Products!A:A, Products!C:C)</f>
        <v>Grocery</v>
      </c>
      <c r="N1900" t="str">
        <f>_xlfn.XLOOKUP(E726, Sales_Reps!A:A, Sales_Reps!C:C)</f>
        <v>South</v>
      </c>
      <c r="O1900">
        <f>_xlfn.XLOOKUP(D1900, Products!A:A, Products!D:D)</f>
        <v>1182</v>
      </c>
      <c r="P1900">
        <f>_xlfn.XLOOKUP(D1900, Products!A:A, Products!E:E)</f>
        <v>2380</v>
      </c>
    </row>
    <row r="1901" spans="1:16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 t="shared" si="29"/>
        <v>Bengaluru</v>
      </c>
      <c r="M1901" t="str">
        <f>_xlfn.XLOOKUP(D1901, Products!A:A, Products!C:C)</f>
        <v>Beauty</v>
      </c>
      <c r="N1901" t="str">
        <f>_xlfn.XLOOKUP(E727, Sales_Reps!A:A, Sales_Reps!C:C)</f>
        <v>North</v>
      </c>
      <c r="O1901">
        <f>_xlfn.XLOOKUP(D1901, Products!A:A, Products!D:D)</f>
        <v>1219</v>
      </c>
      <c r="P1901">
        <f>_xlfn.XLOOKUP(D1901, Products!A:A, Products!E:E)</f>
        <v>2290</v>
      </c>
    </row>
    <row r="1902" spans="1:16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 t="shared" si="29"/>
        <v>Hyderabad</v>
      </c>
      <c r="M1902" t="str">
        <f>_xlfn.XLOOKUP(D1902, Products!A:A, Products!C:C)</f>
        <v>Grocery</v>
      </c>
      <c r="N1902" t="str">
        <f>_xlfn.XLOOKUP(E728, Sales_Reps!A:A, Sales_Reps!C:C)</f>
        <v>West</v>
      </c>
      <c r="O1902">
        <f>_xlfn.XLOOKUP(D1902, Products!A:A, Products!D:D)</f>
        <v>1435</v>
      </c>
      <c r="P1902">
        <f>_xlfn.XLOOKUP(D1902, Products!A:A, Products!E:E)</f>
        <v>2760</v>
      </c>
    </row>
    <row r="1903" spans="1:16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 t="shared" si="29"/>
        <v>Pune</v>
      </c>
      <c r="M1903" t="str">
        <f>_xlfn.XLOOKUP(D1903, Products!A:A, Products!C:C)</f>
        <v>Grocery</v>
      </c>
      <c r="N1903" t="str">
        <f>_xlfn.XLOOKUP(E729, Sales_Reps!A:A, Sales_Reps!C:C)</f>
        <v>West</v>
      </c>
      <c r="O1903">
        <f>_xlfn.XLOOKUP(D1903, Products!A:A, Products!D:D)</f>
        <v>2911</v>
      </c>
      <c r="P1903">
        <f>_xlfn.XLOOKUP(D1903, Products!A:A, Products!E:E)</f>
        <v>4060</v>
      </c>
    </row>
    <row r="1904" spans="1:16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 t="shared" si="29"/>
        <v>Chennai</v>
      </c>
      <c r="M1904" t="str">
        <f>_xlfn.XLOOKUP(D1904, Products!A:A, Products!C:C)</f>
        <v>Electronics</v>
      </c>
      <c r="N1904" t="str">
        <f>_xlfn.XLOOKUP(E730, Sales_Reps!A:A, Sales_Reps!C:C)</f>
        <v>South</v>
      </c>
      <c r="O1904">
        <f>_xlfn.XLOOKUP(D1904, Products!A:A, Products!D:D)</f>
        <v>1149</v>
      </c>
      <c r="P1904">
        <f>_xlfn.XLOOKUP(D1904, Products!A:A, Products!E:E)</f>
        <v>2640</v>
      </c>
    </row>
    <row r="1905" spans="1:16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 t="shared" si="29"/>
        <v>Pune</v>
      </c>
      <c r="M1905" t="str">
        <f>_xlfn.XLOOKUP(D1905, Products!A:A, Products!C:C)</f>
        <v>Home</v>
      </c>
      <c r="N1905" t="str">
        <f>_xlfn.XLOOKUP(E731, Sales_Reps!A:A, Sales_Reps!C:C)</f>
        <v>North</v>
      </c>
      <c r="O1905">
        <f>_xlfn.XLOOKUP(D1905, Products!A:A, Products!D:D)</f>
        <v>1850</v>
      </c>
      <c r="P1905">
        <f>_xlfn.XLOOKUP(D1905, Products!A:A, Products!E:E)</f>
        <v>4610</v>
      </c>
    </row>
    <row r="1906" spans="1:16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 t="shared" si="29"/>
        <v>Hyderabad</v>
      </c>
      <c r="M1906" t="str">
        <f>_xlfn.XLOOKUP(D1906, Products!A:A, Products!C:C)</f>
        <v>Grocery</v>
      </c>
      <c r="N1906" t="str">
        <f>_xlfn.XLOOKUP(E732, Sales_Reps!A:A, Sales_Reps!C:C)</f>
        <v>North</v>
      </c>
      <c r="O1906">
        <f>_xlfn.XLOOKUP(D1906, Products!A:A, Products!D:D)</f>
        <v>1010</v>
      </c>
      <c r="P1906">
        <f>_xlfn.XLOOKUP(D1906, Products!A:A, Products!E:E)</f>
        <v>2210</v>
      </c>
    </row>
    <row r="1907" spans="1:16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 t="shared" si="29"/>
        <v>Delhi</v>
      </c>
      <c r="M1907" t="str">
        <f>_xlfn.XLOOKUP(D1907, Products!A:A, Products!C:C)</f>
        <v>Grocery</v>
      </c>
      <c r="N1907" t="str">
        <f>_xlfn.XLOOKUP(E733, Sales_Reps!A:A, Sales_Reps!C:C)</f>
        <v>South</v>
      </c>
      <c r="O1907">
        <f>_xlfn.XLOOKUP(D1907, Products!A:A, Products!D:D)</f>
        <v>1010</v>
      </c>
      <c r="P1907">
        <f>_xlfn.XLOOKUP(D1907, Products!A:A, Products!E:E)</f>
        <v>2210</v>
      </c>
    </row>
    <row r="1908" spans="1:16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 t="shared" si="29"/>
        <v>Pune</v>
      </c>
      <c r="M1908" t="str">
        <f>_xlfn.XLOOKUP(D1908, Products!A:A, Products!C:C)</f>
        <v>Home</v>
      </c>
      <c r="N1908" t="str">
        <f>_xlfn.XLOOKUP(E734, Sales_Reps!A:A, Sales_Reps!C:C)</f>
        <v>East</v>
      </c>
      <c r="O1908">
        <f>_xlfn.XLOOKUP(D1908, Products!A:A, Products!D:D)</f>
        <v>464</v>
      </c>
      <c r="P1908">
        <f>_xlfn.XLOOKUP(D1908, Products!A:A, Products!E:E)</f>
        <v>1090</v>
      </c>
    </row>
    <row r="1909" spans="1:16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 t="shared" si="29"/>
        <v>Delhi</v>
      </c>
      <c r="M1909" t="str">
        <f>_xlfn.XLOOKUP(D1909, Products!A:A, Products!C:C)</f>
        <v>Home</v>
      </c>
      <c r="N1909" t="str">
        <f>_xlfn.XLOOKUP(E735, Sales_Reps!A:A, Sales_Reps!C:C)</f>
        <v>South</v>
      </c>
      <c r="O1909">
        <f>_xlfn.XLOOKUP(D1909, Products!A:A, Products!D:D)</f>
        <v>288</v>
      </c>
      <c r="P1909">
        <f>_xlfn.XLOOKUP(D1909, Products!A:A, Products!E:E)</f>
        <v>370</v>
      </c>
    </row>
    <row r="1910" spans="1:16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 t="shared" si="29"/>
        <v>Pune</v>
      </c>
      <c r="M1910" t="str">
        <f>_xlfn.XLOOKUP(D1910, Products!A:A, Products!C:C)</f>
        <v>Electronics</v>
      </c>
      <c r="N1910" t="str">
        <f>_xlfn.XLOOKUP(E736, Sales_Reps!A:A, Sales_Reps!C:C)</f>
        <v>West</v>
      </c>
      <c r="O1910">
        <f>_xlfn.XLOOKUP(D1910, Products!A:A, Products!D:D)</f>
        <v>1665</v>
      </c>
      <c r="P1910">
        <f>_xlfn.XLOOKUP(D1910, Products!A:A, Products!E:E)</f>
        <v>3570</v>
      </c>
    </row>
    <row r="1911" spans="1:16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 t="shared" si="29"/>
        <v>Mumbai</v>
      </c>
      <c r="M1911" t="str">
        <f>_xlfn.XLOOKUP(D1911, Products!A:A, Products!C:C)</f>
        <v>Home</v>
      </c>
      <c r="N1911" t="str">
        <f>_xlfn.XLOOKUP(E737, Sales_Reps!A:A, Sales_Reps!C:C)</f>
        <v>West</v>
      </c>
      <c r="O1911">
        <f>_xlfn.XLOOKUP(D1911, Products!A:A, Products!D:D)</f>
        <v>1556</v>
      </c>
      <c r="P1911">
        <f>_xlfn.XLOOKUP(D1911, Products!A:A, Products!E:E)</f>
        <v>3250</v>
      </c>
    </row>
    <row r="1912" spans="1:16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 t="shared" si="29"/>
        <v>Mumbai</v>
      </c>
      <c r="M1912" t="str">
        <f>_xlfn.XLOOKUP(D1912, Products!A:A, Products!C:C)</f>
        <v>Home</v>
      </c>
      <c r="N1912" t="str">
        <f>_xlfn.XLOOKUP(E738, Sales_Reps!A:A, Sales_Reps!C:C)</f>
        <v>East</v>
      </c>
      <c r="O1912">
        <f>_xlfn.XLOOKUP(D1912, Products!A:A, Products!D:D)</f>
        <v>1556</v>
      </c>
      <c r="P1912">
        <f>_xlfn.XLOOKUP(D1912, Products!A:A, Products!E:E)</f>
        <v>3250</v>
      </c>
    </row>
    <row r="1913" spans="1:16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 t="shared" si="29"/>
        <v>Mumbai</v>
      </c>
      <c r="M1913" t="str">
        <f>_xlfn.XLOOKUP(D1913, Products!A:A, Products!C:C)</f>
        <v>Sports</v>
      </c>
      <c r="N1913" t="str">
        <f>_xlfn.XLOOKUP(E739, Sales_Reps!A:A, Sales_Reps!C:C)</f>
        <v>East</v>
      </c>
      <c r="O1913">
        <f>_xlfn.XLOOKUP(D1913, Products!A:A, Products!D:D)</f>
        <v>705</v>
      </c>
      <c r="P1913">
        <f>_xlfn.XLOOKUP(D1913, Products!A:A, Products!E:E)</f>
        <v>960</v>
      </c>
    </row>
    <row r="1914" spans="1:16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 t="shared" si="29"/>
        <v>Delhi</v>
      </c>
      <c r="M1914" t="str">
        <f>_xlfn.XLOOKUP(D1914, Products!A:A, Products!C:C)</f>
        <v>Beauty</v>
      </c>
      <c r="N1914" t="str">
        <f>_xlfn.XLOOKUP(E740, Sales_Reps!A:A, Sales_Reps!C:C)</f>
        <v>South</v>
      </c>
      <c r="O1914">
        <f>_xlfn.XLOOKUP(D1914, Products!A:A, Products!D:D)</f>
        <v>2617</v>
      </c>
      <c r="P1914">
        <f>_xlfn.XLOOKUP(D1914, Products!A:A, Products!E:E)</f>
        <v>6080</v>
      </c>
    </row>
    <row r="1915" spans="1:16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 t="shared" si="29"/>
        <v>Mumbai</v>
      </c>
      <c r="M1915" t="str">
        <f>_xlfn.XLOOKUP(D1915, Products!A:A, Products!C:C)</f>
        <v>Home</v>
      </c>
      <c r="N1915" t="str">
        <f>_xlfn.XLOOKUP(E741, Sales_Reps!A:A, Sales_Reps!C:C)</f>
        <v>South</v>
      </c>
      <c r="O1915">
        <f>_xlfn.XLOOKUP(D1915, Products!A:A, Products!D:D)</f>
        <v>1850</v>
      </c>
      <c r="P1915">
        <f>_xlfn.XLOOKUP(D1915, Products!A:A, Products!E:E)</f>
        <v>4610</v>
      </c>
    </row>
    <row r="1916" spans="1:16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 t="shared" si="29"/>
        <v>Chennai</v>
      </c>
      <c r="M1916" t="str">
        <f>_xlfn.XLOOKUP(D1916, Products!A:A, Products!C:C)</f>
        <v>Home</v>
      </c>
      <c r="N1916" t="str">
        <f>_xlfn.XLOOKUP(E742, Sales_Reps!A:A, Sales_Reps!C:C)</f>
        <v>East</v>
      </c>
      <c r="O1916">
        <f>_xlfn.XLOOKUP(D1916, Products!A:A, Products!D:D)</f>
        <v>2459</v>
      </c>
      <c r="P1916">
        <f>_xlfn.XLOOKUP(D1916, Products!A:A, Products!E:E)</f>
        <v>5080</v>
      </c>
    </row>
    <row r="1917" spans="1:16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 t="shared" si="29"/>
        <v>Mumbai</v>
      </c>
      <c r="M1917" t="str">
        <f>_xlfn.XLOOKUP(D1917, Products!A:A, Products!C:C)</f>
        <v>Beauty</v>
      </c>
      <c r="N1917" t="str">
        <f>_xlfn.XLOOKUP(E743, Sales_Reps!A:A, Sales_Reps!C:C)</f>
        <v>South</v>
      </c>
      <c r="O1917">
        <f>_xlfn.XLOOKUP(D1917, Products!A:A, Products!D:D)</f>
        <v>1728</v>
      </c>
      <c r="P1917">
        <f>_xlfn.XLOOKUP(D1917, Products!A:A, Products!E:E)</f>
        <v>3350</v>
      </c>
    </row>
    <row r="1918" spans="1:16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 t="shared" si="29"/>
        <v>Delhi</v>
      </c>
      <c r="M1918" t="str">
        <f>_xlfn.XLOOKUP(D1918, Products!A:A, Products!C:C)</f>
        <v>Grocery</v>
      </c>
      <c r="N1918" t="str">
        <f>_xlfn.XLOOKUP(E744, Sales_Reps!A:A, Sales_Reps!C:C)</f>
        <v>South</v>
      </c>
      <c r="O1918">
        <f>_xlfn.XLOOKUP(D1918, Products!A:A, Products!D:D)</f>
        <v>2436</v>
      </c>
      <c r="P1918">
        <f>_xlfn.XLOOKUP(D1918, Products!A:A, Products!E:E)</f>
        <v>3780</v>
      </c>
    </row>
    <row r="1919" spans="1:16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 t="shared" si="29"/>
        <v>Chennai</v>
      </c>
      <c r="M1919" t="str">
        <f>_xlfn.XLOOKUP(D1919, Products!A:A, Products!C:C)</f>
        <v>Beauty</v>
      </c>
      <c r="N1919" t="str">
        <f>_xlfn.XLOOKUP(E745, Sales_Reps!A:A, Sales_Reps!C:C)</f>
        <v>West</v>
      </c>
      <c r="O1919">
        <f>_xlfn.XLOOKUP(D1919, Products!A:A, Products!D:D)</f>
        <v>2768</v>
      </c>
      <c r="P1919">
        <f>_xlfn.XLOOKUP(D1919, Products!A:A, Products!E:E)</f>
        <v>4880</v>
      </c>
    </row>
    <row r="1920" spans="1:16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 t="shared" si="29"/>
        <v>Chennai</v>
      </c>
      <c r="M1920" t="str">
        <f>_xlfn.XLOOKUP(D1920, Products!A:A, Products!C:C)</f>
        <v>Beauty</v>
      </c>
      <c r="N1920" t="str">
        <f>_xlfn.XLOOKUP(E746, Sales_Reps!A:A, Sales_Reps!C:C)</f>
        <v>South</v>
      </c>
      <c r="O1920">
        <f>_xlfn.XLOOKUP(D1920, Products!A:A, Products!D:D)</f>
        <v>2237</v>
      </c>
      <c r="P1920">
        <f>_xlfn.XLOOKUP(D1920, Products!A:A, Products!E:E)</f>
        <v>5100</v>
      </c>
    </row>
    <row r="1921" spans="1:16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 t="shared" si="29"/>
        <v>Bengaluru</v>
      </c>
      <c r="M1921" t="str">
        <f>_xlfn.XLOOKUP(D1921, Products!A:A, Products!C:C)</f>
        <v>Electronics</v>
      </c>
      <c r="N1921" t="str">
        <f>_xlfn.XLOOKUP(E747, Sales_Reps!A:A, Sales_Reps!C:C)</f>
        <v>West</v>
      </c>
      <c r="O1921">
        <f>_xlfn.XLOOKUP(D1921, Products!A:A, Products!D:D)</f>
        <v>1259</v>
      </c>
      <c r="P1921">
        <f>_xlfn.XLOOKUP(D1921, Products!A:A, Products!E:E)</f>
        <v>2660</v>
      </c>
    </row>
    <row r="1922" spans="1:16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 t="shared" si="29"/>
        <v>Delhi</v>
      </c>
      <c r="M1922" t="str">
        <f>_xlfn.XLOOKUP(D1922, Products!A:A, Products!C:C)</f>
        <v>Grocery</v>
      </c>
      <c r="N1922" t="str">
        <f>_xlfn.XLOOKUP(E748, Sales_Reps!A:A, Sales_Reps!C:C)</f>
        <v>North</v>
      </c>
      <c r="O1922">
        <f>_xlfn.XLOOKUP(D1922, Products!A:A, Products!D:D)</f>
        <v>1182</v>
      </c>
      <c r="P1922">
        <f>_xlfn.XLOOKUP(D1922, Products!A:A, Products!E:E)</f>
        <v>2380</v>
      </c>
    </row>
    <row r="1923" spans="1:16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 t="shared" ref="L1923:L1986" si="30">PROPER(TRIM(K1923))</f>
        <v>Pune</v>
      </c>
      <c r="M1923" t="str">
        <f>_xlfn.XLOOKUP(D1923, Products!A:A, Products!C:C)</f>
        <v>Beauty</v>
      </c>
      <c r="N1923" t="str">
        <f>_xlfn.XLOOKUP(E749, Sales_Reps!A:A, Sales_Reps!C:C)</f>
        <v>North</v>
      </c>
      <c r="O1923">
        <f>_xlfn.XLOOKUP(D1923, Products!A:A, Products!D:D)</f>
        <v>2768</v>
      </c>
      <c r="P1923">
        <f>_xlfn.XLOOKUP(D1923, Products!A:A, Products!E:E)</f>
        <v>4880</v>
      </c>
    </row>
    <row r="1924" spans="1:16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 t="shared" si="30"/>
        <v>Hyderabad</v>
      </c>
      <c r="M1924" t="str">
        <f>_xlfn.XLOOKUP(D1924, Products!A:A, Products!C:C)</f>
        <v>Home</v>
      </c>
      <c r="N1924" t="str">
        <f>_xlfn.XLOOKUP(E750, Sales_Reps!A:A, Sales_Reps!C:C)</f>
        <v>North</v>
      </c>
      <c r="O1924">
        <f>_xlfn.XLOOKUP(D1924, Products!A:A, Products!D:D)</f>
        <v>2135</v>
      </c>
      <c r="P1924">
        <f>_xlfn.XLOOKUP(D1924, Products!A:A, Products!E:E)</f>
        <v>3730</v>
      </c>
    </row>
    <row r="1925" spans="1:16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 t="shared" si="30"/>
        <v>Bengaluru</v>
      </c>
      <c r="M1925" t="str">
        <f>_xlfn.XLOOKUP(D1925, Products!A:A, Products!C:C)</f>
        <v>Sports</v>
      </c>
      <c r="N1925" t="str">
        <f>_xlfn.XLOOKUP(E751, Sales_Reps!A:A, Sales_Reps!C:C)</f>
        <v>North</v>
      </c>
      <c r="O1925">
        <f>_xlfn.XLOOKUP(D1925, Products!A:A, Products!D:D)</f>
        <v>1860</v>
      </c>
      <c r="P1925">
        <f>_xlfn.XLOOKUP(D1925, Products!A:A, Products!E:E)</f>
        <v>3780</v>
      </c>
    </row>
    <row r="1926" spans="1:16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 t="shared" si="30"/>
        <v>Chennai</v>
      </c>
      <c r="M1926" t="str">
        <f>_xlfn.XLOOKUP(D1926, Products!A:A, Products!C:C)</f>
        <v>Apparel</v>
      </c>
      <c r="N1926" t="str">
        <f>_xlfn.XLOOKUP(E752, Sales_Reps!A:A, Sales_Reps!C:C)</f>
        <v>West</v>
      </c>
      <c r="O1926">
        <f>_xlfn.XLOOKUP(D1926, Products!A:A, Products!D:D)</f>
        <v>2509</v>
      </c>
      <c r="P1926">
        <f>_xlfn.XLOOKUP(D1926, Products!A:A, Products!E:E)</f>
        <v>3620</v>
      </c>
    </row>
    <row r="1927" spans="1:16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 t="shared" si="30"/>
        <v>Mumbai</v>
      </c>
      <c r="M1927" t="str">
        <f>_xlfn.XLOOKUP(D1927, Products!A:A, Products!C:C)</f>
        <v>Home</v>
      </c>
      <c r="N1927" t="str">
        <f>_xlfn.XLOOKUP(E753, Sales_Reps!A:A, Sales_Reps!C:C)</f>
        <v>North</v>
      </c>
      <c r="O1927">
        <f>_xlfn.XLOOKUP(D1927, Products!A:A, Products!D:D)</f>
        <v>2459</v>
      </c>
      <c r="P1927">
        <f>_xlfn.XLOOKUP(D1927, Products!A:A, Products!E:E)</f>
        <v>5080</v>
      </c>
    </row>
    <row r="1928" spans="1:16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 t="shared" si="30"/>
        <v>Bengaluru</v>
      </c>
      <c r="M1928" t="str">
        <f>_xlfn.XLOOKUP(D1928, Products!A:A, Products!C:C)</f>
        <v>Apparel</v>
      </c>
      <c r="N1928" t="str">
        <f>_xlfn.XLOOKUP(E754, Sales_Reps!A:A, Sales_Reps!C:C)</f>
        <v>North</v>
      </c>
      <c r="O1928">
        <f>_xlfn.XLOOKUP(D1928, Products!A:A, Products!D:D)</f>
        <v>2629</v>
      </c>
      <c r="P1928">
        <f>_xlfn.XLOOKUP(D1928, Products!A:A, Products!E:E)</f>
        <v>3560</v>
      </c>
    </row>
    <row r="1929" spans="1:16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 t="shared" si="30"/>
        <v>Mumbai</v>
      </c>
      <c r="M1929" t="str">
        <f>_xlfn.XLOOKUP(D1929, Products!A:A, Products!C:C)</f>
        <v>Grocery</v>
      </c>
      <c r="N1929" t="str">
        <f>_xlfn.XLOOKUP(E755, Sales_Reps!A:A, Sales_Reps!C:C)</f>
        <v>West</v>
      </c>
      <c r="O1929">
        <f>_xlfn.XLOOKUP(D1929, Products!A:A, Products!D:D)</f>
        <v>434</v>
      </c>
      <c r="P1929">
        <f>_xlfn.XLOOKUP(D1929, Products!A:A, Products!E:E)</f>
        <v>970</v>
      </c>
    </row>
    <row r="1930" spans="1:16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 t="shared" si="30"/>
        <v>Mumbai</v>
      </c>
      <c r="M1930" t="str">
        <f>_xlfn.XLOOKUP(D1930, Products!A:A, Products!C:C)</f>
        <v>Beauty</v>
      </c>
      <c r="N1930" t="str">
        <f>_xlfn.XLOOKUP(E756, Sales_Reps!A:A, Sales_Reps!C:C)</f>
        <v>South</v>
      </c>
      <c r="O1930">
        <f>_xlfn.XLOOKUP(D1930, Products!A:A, Products!D:D)</f>
        <v>1728</v>
      </c>
      <c r="P1930">
        <f>_xlfn.XLOOKUP(D1930, Products!A:A, Products!E:E)</f>
        <v>3350</v>
      </c>
    </row>
    <row r="1931" spans="1:16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 t="shared" si="30"/>
        <v>Mumbai</v>
      </c>
      <c r="M1931" t="str">
        <f>_xlfn.XLOOKUP(D1931, Products!A:A, Products!C:C)</f>
        <v>Home</v>
      </c>
      <c r="N1931" t="str">
        <f>_xlfn.XLOOKUP(E757, Sales_Reps!A:A, Sales_Reps!C:C)</f>
        <v>West</v>
      </c>
      <c r="O1931">
        <f>_xlfn.XLOOKUP(D1931, Products!A:A, Products!D:D)</f>
        <v>288</v>
      </c>
      <c r="P1931">
        <f>_xlfn.XLOOKUP(D1931, Products!A:A, Products!E:E)</f>
        <v>370</v>
      </c>
    </row>
    <row r="1932" spans="1:16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 t="shared" si="30"/>
        <v>Delhi</v>
      </c>
      <c r="M1932" t="str">
        <f>_xlfn.XLOOKUP(D1932, Products!A:A, Products!C:C)</f>
        <v>Grocery</v>
      </c>
      <c r="N1932" t="str">
        <f>_xlfn.XLOOKUP(E758, Sales_Reps!A:A, Sales_Reps!C:C)</f>
        <v>West</v>
      </c>
      <c r="O1932">
        <f>_xlfn.XLOOKUP(D1932, Products!A:A, Products!D:D)</f>
        <v>1203</v>
      </c>
      <c r="P1932">
        <f>_xlfn.XLOOKUP(D1932, Products!A:A, Products!E:E)</f>
        <v>2270</v>
      </c>
    </row>
    <row r="1933" spans="1:16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 t="shared" si="30"/>
        <v>Bengaluru</v>
      </c>
      <c r="M1933" t="str">
        <f>_xlfn.XLOOKUP(D1933, Products!A:A, Products!C:C)</f>
        <v>Sports</v>
      </c>
      <c r="N1933" t="str">
        <f>_xlfn.XLOOKUP(E759, Sales_Reps!A:A, Sales_Reps!C:C)</f>
        <v>East</v>
      </c>
      <c r="O1933">
        <f>_xlfn.XLOOKUP(D1933, Products!A:A, Products!D:D)</f>
        <v>2467</v>
      </c>
      <c r="P1933">
        <f>_xlfn.XLOOKUP(D1933, Products!A:A, Products!E:E)</f>
        <v>3450</v>
      </c>
    </row>
    <row r="1934" spans="1:16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 t="shared" si="30"/>
        <v>Hyderabad</v>
      </c>
      <c r="M1934" t="str">
        <f>_xlfn.XLOOKUP(D1934, Products!A:A, Products!C:C)</f>
        <v>Sports</v>
      </c>
      <c r="N1934" t="str">
        <f>_xlfn.XLOOKUP(E760, Sales_Reps!A:A, Sales_Reps!C:C)</f>
        <v>North</v>
      </c>
      <c r="O1934">
        <f>_xlfn.XLOOKUP(D1934, Products!A:A, Products!D:D)</f>
        <v>516</v>
      </c>
      <c r="P1934">
        <f>_xlfn.XLOOKUP(D1934, Products!A:A, Products!E:E)</f>
        <v>1010</v>
      </c>
    </row>
    <row r="1935" spans="1:16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 t="shared" si="30"/>
        <v>Mumbai</v>
      </c>
      <c r="M1935" t="str">
        <f>_xlfn.XLOOKUP(D1935, Products!A:A, Products!C:C)</f>
        <v>Home</v>
      </c>
      <c r="N1935" t="str">
        <f>_xlfn.XLOOKUP(E761, Sales_Reps!A:A, Sales_Reps!C:C)</f>
        <v>North</v>
      </c>
      <c r="O1935">
        <f>_xlfn.XLOOKUP(D1935, Products!A:A, Products!D:D)</f>
        <v>1850</v>
      </c>
      <c r="P1935">
        <f>_xlfn.XLOOKUP(D1935, Products!A:A, Products!E:E)</f>
        <v>4610</v>
      </c>
    </row>
    <row r="1936" spans="1:16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 t="shared" si="30"/>
        <v>Delhi</v>
      </c>
      <c r="M1936" t="str">
        <f>_xlfn.XLOOKUP(D1936, Products!A:A, Products!C:C)</f>
        <v>Home</v>
      </c>
      <c r="N1936" t="str">
        <f>_xlfn.XLOOKUP(E762, Sales_Reps!A:A, Sales_Reps!C:C)</f>
        <v>South</v>
      </c>
      <c r="O1936">
        <f>_xlfn.XLOOKUP(D1936, Products!A:A, Products!D:D)</f>
        <v>288</v>
      </c>
      <c r="P1936">
        <f>_xlfn.XLOOKUP(D1936, Products!A:A, Products!E:E)</f>
        <v>370</v>
      </c>
    </row>
    <row r="1937" spans="1:16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 t="shared" si="30"/>
        <v>Chennai</v>
      </c>
      <c r="M1937" t="str">
        <f>_xlfn.XLOOKUP(D1937, Products!A:A, Products!C:C)</f>
        <v>Grocery</v>
      </c>
      <c r="N1937" t="str">
        <f>_xlfn.XLOOKUP(E763, Sales_Reps!A:A, Sales_Reps!C:C)</f>
        <v>West</v>
      </c>
      <c r="O1937">
        <f>_xlfn.XLOOKUP(D1937, Products!A:A, Products!D:D)</f>
        <v>1182</v>
      </c>
      <c r="P1937">
        <f>_xlfn.XLOOKUP(D1937, Products!A:A, Products!E:E)</f>
        <v>2380</v>
      </c>
    </row>
    <row r="1938" spans="1:16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 t="shared" si="30"/>
        <v>Hyderabad</v>
      </c>
      <c r="M1938" t="str">
        <f>_xlfn.XLOOKUP(D1938, Products!A:A, Products!C:C)</f>
        <v>Beauty</v>
      </c>
      <c r="N1938" t="str">
        <f>_xlfn.XLOOKUP(E764, Sales_Reps!A:A, Sales_Reps!C:C)</f>
        <v>South</v>
      </c>
      <c r="O1938">
        <f>_xlfn.XLOOKUP(D1938, Products!A:A, Products!D:D)</f>
        <v>675</v>
      </c>
      <c r="P1938">
        <f>_xlfn.XLOOKUP(D1938, Products!A:A, Products!E:E)</f>
        <v>960</v>
      </c>
    </row>
    <row r="1939" spans="1:16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 t="shared" si="30"/>
        <v>Pune</v>
      </c>
      <c r="M1939" t="str">
        <f>_xlfn.XLOOKUP(D1939, Products!A:A, Products!C:C)</f>
        <v>Sports</v>
      </c>
      <c r="N1939" t="str">
        <f>_xlfn.XLOOKUP(E765, Sales_Reps!A:A, Sales_Reps!C:C)</f>
        <v>North</v>
      </c>
      <c r="O1939">
        <f>_xlfn.XLOOKUP(D1939, Products!A:A, Products!D:D)</f>
        <v>705</v>
      </c>
      <c r="P1939">
        <f>_xlfn.XLOOKUP(D1939, Products!A:A, Products!E:E)</f>
        <v>960</v>
      </c>
    </row>
    <row r="1940" spans="1:16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 t="shared" si="30"/>
        <v>Mumbai</v>
      </c>
      <c r="M1940" t="str">
        <f>_xlfn.XLOOKUP(D1940, Products!A:A, Products!C:C)</f>
        <v>Apparel</v>
      </c>
      <c r="N1940" t="str">
        <f>_xlfn.XLOOKUP(E766, Sales_Reps!A:A, Sales_Reps!C:C)</f>
        <v>West</v>
      </c>
      <c r="O1940">
        <f>_xlfn.XLOOKUP(D1940, Products!A:A, Products!D:D)</f>
        <v>396</v>
      </c>
      <c r="P1940">
        <f>_xlfn.XLOOKUP(D1940, Products!A:A, Products!E:E)</f>
        <v>620</v>
      </c>
    </row>
    <row r="1941" spans="1:16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 t="shared" si="30"/>
        <v>Pune</v>
      </c>
      <c r="M1941" t="str">
        <f>_xlfn.XLOOKUP(D1941, Products!A:A, Products!C:C)</f>
        <v>Sports</v>
      </c>
      <c r="N1941" t="str">
        <f>_xlfn.XLOOKUP(E767, Sales_Reps!A:A, Sales_Reps!C:C)</f>
        <v>West</v>
      </c>
      <c r="O1941">
        <f>_xlfn.XLOOKUP(D1941, Products!A:A, Products!D:D)</f>
        <v>705</v>
      </c>
      <c r="P1941">
        <f>_xlfn.XLOOKUP(D1941, Products!A:A, Products!E:E)</f>
        <v>960</v>
      </c>
    </row>
    <row r="1942" spans="1:16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 t="shared" si="30"/>
        <v>Pune</v>
      </c>
      <c r="M1942" t="str">
        <f>_xlfn.XLOOKUP(D1942, Products!A:A, Products!C:C)</f>
        <v>Beauty</v>
      </c>
      <c r="N1942" t="str">
        <f>_xlfn.XLOOKUP(E768, Sales_Reps!A:A, Sales_Reps!C:C)</f>
        <v>East</v>
      </c>
      <c r="O1942">
        <f>_xlfn.XLOOKUP(D1942, Products!A:A, Products!D:D)</f>
        <v>2420</v>
      </c>
      <c r="P1942">
        <f>_xlfn.XLOOKUP(D1942, Products!A:A, Products!E:E)</f>
        <v>3450</v>
      </c>
    </row>
    <row r="1943" spans="1:16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 t="shared" si="30"/>
        <v>Hyderabad</v>
      </c>
      <c r="M1943" t="str">
        <f>_xlfn.XLOOKUP(D1943, Products!A:A, Products!C:C)</f>
        <v>Apparel</v>
      </c>
      <c r="N1943" t="str">
        <f>_xlfn.XLOOKUP(E769, Sales_Reps!A:A, Sales_Reps!C:C)</f>
        <v>West</v>
      </c>
      <c r="O1943">
        <f>_xlfn.XLOOKUP(D1943, Products!A:A, Products!D:D)</f>
        <v>1962</v>
      </c>
      <c r="P1943">
        <f>_xlfn.XLOOKUP(D1943, Products!A:A, Products!E:E)</f>
        <v>2720</v>
      </c>
    </row>
    <row r="1944" spans="1:16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 t="shared" si="30"/>
        <v>Mumbai</v>
      </c>
      <c r="M1944" t="str">
        <f>_xlfn.XLOOKUP(D1944, Products!A:A, Products!C:C)</f>
        <v>Beauty</v>
      </c>
      <c r="N1944" t="str">
        <f>_xlfn.XLOOKUP(E770, Sales_Reps!A:A, Sales_Reps!C:C)</f>
        <v>North</v>
      </c>
      <c r="O1944">
        <f>_xlfn.XLOOKUP(D1944, Products!A:A, Products!D:D)</f>
        <v>2420</v>
      </c>
      <c r="P1944">
        <f>_xlfn.XLOOKUP(D1944, Products!A:A, Products!E:E)</f>
        <v>3450</v>
      </c>
    </row>
    <row r="1945" spans="1:16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 t="shared" si="30"/>
        <v>Mumbai</v>
      </c>
      <c r="M1945" t="str">
        <f>_xlfn.XLOOKUP(D1945, Products!A:A, Products!C:C)</f>
        <v>Beauty</v>
      </c>
      <c r="N1945" t="str">
        <f>_xlfn.XLOOKUP(E771, Sales_Reps!A:A, Sales_Reps!C:C)</f>
        <v>West</v>
      </c>
      <c r="O1945">
        <f>_xlfn.XLOOKUP(D1945, Products!A:A, Products!D:D)</f>
        <v>1222</v>
      </c>
      <c r="P1945">
        <f>_xlfn.XLOOKUP(D1945, Products!A:A, Products!E:E)</f>
        <v>1650</v>
      </c>
    </row>
    <row r="1946" spans="1:16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 t="shared" si="30"/>
        <v>Delhi</v>
      </c>
      <c r="M1946" t="str">
        <f>_xlfn.XLOOKUP(D1946, Products!A:A, Products!C:C)</f>
        <v>Apparel</v>
      </c>
      <c r="N1946" t="str">
        <f>_xlfn.XLOOKUP(E772, Sales_Reps!A:A, Sales_Reps!C:C)</f>
        <v>East</v>
      </c>
      <c r="O1946">
        <f>_xlfn.XLOOKUP(D1946, Products!A:A, Products!D:D)</f>
        <v>2509</v>
      </c>
      <c r="P1946">
        <f>_xlfn.XLOOKUP(D1946, Products!A:A, Products!E:E)</f>
        <v>3620</v>
      </c>
    </row>
    <row r="1947" spans="1:16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 t="shared" si="30"/>
        <v>Delhi</v>
      </c>
      <c r="M1947" t="str">
        <f>_xlfn.XLOOKUP(D1947, Products!A:A, Products!C:C)</f>
        <v>Electronics</v>
      </c>
      <c r="N1947" t="str">
        <f>_xlfn.XLOOKUP(E773, Sales_Reps!A:A, Sales_Reps!C:C)</f>
        <v>East</v>
      </c>
      <c r="O1947">
        <f>_xlfn.XLOOKUP(D1947, Products!A:A, Products!D:D)</f>
        <v>128</v>
      </c>
      <c r="P1947">
        <f>_xlfn.XLOOKUP(D1947, Products!A:A, Products!E:E)</f>
        <v>300</v>
      </c>
    </row>
    <row r="1948" spans="1:16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 t="shared" si="30"/>
        <v>Chennai</v>
      </c>
      <c r="M1948" t="str">
        <f>_xlfn.XLOOKUP(D1948, Products!A:A, Products!C:C)</f>
        <v>Beauty</v>
      </c>
      <c r="N1948" t="str">
        <f>_xlfn.XLOOKUP(E774, Sales_Reps!A:A, Sales_Reps!C:C)</f>
        <v>East</v>
      </c>
      <c r="O1948">
        <f>_xlfn.XLOOKUP(D1948, Products!A:A, Products!D:D)</f>
        <v>647</v>
      </c>
      <c r="P1948">
        <f>_xlfn.XLOOKUP(D1948, Products!A:A, Products!E:E)</f>
        <v>1540</v>
      </c>
    </row>
    <row r="1949" spans="1:16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 t="shared" si="30"/>
        <v>Bengaluru</v>
      </c>
      <c r="M1949" t="str">
        <f>_xlfn.XLOOKUP(D1949, Products!A:A, Products!C:C)</f>
        <v>Grocery</v>
      </c>
      <c r="N1949" t="str">
        <f>_xlfn.XLOOKUP(E775, Sales_Reps!A:A, Sales_Reps!C:C)</f>
        <v>North</v>
      </c>
      <c r="O1949">
        <f>_xlfn.XLOOKUP(D1949, Products!A:A, Products!D:D)</f>
        <v>1203</v>
      </c>
      <c r="P1949">
        <f>_xlfn.XLOOKUP(D1949, Products!A:A, Products!E:E)</f>
        <v>2270</v>
      </c>
    </row>
    <row r="1950" spans="1:16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 t="shared" si="30"/>
        <v>Pune</v>
      </c>
      <c r="M1950" t="str">
        <f>_xlfn.XLOOKUP(D1950, Products!A:A, Products!C:C)</f>
        <v>Electronics</v>
      </c>
      <c r="N1950" t="str">
        <f>_xlfn.XLOOKUP(E776, Sales_Reps!A:A, Sales_Reps!C:C)</f>
        <v>South</v>
      </c>
      <c r="O1950">
        <f>_xlfn.XLOOKUP(D1950, Products!A:A, Products!D:D)</f>
        <v>1149</v>
      </c>
      <c r="P1950">
        <f>_xlfn.XLOOKUP(D1950, Products!A:A, Products!E:E)</f>
        <v>2640</v>
      </c>
    </row>
    <row r="1951" spans="1:16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 t="shared" si="30"/>
        <v>Pune</v>
      </c>
      <c r="M1951" t="str">
        <f>_xlfn.XLOOKUP(D1951, Products!A:A, Products!C:C)</f>
        <v>Electronics</v>
      </c>
      <c r="N1951" t="str">
        <f>_xlfn.XLOOKUP(E777, Sales_Reps!A:A, Sales_Reps!C:C)</f>
        <v>East</v>
      </c>
      <c r="O1951">
        <f>_xlfn.XLOOKUP(D1951, Products!A:A, Products!D:D)</f>
        <v>1149</v>
      </c>
      <c r="P1951">
        <f>_xlfn.XLOOKUP(D1951, Products!A:A, Products!E:E)</f>
        <v>2640</v>
      </c>
    </row>
    <row r="1952" spans="1:16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 t="shared" si="30"/>
        <v>Delhi</v>
      </c>
      <c r="M1952" t="str">
        <f>_xlfn.XLOOKUP(D1952, Products!A:A, Products!C:C)</f>
        <v>Electronics</v>
      </c>
      <c r="N1952" t="str">
        <f>_xlfn.XLOOKUP(E778, Sales_Reps!A:A, Sales_Reps!C:C)</f>
        <v>North</v>
      </c>
      <c r="O1952">
        <f>_xlfn.XLOOKUP(D1952, Products!A:A, Products!D:D)</f>
        <v>861</v>
      </c>
      <c r="P1952">
        <f>_xlfn.XLOOKUP(D1952, Products!A:A, Products!E:E)</f>
        <v>1430</v>
      </c>
    </row>
    <row r="1953" spans="1:16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 t="shared" si="30"/>
        <v>Pune</v>
      </c>
      <c r="M1953" t="str">
        <f>_xlfn.XLOOKUP(D1953, Products!A:A, Products!C:C)</f>
        <v>Electronics</v>
      </c>
      <c r="N1953" t="str">
        <f>_xlfn.XLOOKUP(E779, Sales_Reps!A:A, Sales_Reps!C:C)</f>
        <v>West</v>
      </c>
      <c r="O1953">
        <f>_xlfn.XLOOKUP(D1953, Products!A:A, Products!D:D)</f>
        <v>1665</v>
      </c>
      <c r="P1953">
        <f>_xlfn.XLOOKUP(D1953, Products!A:A, Products!E:E)</f>
        <v>3570</v>
      </c>
    </row>
    <row r="1954" spans="1:16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 t="shared" si="30"/>
        <v>Delhi</v>
      </c>
      <c r="M1954" t="str">
        <f>_xlfn.XLOOKUP(D1954, Products!A:A, Products!C:C)</f>
        <v>Electronics</v>
      </c>
      <c r="N1954" t="str">
        <f>_xlfn.XLOOKUP(E780, Sales_Reps!A:A, Sales_Reps!C:C)</f>
        <v>West</v>
      </c>
      <c r="O1954">
        <f>_xlfn.XLOOKUP(D1954, Products!A:A, Products!D:D)</f>
        <v>1665</v>
      </c>
      <c r="P1954">
        <f>_xlfn.XLOOKUP(D1954, Products!A:A, Products!E:E)</f>
        <v>3570</v>
      </c>
    </row>
    <row r="1955" spans="1:16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 t="shared" si="30"/>
        <v>Chennai</v>
      </c>
      <c r="M1955" t="str">
        <f>_xlfn.XLOOKUP(D1955, Products!A:A, Products!C:C)</f>
        <v>Electronics</v>
      </c>
      <c r="N1955" t="str">
        <f>_xlfn.XLOOKUP(E781, Sales_Reps!A:A, Sales_Reps!C:C)</f>
        <v>South</v>
      </c>
      <c r="O1955">
        <f>_xlfn.XLOOKUP(D1955, Products!A:A, Products!D:D)</f>
        <v>1559</v>
      </c>
      <c r="P1955">
        <f>_xlfn.XLOOKUP(D1955, Products!A:A, Products!E:E)</f>
        <v>3870</v>
      </c>
    </row>
    <row r="1956" spans="1:16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 t="shared" si="30"/>
        <v>Chennai</v>
      </c>
      <c r="M1956" t="str">
        <f>_xlfn.XLOOKUP(D1956, Products!A:A, Products!C:C)</f>
        <v>Sports</v>
      </c>
      <c r="N1956" t="str">
        <f>_xlfn.XLOOKUP(E782, Sales_Reps!A:A, Sales_Reps!C:C)</f>
        <v>South</v>
      </c>
      <c r="O1956">
        <f>_xlfn.XLOOKUP(D1956, Products!A:A, Products!D:D)</f>
        <v>2827</v>
      </c>
      <c r="P1956">
        <f>_xlfn.XLOOKUP(D1956, Products!A:A, Products!E:E)</f>
        <v>6940</v>
      </c>
    </row>
    <row r="1957" spans="1:16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 t="shared" si="30"/>
        <v>Hyderabad</v>
      </c>
      <c r="M1957" t="str">
        <f>_xlfn.XLOOKUP(D1957, Products!A:A, Products!C:C)</f>
        <v>Home</v>
      </c>
      <c r="N1957" t="str">
        <f>_xlfn.XLOOKUP(E783, Sales_Reps!A:A, Sales_Reps!C:C)</f>
        <v>East</v>
      </c>
      <c r="O1957">
        <f>_xlfn.XLOOKUP(D1957, Products!A:A, Products!D:D)</f>
        <v>288</v>
      </c>
      <c r="P1957">
        <f>_xlfn.XLOOKUP(D1957, Products!A:A, Products!E:E)</f>
        <v>370</v>
      </c>
    </row>
    <row r="1958" spans="1:16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 t="shared" si="30"/>
        <v>Delhi</v>
      </c>
      <c r="M1958" t="str">
        <f>_xlfn.XLOOKUP(D1958, Products!A:A, Products!C:C)</f>
        <v>Apparel</v>
      </c>
      <c r="N1958" t="str">
        <f>_xlfn.XLOOKUP(E784, Sales_Reps!A:A, Sales_Reps!C:C)</f>
        <v>South</v>
      </c>
      <c r="O1958">
        <f>_xlfn.XLOOKUP(D1958, Products!A:A, Products!D:D)</f>
        <v>2629</v>
      </c>
      <c r="P1958">
        <f>_xlfn.XLOOKUP(D1958, Products!A:A, Products!E:E)</f>
        <v>3560</v>
      </c>
    </row>
    <row r="1959" spans="1:16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 t="shared" si="30"/>
        <v>Mumbai</v>
      </c>
      <c r="M1959" t="str">
        <f>_xlfn.XLOOKUP(D1959, Products!A:A, Products!C:C)</f>
        <v>Electronics</v>
      </c>
      <c r="N1959" t="str">
        <f>_xlfn.XLOOKUP(E785, Sales_Reps!A:A, Sales_Reps!C:C)</f>
        <v>South</v>
      </c>
      <c r="O1959">
        <f>_xlfn.XLOOKUP(D1959, Products!A:A, Products!D:D)</f>
        <v>517</v>
      </c>
      <c r="P1959">
        <f>_xlfn.XLOOKUP(D1959, Products!A:A, Products!E:E)</f>
        <v>1220</v>
      </c>
    </row>
    <row r="1960" spans="1:16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 t="shared" si="30"/>
        <v>Chennai</v>
      </c>
      <c r="M1960" t="str">
        <f>_xlfn.XLOOKUP(D1960, Products!A:A, Products!C:C)</f>
        <v>Grocery</v>
      </c>
      <c r="N1960" t="str">
        <f>_xlfn.XLOOKUP(E786, Sales_Reps!A:A, Sales_Reps!C:C)</f>
        <v>South</v>
      </c>
      <c r="O1960">
        <f>_xlfn.XLOOKUP(D1960, Products!A:A, Products!D:D)</f>
        <v>2027</v>
      </c>
      <c r="P1960">
        <f>_xlfn.XLOOKUP(D1960, Products!A:A, Products!E:E)</f>
        <v>4070</v>
      </c>
    </row>
    <row r="1961" spans="1:16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 t="shared" si="30"/>
        <v>Delhi</v>
      </c>
      <c r="M1961" t="str">
        <f>_xlfn.XLOOKUP(D1961, Products!A:A, Products!C:C)</f>
        <v>Grocery</v>
      </c>
      <c r="N1961" t="str">
        <f>_xlfn.XLOOKUP(E787, Sales_Reps!A:A, Sales_Reps!C:C)</f>
        <v>East</v>
      </c>
      <c r="O1961">
        <f>_xlfn.XLOOKUP(D1961, Products!A:A, Products!D:D)</f>
        <v>2214</v>
      </c>
      <c r="P1961">
        <f>_xlfn.XLOOKUP(D1961, Products!A:A, Products!E:E)</f>
        <v>3660</v>
      </c>
    </row>
    <row r="1962" spans="1:16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 t="shared" si="30"/>
        <v>Mumbai</v>
      </c>
      <c r="M1962" t="str">
        <f>_xlfn.XLOOKUP(D1962, Products!A:A, Products!C:C)</f>
        <v>Home</v>
      </c>
      <c r="N1962" t="str">
        <f>_xlfn.XLOOKUP(E788, Sales_Reps!A:A, Sales_Reps!C:C)</f>
        <v>South</v>
      </c>
      <c r="O1962">
        <f>_xlfn.XLOOKUP(D1962, Products!A:A, Products!D:D)</f>
        <v>2459</v>
      </c>
      <c r="P1962">
        <f>_xlfn.XLOOKUP(D1962, Products!A:A, Products!E:E)</f>
        <v>5080</v>
      </c>
    </row>
    <row r="1963" spans="1:16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 t="shared" si="30"/>
        <v>Delhi</v>
      </c>
      <c r="M1963" t="str">
        <f>_xlfn.XLOOKUP(D1963, Products!A:A, Products!C:C)</f>
        <v>Home</v>
      </c>
      <c r="N1963" t="str">
        <f>_xlfn.XLOOKUP(E789, Sales_Reps!A:A, Sales_Reps!C:C)</f>
        <v>East</v>
      </c>
      <c r="O1963">
        <f>_xlfn.XLOOKUP(D1963, Products!A:A, Products!D:D)</f>
        <v>1850</v>
      </c>
      <c r="P1963">
        <f>_xlfn.XLOOKUP(D1963, Products!A:A, Products!E:E)</f>
        <v>4610</v>
      </c>
    </row>
    <row r="1964" spans="1:16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 t="shared" si="30"/>
        <v>Bengaluru</v>
      </c>
      <c r="M1964" t="str">
        <f>_xlfn.XLOOKUP(D1964, Products!A:A, Products!C:C)</f>
        <v>Electronics</v>
      </c>
      <c r="N1964" t="str">
        <f>_xlfn.XLOOKUP(E790, Sales_Reps!A:A, Sales_Reps!C:C)</f>
        <v>West</v>
      </c>
      <c r="O1964">
        <f>_xlfn.XLOOKUP(D1964, Products!A:A, Products!D:D)</f>
        <v>1259</v>
      </c>
      <c r="P1964">
        <f>_xlfn.XLOOKUP(D1964, Products!A:A, Products!E:E)</f>
        <v>2660</v>
      </c>
    </row>
    <row r="1965" spans="1:16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 t="shared" si="30"/>
        <v>Delhi</v>
      </c>
      <c r="M1965" t="str">
        <f>_xlfn.XLOOKUP(D1965, Products!A:A, Products!C:C)</f>
        <v>Apparel</v>
      </c>
      <c r="N1965" t="str">
        <f>_xlfn.XLOOKUP(E791, Sales_Reps!A:A, Sales_Reps!C:C)</f>
        <v>West</v>
      </c>
      <c r="O1965">
        <f>_xlfn.XLOOKUP(D1965, Products!A:A, Products!D:D)</f>
        <v>1886</v>
      </c>
      <c r="P1965">
        <f>_xlfn.XLOOKUP(D1965, Products!A:A, Products!E:E)</f>
        <v>3160</v>
      </c>
    </row>
    <row r="1966" spans="1:16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 t="shared" si="30"/>
        <v>Delhi</v>
      </c>
      <c r="M1966" t="str">
        <f>_xlfn.XLOOKUP(D1966, Products!A:A, Products!C:C)</f>
        <v>Home</v>
      </c>
      <c r="N1966" t="str">
        <f>_xlfn.XLOOKUP(E792, Sales_Reps!A:A, Sales_Reps!C:C)</f>
        <v>North</v>
      </c>
      <c r="O1966">
        <f>_xlfn.XLOOKUP(D1966, Products!A:A, Products!D:D)</f>
        <v>288</v>
      </c>
      <c r="P1966">
        <f>_xlfn.XLOOKUP(D1966, Products!A:A, Products!E:E)</f>
        <v>370</v>
      </c>
    </row>
    <row r="1967" spans="1:16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 t="shared" si="30"/>
        <v>Mumbai</v>
      </c>
      <c r="M1967" t="str">
        <f>_xlfn.XLOOKUP(D1967, Products!A:A, Products!C:C)</f>
        <v>Sports</v>
      </c>
      <c r="N1967" t="str">
        <f>_xlfn.XLOOKUP(E793, Sales_Reps!A:A, Sales_Reps!C:C)</f>
        <v>West</v>
      </c>
      <c r="O1967">
        <f>_xlfn.XLOOKUP(D1967, Products!A:A, Products!D:D)</f>
        <v>516</v>
      </c>
      <c r="P1967">
        <f>_xlfn.XLOOKUP(D1967, Products!A:A, Products!E:E)</f>
        <v>1010</v>
      </c>
    </row>
    <row r="1968" spans="1:16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 t="shared" si="30"/>
        <v>Hyderabad</v>
      </c>
      <c r="M1968" t="str">
        <f>_xlfn.XLOOKUP(D1968, Products!A:A, Products!C:C)</f>
        <v>Apparel</v>
      </c>
      <c r="N1968" t="str">
        <f>_xlfn.XLOOKUP(E794, Sales_Reps!A:A, Sales_Reps!C:C)</f>
        <v>East</v>
      </c>
      <c r="O1968">
        <f>_xlfn.XLOOKUP(D1968, Products!A:A, Products!D:D)</f>
        <v>2629</v>
      </c>
      <c r="P1968">
        <f>_xlfn.XLOOKUP(D1968, Products!A:A, Products!E:E)</f>
        <v>3560</v>
      </c>
    </row>
    <row r="1969" spans="1:16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 t="shared" si="30"/>
        <v>Hyderabad</v>
      </c>
      <c r="M1969" t="str">
        <f>_xlfn.XLOOKUP(D1969, Products!A:A, Products!C:C)</f>
        <v>Electronics</v>
      </c>
      <c r="N1969" t="str">
        <f>_xlfn.XLOOKUP(E795, Sales_Reps!A:A, Sales_Reps!C:C)</f>
        <v>West</v>
      </c>
      <c r="O1969">
        <f>_xlfn.XLOOKUP(D1969, Products!A:A, Products!D:D)</f>
        <v>517</v>
      </c>
      <c r="P1969">
        <f>_xlfn.XLOOKUP(D1969, Products!A:A, Products!E:E)</f>
        <v>1220</v>
      </c>
    </row>
    <row r="1970" spans="1:16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 t="shared" si="30"/>
        <v>Pune</v>
      </c>
      <c r="M1970" t="str">
        <f>_xlfn.XLOOKUP(D1970, Products!A:A, Products!C:C)</f>
        <v>Sports</v>
      </c>
      <c r="N1970" t="str">
        <f>_xlfn.XLOOKUP(E796, Sales_Reps!A:A, Sales_Reps!C:C)</f>
        <v>East</v>
      </c>
      <c r="O1970">
        <f>_xlfn.XLOOKUP(D1970, Products!A:A, Products!D:D)</f>
        <v>147</v>
      </c>
      <c r="P1970">
        <f>_xlfn.XLOOKUP(D1970, Products!A:A, Products!E:E)</f>
        <v>190</v>
      </c>
    </row>
    <row r="1971" spans="1:16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 t="shared" si="30"/>
        <v>Chennai</v>
      </c>
      <c r="M1971" t="str">
        <f>_xlfn.XLOOKUP(D1971, Products!A:A, Products!C:C)</f>
        <v>Sports</v>
      </c>
      <c r="N1971" t="str">
        <f>_xlfn.XLOOKUP(E797, Sales_Reps!A:A, Sales_Reps!C:C)</f>
        <v>South</v>
      </c>
      <c r="O1971">
        <f>_xlfn.XLOOKUP(D1971, Products!A:A, Products!D:D)</f>
        <v>516</v>
      </c>
      <c r="P1971">
        <f>_xlfn.XLOOKUP(D1971, Products!A:A, Products!E:E)</f>
        <v>1010</v>
      </c>
    </row>
    <row r="1972" spans="1:16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 t="shared" si="30"/>
        <v>Mumbai</v>
      </c>
      <c r="M1972" t="str">
        <f>_xlfn.XLOOKUP(D1972, Products!A:A, Products!C:C)</f>
        <v>Electronics</v>
      </c>
      <c r="N1972" t="str">
        <f>_xlfn.XLOOKUP(E798, Sales_Reps!A:A, Sales_Reps!C:C)</f>
        <v>North</v>
      </c>
      <c r="O1972">
        <f>_xlfn.XLOOKUP(D1972, Products!A:A, Products!D:D)</f>
        <v>1052</v>
      </c>
      <c r="P1972">
        <f>_xlfn.XLOOKUP(D1972, Products!A:A, Products!E:E)</f>
        <v>2600</v>
      </c>
    </row>
    <row r="1973" spans="1:16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 t="shared" si="30"/>
        <v>Delhi</v>
      </c>
      <c r="M1973" t="str">
        <f>_xlfn.XLOOKUP(D1973, Products!A:A, Products!C:C)</f>
        <v>Apparel</v>
      </c>
      <c r="N1973" t="str">
        <f>_xlfn.XLOOKUP(E799, Sales_Reps!A:A, Sales_Reps!C:C)</f>
        <v>North</v>
      </c>
      <c r="O1973">
        <f>_xlfn.XLOOKUP(D1973, Products!A:A, Products!D:D)</f>
        <v>1748</v>
      </c>
      <c r="P1973">
        <f>_xlfn.XLOOKUP(D1973, Products!A:A, Products!E:E)</f>
        <v>3450</v>
      </c>
    </row>
    <row r="1974" spans="1:16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 t="shared" si="30"/>
        <v>Chennai</v>
      </c>
      <c r="M1974" t="str">
        <f>_xlfn.XLOOKUP(D1974, Products!A:A, Products!C:C)</f>
        <v>Apparel</v>
      </c>
      <c r="N1974" t="str">
        <f>_xlfn.XLOOKUP(E800, Sales_Reps!A:A, Sales_Reps!C:C)</f>
        <v>West</v>
      </c>
      <c r="O1974">
        <f>_xlfn.XLOOKUP(D1974, Products!A:A, Products!D:D)</f>
        <v>1075</v>
      </c>
      <c r="P1974">
        <f>_xlfn.XLOOKUP(D1974, Products!A:A, Products!E:E)</f>
        <v>2510</v>
      </c>
    </row>
    <row r="1975" spans="1:16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 t="shared" si="30"/>
        <v>Mumbai</v>
      </c>
      <c r="M1975" t="str">
        <f>_xlfn.XLOOKUP(D1975, Products!A:A, Products!C:C)</f>
        <v>Sports</v>
      </c>
      <c r="N1975" t="str">
        <f>_xlfn.XLOOKUP(E801, Sales_Reps!A:A, Sales_Reps!C:C)</f>
        <v>South</v>
      </c>
      <c r="O1975">
        <f>_xlfn.XLOOKUP(D1975, Products!A:A, Products!D:D)</f>
        <v>147</v>
      </c>
      <c r="P1975">
        <f>_xlfn.XLOOKUP(D1975, Products!A:A, Products!E:E)</f>
        <v>190</v>
      </c>
    </row>
    <row r="1976" spans="1:16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 t="shared" si="30"/>
        <v>Pune</v>
      </c>
      <c r="M1976" t="str">
        <f>_xlfn.XLOOKUP(D1976, Products!A:A, Products!C:C)</f>
        <v>Beauty</v>
      </c>
      <c r="N1976" t="str">
        <f>_xlfn.XLOOKUP(E802, Sales_Reps!A:A, Sales_Reps!C:C)</f>
        <v>South</v>
      </c>
      <c r="O1976">
        <f>_xlfn.XLOOKUP(D1976, Products!A:A, Products!D:D)</f>
        <v>1222</v>
      </c>
      <c r="P1976">
        <f>_xlfn.XLOOKUP(D1976, Products!A:A, Products!E:E)</f>
        <v>1650</v>
      </c>
    </row>
    <row r="1977" spans="1:16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 t="shared" si="30"/>
        <v>Bengaluru</v>
      </c>
      <c r="M1977" t="str">
        <f>_xlfn.XLOOKUP(D1977, Products!A:A, Products!C:C)</f>
        <v>Sports</v>
      </c>
      <c r="N1977" t="str">
        <f>_xlfn.XLOOKUP(E803, Sales_Reps!A:A, Sales_Reps!C:C)</f>
        <v>West</v>
      </c>
      <c r="O1977">
        <f>_xlfn.XLOOKUP(D1977, Products!A:A, Products!D:D)</f>
        <v>2028</v>
      </c>
      <c r="P1977">
        <f>_xlfn.XLOOKUP(D1977, Products!A:A, Products!E:E)</f>
        <v>2860</v>
      </c>
    </row>
    <row r="1978" spans="1:16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 t="shared" si="30"/>
        <v>Pune</v>
      </c>
      <c r="M1978" t="str">
        <f>_xlfn.XLOOKUP(D1978, Products!A:A, Products!C:C)</f>
        <v>Sports</v>
      </c>
      <c r="N1978" t="str">
        <f>_xlfn.XLOOKUP(E804, Sales_Reps!A:A, Sales_Reps!C:C)</f>
        <v>West</v>
      </c>
      <c r="O1978">
        <f>_xlfn.XLOOKUP(D1978, Products!A:A, Products!D:D)</f>
        <v>302</v>
      </c>
      <c r="P1978">
        <f>_xlfn.XLOOKUP(D1978, Products!A:A, Products!E:E)</f>
        <v>470</v>
      </c>
    </row>
    <row r="1979" spans="1:16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 t="shared" si="30"/>
        <v>Hyderabad</v>
      </c>
      <c r="M1979" t="str">
        <f>_xlfn.XLOOKUP(D1979, Products!A:A, Products!C:C)</f>
        <v>Sports</v>
      </c>
      <c r="N1979" t="str">
        <f>_xlfn.XLOOKUP(E805, Sales_Reps!A:A, Sales_Reps!C:C)</f>
        <v>South</v>
      </c>
      <c r="O1979">
        <f>_xlfn.XLOOKUP(D1979, Products!A:A, Products!D:D)</f>
        <v>2028</v>
      </c>
      <c r="P1979">
        <f>_xlfn.XLOOKUP(D1979, Products!A:A, Products!E:E)</f>
        <v>2860</v>
      </c>
    </row>
    <row r="1980" spans="1:16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 t="shared" si="30"/>
        <v>Mumbai</v>
      </c>
      <c r="M1980" t="str">
        <f>_xlfn.XLOOKUP(D1980, Products!A:A, Products!C:C)</f>
        <v>Apparel</v>
      </c>
      <c r="N1980" t="str">
        <f>_xlfn.XLOOKUP(E806, Sales_Reps!A:A, Sales_Reps!C:C)</f>
        <v>South</v>
      </c>
      <c r="O1980">
        <f>_xlfn.XLOOKUP(D1980, Products!A:A, Products!D:D)</f>
        <v>1173</v>
      </c>
      <c r="P1980">
        <f>_xlfn.XLOOKUP(D1980, Products!A:A, Products!E:E)</f>
        <v>2480</v>
      </c>
    </row>
    <row r="1981" spans="1:16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 t="shared" si="30"/>
        <v>Bengaluru</v>
      </c>
      <c r="M1981" t="str">
        <f>_xlfn.XLOOKUP(D1981, Products!A:A, Products!C:C)</f>
        <v>Home</v>
      </c>
      <c r="N1981" t="str">
        <f>_xlfn.XLOOKUP(E807, Sales_Reps!A:A, Sales_Reps!C:C)</f>
        <v>East</v>
      </c>
      <c r="O1981">
        <f>_xlfn.XLOOKUP(D1981, Products!A:A, Products!D:D)</f>
        <v>1143</v>
      </c>
      <c r="P1981">
        <f>_xlfn.XLOOKUP(D1981, Products!A:A, Products!E:E)</f>
        <v>2030</v>
      </c>
    </row>
    <row r="1982" spans="1:16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 t="shared" si="30"/>
        <v>Pune</v>
      </c>
      <c r="M1982" t="str">
        <f>_xlfn.XLOOKUP(D1982, Products!A:A, Products!C:C)</f>
        <v>Beauty</v>
      </c>
      <c r="N1982" t="str">
        <f>_xlfn.XLOOKUP(E808, Sales_Reps!A:A, Sales_Reps!C:C)</f>
        <v>North</v>
      </c>
      <c r="O1982">
        <f>_xlfn.XLOOKUP(D1982, Products!A:A, Products!D:D)</f>
        <v>2420</v>
      </c>
      <c r="P1982">
        <f>_xlfn.XLOOKUP(D1982, Products!A:A, Products!E:E)</f>
        <v>3450</v>
      </c>
    </row>
    <row r="1983" spans="1:16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 t="shared" si="30"/>
        <v>Chennai</v>
      </c>
      <c r="M1983" t="str">
        <f>_xlfn.XLOOKUP(D1983, Products!A:A, Products!C:C)</f>
        <v>Electronics</v>
      </c>
      <c r="N1983" t="str">
        <f>_xlfn.XLOOKUP(E809, Sales_Reps!A:A, Sales_Reps!C:C)</f>
        <v>East</v>
      </c>
      <c r="O1983">
        <f>_xlfn.XLOOKUP(D1983, Products!A:A, Products!D:D)</f>
        <v>861</v>
      </c>
      <c r="P1983">
        <f>_xlfn.XLOOKUP(D1983, Products!A:A, Products!E:E)</f>
        <v>1430</v>
      </c>
    </row>
    <row r="1984" spans="1:16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 t="shared" si="30"/>
        <v>Chennai</v>
      </c>
      <c r="M1984" t="str">
        <f>_xlfn.XLOOKUP(D1984, Products!A:A, Products!C:C)</f>
        <v>Apparel</v>
      </c>
      <c r="N1984" t="str">
        <f>_xlfn.XLOOKUP(E810, Sales_Reps!A:A, Sales_Reps!C:C)</f>
        <v>East</v>
      </c>
      <c r="O1984">
        <f>_xlfn.XLOOKUP(D1984, Products!A:A, Products!D:D)</f>
        <v>391</v>
      </c>
      <c r="P1984">
        <f>_xlfn.XLOOKUP(D1984, Products!A:A, Products!E:E)</f>
        <v>820</v>
      </c>
    </row>
    <row r="1985" spans="1:16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 t="shared" si="30"/>
        <v>Bengaluru</v>
      </c>
      <c r="M1985" t="str">
        <f>_xlfn.XLOOKUP(D1985, Products!A:A, Products!C:C)</f>
        <v>Beauty</v>
      </c>
      <c r="N1985" t="str">
        <f>_xlfn.XLOOKUP(E811, Sales_Reps!A:A, Sales_Reps!C:C)</f>
        <v>East</v>
      </c>
      <c r="O1985">
        <f>_xlfn.XLOOKUP(D1985, Products!A:A, Products!D:D)</f>
        <v>2768</v>
      </c>
      <c r="P1985">
        <f>_xlfn.XLOOKUP(D1985, Products!A:A, Products!E:E)</f>
        <v>4880</v>
      </c>
    </row>
    <row r="1986" spans="1:16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 t="shared" si="30"/>
        <v>Mumbai</v>
      </c>
      <c r="M1986" t="str">
        <f>_xlfn.XLOOKUP(D1986, Products!A:A, Products!C:C)</f>
        <v>Beauty</v>
      </c>
      <c r="N1986" t="str">
        <f>_xlfn.XLOOKUP(E812, Sales_Reps!A:A, Sales_Reps!C:C)</f>
        <v>East</v>
      </c>
      <c r="O1986">
        <f>_xlfn.XLOOKUP(D1986, Products!A:A, Products!D:D)</f>
        <v>1728</v>
      </c>
      <c r="P1986">
        <f>_xlfn.XLOOKUP(D1986, Products!A:A, Products!E:E)</f>
        <v>3350</v>
      </c>
    </row>
    <row r="1987" spans="1:16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 t="shared" ref="L1987:L2001" si="31">PROPER(TRIM(K1987))</f>
        <v>Hyderabad</v>
      </c>
      <c r="M1987" t="str">
        <f>_xlfn.XLOOKUP(D1987, Products!A:A, Products!C:C)</f>
        <v>Apparel</v>
      </c>
      <c r="N1987" t="str">
        <f>_xlfn.XLOOKUP(E813, Sales_Reps!A:A, Sales_Reps!C:C)</f>
        <v>South</v>
      </c>
      <c r="O1987">
        <f>_xlfn.XLOOKUP(D1987, Products!A:A, Products!D:D)</f>
        <v>1173</v>
      </c>
      <c r="P1987">
        <f>_xlfn.XLOOKUP(D1987, Products!A:A, Products!E:E)</f>
        <v>2480</v>
      </c>
    </row>
    <row r="1988" spans="1:16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 t="shared" si="31"/>
        <v>Bengaluru</v>
      </c>
      <c r="M1988" t="str">
        <f>_xlfn.XLOOKUP(D1988, Products!A:A, Products!C:C)</f>
        <v>Home</v>
      </c>
      <c r="N1988" t="str">
        <f>_xlfn.XLOOKUP(E814, Sales_Reps!A:A, Sales_Reps!C:C)</f>
        <v>South</v>
      </c>
      <c r="O1988">
        <f>_xlfn.XLOOKUP(D1988, Products!A:A, Products!D:D)</f>
        <v>1850</v>
      </c>
      <c r="P1988">
        <f>_xlfn.XLOOKUP(D1988, Products!A:A, Products!E:E)</f>
        <v>4610</v>
      </c>
    </row>
    <row r="1989" spans="1:16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 t="shared" si="31"/>
        <v>Mumbai</v>
      </c>
      <c r="M1989" t="str">
        <f>_xlfn.XLOOKUP(D1989, Products!A:A, Products!C:C)</f>
        <v>Grocery</v>
      </c>
      <c r="N1989" t="str">
        <f>_xlfn.XLOOKUP(E815, Sales_Reps!A:A, Sales_Reps!C:C)</f>
        <v>South</v>
      </c>
      <c r="O1989">
        <f>_xlfn.XLOOKUP(D1989, Products!A:A, Products!D:D)</f>
        <v>2436</v>
      </c>
      <c r="P1989">
        <f>_xlfn.XLOOKUP(D1989, Products!A:A, Products!E:E)</f>
        <v>3780</v>
      </c>
    </row>
    <row r="1990" spans="1:16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 t="shared" si="31"/>
        <v>Delhi</v>
      </c>
      <c r="M1990" t="str">
        <f>_xlfn.XLOOKUP(D1990, Products!A:A, Products!C:C)</f>
        <v>Beauty</v>
      </c>
      <c r="N1990" t="str">
        <f>_xlfn.XLOOKUP(E816, Sales_Reps!A:A, Sales_Reps!C:C)</f>
        <v>North</v>
      </c>
      <c r="O1990">
        <f>_xlfn.XLOOKUP(D1990, Products!A:A, Products!D:D)</f>
        <v>1626</v>
      </c>
      <c r="P1990">
        <f>_xlfn.XLOOKUP(D1990, Products!A:A, Products!E:E)</f>
        <v>3020</v>
      </c>
    </row>
    <row r="1991" spans="1:16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 t="shared" si="31"/>
        <v>Hyderabad</v>
      </c>
      <c r="M1991" t="str">
        <f>_xlfn.XLOOKUP(D1991, Products!A:A, Products!C:C)</f>
        <v>Home</v>
      </c>
      <c r="N1991" t="str">
        <f>_xlfn.XLOOKUP(E817, Sales_Reps!A:A, Sales_Reps!C:C)</f>
        <v>West</v>
      </c>
      <c r="O1991">
        <f>_xlfn.XLOOKUP(D1991, Products!A:A, Products!D:D)</f>
        <v>464</v>
      </c>
      <c r="P1991">
        <f>_xlfn.XLOOKUP(D1991, Products!A:A, Products!E:E)</f>
        <v>1090</v>
      </c>
    </row>
    <row r="1992" spans="1:16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 t="shared" si="31"/>
        <v>Bengaluru</v>
      </c>
      <c r="M1992" t="str">
        <f>_xlfn.XLOOKUP(D1992, Products!A:A, Products!C:C)</f>
        <v>Beauty</v>
      </c>
      <c r="N1992" t="str">
        <f>_xlfn.XLOOKUP(E818, Sales_Reps!A:A, Sales_Reps!C:C)</f>
        <v>South</v>
      </c>
      <c r="O1992">
        <f>_xlfn.XLOOKUP(D1992, Products!A:A, Products!D:D)</f>
        <v>2237</v>
      </c>
      <c r="P1992">
        <f>_xlfn.XLOOKUP(D1992, Products!A:A, Products!E:E)</f>
        <v>5100</v>
      </c>
    </row>
    <row r="1993" spans="1:16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 t="shared" si="31"/>
        <v>Chennai</v>
      </c>
      <c r="M1993" t="str">
        <f>_xlfn.XLOOKUP(D1993, Products!A:A, Products!C:C)</f>
        <v>Beauty</v>
      </c>
      <c r="N1993" t="str">
        <f>_xlfn.XLOOKUP(E819, Sales_Reps!A:A, Sales_Reps!C:C)</f>
        <v>East</v>
      </c>
      <c r="O1993">
        <f>_xlfn.XLOOKUP(D1993, Products!A:A, Products!D:D)</f>
        <v>2768</v>
      </c>
      <c r="P1993">
        <f>_xlfn.XLOOKUP(D1993, Products!A:A, Products!E:E)</f>
        <v>4880</v>
      </c>
    </row>
    <row r="1994" spans="1:16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 t="shared" si="31"/>
        <v>Hyderabad</v>
      </c>
      <c r="M1994" t="str">
        <f>_xlfn.XLOOKUP(D1994, Products!A:A, Products!C:C)</f>
        <v>Electronics</v>
      </c>
      <c r="N1994" t="str">
        <f>_xlfn.XLOOKUP(E820, Sales_Reps!A:A, Sales_Reps!C:C)</f>
        <v>West</v>
      </c>
      <c r="O1994">
        <f>_xlfn.XLOOKUP(D1994, Products!A:A, Products!D:D)</f>
        <v>2405</v>
      </c>
      <c r="P1994">
        <f>_xlfn.XLOOKUP(D1994, Products!A:A, Products!E:E)</f>
        <v>5330</v>
      </c>
    </row>
    <row r="1995" spans="1:16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 t="shared" si="31"/>
        <v>Pune</v>
      </c>
      <c r="M1995" t="str">
        <f>_xlfn.XLOOKUP(D1995, Products!A:A, Products!C:C)</f>
        <v>Home</v>
      </c>
      <c r="N1995" t="str">
        <f>_xlfn.XLOOKUP(E821, Sales_Reps!A:A, Sales_Reps!C:C)</f>
        <v>West</v>
      </c>
      <c r="O1995">
        <f>_xlfn.XLOOKUP(D1995, Products!A:A, Products!D:D)</f>
        <v>1143</v>
      </c>
      <c r="P1995">
        <f>_xlfn.XLOOKUP(D1995, Products!A:A, Products!E:E)</f>
        <v>2030</v>
      </c>
    </row>
    <row r="1996" spans="1:16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 t="shared" si="31"/>
        <v>Bengaluru</v>
      </c>
      <c r="M1996" t="str">
        <f>_xlfn.XLOOKUP(D1996, Products!A:A, Products!C:C)</f>
        <v>Beauty</v>
      </c>
      <c r="N1996" t="str">
        <f>_xlfn.XLOOKUP(E822, Sales_Reps!A:A, Sales_Reps!C:C)</f>
        <v>West</v>
      </c>
      <c r="O1996">
        <f>_xlfn.XLOOKUP(D1996, Products!A:A, Products!D:D)</f>
        <v>1728</v>
      </c>
      <c r="P1996">
        <f>_xlfn.XLOOKUP(D1996, Products!A:A, Products!E:E)</f>
        <v>3350</v>
      </c>
    </row>
    <row r="1997" spans="1:16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 t="shared" si="31"/>
        <v>Chennai</v>
      </c>
      <c r="M1997" t="str">
        <f>_xlfn.XLOOKUP(D1997, Products!A:A, Products!C:C)</f>
        <v>Home</v>
      </c>
      <c r="N1997" t="str">
        <f>_xlfn.XLOOKUP(E823, Sales_Reps!A:A, Sales_Reps!C:C)</f>
        <v>East</v>
      </c>
      <c r="O1997">
        <f>_xlfn.XLOOKUP(D1997, Products!A:A, Products!D:D)</f>
        <v>2135</v>
      </c>
      <c r="P1997">
        <f>_xlfn.XLOOKUP(D1997, Products!A:A, Products!E:E)</f>
        <v>3730</v>
      </c>
    </row>
    <row r="1998" spans="1:16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 t="shared" si="31"/>
        <v>Pune</v>
      </c>
      <c r="M1998" t="str">
        <f>_xlfn.XLOOKUP(D1998, Products!A:A, Products!C:C)</f>
        <v>Electronics</v>
      </c>
      <c r="N1998" t="str">
        <f>_xlfn.XLOOKUP(E824, Sales_Reps!A:A, Sales_Reps!C:C)</f>
        <v>East</v>
      </c>
      <c r="O1998">
        <f>_xlfn.XLOOKUP(D1998, Products!A:A, Products!D:D)</f>
        <v>2865</v>
      </c>
      <c r="P1998">
        <f>_xlfn.XLOOKUP(D1998, Products!A:A, Products!E:E)</f>
        <v>3970</v>
      </c>
    </row>
    <row r="1999" spans="1:16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 t="shared" si="31"/>
        <v>Bengaluru</v>
      </c>
      <c r="M1999" t="str">
        <f>_xlfn.XLOOKUP(D1999, Products!A:A, Products!C:C)</f>
        <v>Grocery</v>
      </c>
      <c r="N1999" t="str">
        <f>_xlfn.XLOOKUP(E825, Sales_Reps!A:A, Sales_Reps!C:C)</f>
        <v>East</v>
      </c>
      <c r="O1999">
        <f>_xlfn.XLOOKUP(D1999, Products!A:A, Products!D:D)</f>
        <v>1010</v>
      </c>
      <c r="P1999">
        <f>_xlfn.XLOOKUP(D1999, Products!A:A, Products!E:E)</f>
        <v>2210</v>
      </c>
    </row>
    <row r="2000" spans="1:16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 t="shared" si="31"/>
        <v>Delhi</v>
      </c>
      <c r="M2000" t="str">
        <f>_xlfn.XLOOKUP(D2000, Products!A:A, Products!C:C)</f>
        <v>Sports</v>
      </c>
      <c r="N2000" t="str">
        <f>_xlfn.XLOOKUP(E826, Sales_Reps!A:A, Sales_Reps!C:C)</f>
        <v>South</v>
      </c>
      <c r="O2000">
        <f>_xlfn.XLOOKUP(D2000, Products!A:A, Products!D:D)</f>
        <v>2265</v>
      </c>
      <c r="P2000">
        <f>_xlfn.XLOOKUP(D2000, Products!A:A, Products!E:E)</f>
        <v>5410</v>
      </c>
    </row>
    <row r="2001" spans="1:16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 t="shared" si="31"/>
        <v>Delhi</v>
      </c>
      <c r="M2001" t="str">
        <f>_xlfn.XLOOKUP(D2001, Products!A:A, Products!C:C)</f>
        <v>Home</v>
      </c>
      <c r="N2001" t="str">
        <f>_xlfn.XLOOKUP(E827, Sales_Reps!A:A, Sales_Reps!C:C)</f>
        <v>West</v>
      </c>
      <c r="O2001">
        <f>_xlfn.XLOOKUP(D2001, Products!A:A, Products!D:D)</f>
        <v>2459</v>
      </c>
      <c r="P2001">
        <f>_xlfn.XLOOKUP(D2001, Products!A:A, Products!E:E)</f>
        <v>5080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57" activePane="bottomLeft" state="frozen"/>
      <selection pane="bottomLeft" activeCell="A266" sqref="A266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40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6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38" t="s">
        <v>3021</v>
      </c>
      <c r="B1" s="37"/>
      <c r="C1" s="37"/>
      <c r="D1" s="37"/>
      <c r="E1" s="37"/>
      <c r="F1" s="37"/>
    </row>
    <row r="2" spans="1:6" x14ac:dyDescent="0.3">
      <c r="A2" s="36" t="s">
        <v>2898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2904</v>
      </c>
      <c r="B5" s="27" t="s">
        <v>2905</v>
      </c>
      <c r="C5" s="28">
        <v>3</v>
      </c>
      <c r="D5" s="29" t="s">
        <v>2906</v>
      </c>
      <c r="E5" t="str">
        <f>_xlfn.XLOOKUP("ORD-00234", Orders!A:A, Orders!C:C)</f>
        <v>CUST-0173</v>
      </c>
      <c r="F5" s="30" t="s">
        <v>2907</v>
      </c>
    </row>
    <row r="6" spans="1:6" ht="42" customHeight="1" x14ac:dyDescent="0.3">
      <c r="A6" s="26" t="s">
        <v>2908</v>
      </c>
      <c r="B6" s="27" t="s">
        <v>2909</v>
      </c>
      <c r="C6" s="28">
        <v>3</v>
      </c>
      <c r="D6" s="29" t="s">
        <v>2910</v>
      </c>
      <c r="E6" t="str">
        <f>_xlfn.XLOOKUP(_xlfn.XLOOKUP("ORD-00456", Orders!A:A, Orders!D:D), Products!A:A, Products!B:B)</f>
        <v>Dumbbells 5kg</v>
      </c>
      <c r="F6" s="30" t="s">
        <v>2911</v>
      </c>
    </row>
    <row r="7" spans="1:6" ht="42" customHeight="1" x14ac:dyDescent="0.3">
      <c r="A7" s="26" t="s">
        <v>2912</v>
      </c>
      <c r="B7" s="27" t="s">
        <v>2913</v>
      </c>
      <c r="C7" s="28">
        <v>3</v>
      </c>
      <c r="D7" s="29" t="s">
        <v>3015</v>
      </c>
      <c r="E7" t="str">
        <f>_xlfn.XLOOKUP(_xlfn.XLOOKUP("ORD-00987", Orders!A:A, Orders!E:E), Sales_Reps!A:A, Sales_Reps!B:B)</f>
        <v>Nisha Menon</v>
      </c>
      <c r="F7" s="30" t="s">
        <v>2911</v>
      </c>
    </row>
    <row r="8" spans="1:6" ht="42" customHeight="1" x14ac:dyDescent="0.3">
      <c r="A8" s="26" t="s">
        <v>2914</v>
      </c>
      <c r="B8" s="27" t="s">
        <v>2915</v>
      </c>
      <c r="C8" s="28">
        <v>4</v>
      </c>
      <c r="D8" s="29" t="s">
        <v>2916</v>
      </c>
      <c r="E8">
        <f>INDEX(Targets!B2:M100, MATCH("R012", Targets!A2:A100, 0), MATCH("Mar-24", Targets!B1:M1, 0))</f>
        <v>321255</v>
      </c>
      <c r="F8" s="30" t="s">
        <v>2917</v>
      </c>
    </row>
    <row r="9" spans="1:6" ht="42" customHeight="1" x14ac:dyDescent="0.3">
      <c r="A9" s="26" t="s">
        <v>2918</v>
      </c>
      <c r="B9" s="27" t="s">
        <v>2919</v>
      </c>
      <c r="C9" s="28">
        <v>4</v>
      </c>
      <c r="D9" s="29" t="s">
        <v>2920</v>
      </c>
      <c r="E9" t="str">
        <f>_xlfn.XLOOKUP(_xlfn.XLOOKUP("ORD-01500", Orders!A:A, Orders!D:D), Products!A:A, Products!C:C)</f>
        <v>Electronics</v>
      </c>
      <c r="F9" s="30" t="s">
        <v>2911</v>
      </c>
    </row>
    <row r="10" spans="1:6" ht="42" customHeight="1" x14ac:dyDescent="0.3">
      <c r="A10" s="26" t="s">
        <v>2921</v>
      </c>
      <c r="B10" s="27" t="s">
        <v>2922</v>
      </c>
      <c r="C10" s="28">
        <v>3</v>
      </c>
      <c r="D10" s="29" t="s">
        <v>2923</v>
      </c>
      <c r="E10" t="str">
        <f>_xlfn.XLOOKUP(_xlfn.XLOOKUP("ORD-00789", Orders!A:A, Orders!H:H), B17:B20, C17:C20, "", -1)</f>
        <v>Bronze</v>
      </c>
      <c r="F10" s="30" t="s">
        <v>2911</v>
      </c>
    </row>
    <row r="11" spans="1:6" ht="42" customHeight="1" x14ac:dyDescent="0.3">
      <c r="A11" s="26" t="s">
        <v>2924</v>
      </c>
      <c r="B11" s="27" t="s">
        <v>3016</v>
      </c>
      <c r="C11" s="28">
        <v>3</v>
      </c>
      <c r="D11" s="29" t="s">
        <v>2925</v>
      </c>
      <c r="E11" t="str">
        <f>_xlfn.XLOOKUP(_xlfn.XLOOKUP("ORD-01234", Orders!A:A, Orders!E:E), Sales_Reps!A:A, Sales_Reps!B:B) &amp; " (" &amp; _xlfn.XLOOKUP(_xlfn.XLOOKUP("ORD-01234", Orders!A:A, Orders!E:E), Sales_Reps!A:A, Sales_Reps!C:C) &amp; ")"</f>
        <v>Sanjay Kapoor (South)</v>
      </c>
      <c r="F11" s="30" t="s">
        <v>2911</v>
      </c>
    </row>
    <row r="12" spans="1:6" ht="42" customHeight="1" x14ac:dyDescent="0.3">
      <c r="A12" s="26" t="s">
        <v>2926</v>
      </c>
      <c r="B12" s="27" t="s">
        <v>3017</v>
      </c>
      <c r="C12" s="28">
        <v>2</v>
      </c>
      <c r="D12" s="29" t="s">
        <v>2927</v>
      </c>
      <c r="E12" t="str">
        <f>_xlfn.XLOOKUP(_xlfn.XLOOKUP("R017", Sales_Reps!A:A, Sales_Reps!E:E), Sales_Reps!A:A, Sales_Reps!B:B)</f>
        <v>Amit Singh</v>
      </c>
      <c r="F12" s="30" t="s">
        <v>2911</v>
      </c>
    </row>
    <row r="15" spans="1:6" x14ac:dyDescent="0.3">
      <c r="B15" s="21" t="s">
        <v>2928</v>
      </c>
    </row>
    <row r="17" spans="2:3" x14ac:dyDescent="0.3">
      <c r="B17" s="22" t="s">
        <v>2929</v>
      </c>
      <c r="C17" s="22" t="s">
        <v>2930</v>
      </c>
    </row>
    <row r="18" spans="2:3" x14ac:dyDescent="0.3">
      <c r="B18" s="23">
        <v>0</v>
      </c>
      <c r="C18" s="23" t="s">
        <v>2931</v>
      </c>
    </row>
    <row r="19" spans="2:3" x14ac:dyDescent="0.3">
      <c r="B19" s="23">
        <v>5</v>
      </c>
      <c r="C19" s="23" t="s">
        <v>2932</v>
      </c>
    </row>
    <row r="20" spans="2:3" x14ac:dyDescent="0.3">
      <c r="B20" s="23">
        <v>15</v>
      </c>
      <c r="C20" s="23" t="s">
        <v>2933</v>
      </c>
    </row>
    <row r="21" spans="2:3" x14ac:dyDescent="0.3">
      <c r="B21" s="23">
        <v>25</v>
      </c>
      <c r="C21" s="23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8" t="s">
        <v>3022</v>
      </c>
      <c r="B1" s="37"/>
      <c r="C1" s="37"/>
      <c r="D1" s="37"/>
      <c r="E1" s="37"/>
      <c r="F1" s="37"/>
    </row>
    <row r="2" spans="1:6" x14ac:dyDescent="0.3">
      <c r="A2" s="36" t="s">
        <v>2935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2936</v>
      </c>
      <c r="B5" s="27" t="s">
        <v>2937</v>
      </c>
      <c r="C5" s="28">
        <v>3</v>
      </c>
      <c r="D5" s="29" t="s">
        <v>3019</v>
      </c>
      <c r="E5" cm="1">
        <f t="array" ref="E5">SUM(--(COUNTIF(Orders!A2:A10000, _xlfn.UNIQUE(Orders!A2:A10000))&gt;1))</f>
        <v>20</v>
      </c>
      <c r="F5" s="30" t="s">
        <v>2917</v>
      </c>
    </row>
    <row r="6" spans="1:6" ht="42" customHeight="1" x14ac:dyDescent="0.3">
      <c r="A6" s="26" t="s">
        <v>2938</v>
      </c>
      <c r="B6" s="27" t="s">
        <v>2939</v>
      </c>
      <c r="C6" s="28">
        <v>3</v>
      </c>
      <c r="D6" s="29" t="s">
        <v>2940</v>
      </c>
      <c r="E6" cm="1">
        <f t="array" ref="E6">SUMPRODUCT(--(LEN(Customers!B2:B1000)&lt;&gt;LEN(TRIM(Customers!B2:B1000))))</f>
        <v>15</v>
      </c>
      <c r="F6" s="30" t="s">
        <v>2917</v>
      </c>
    </row>
    <row r="7" spans="1:6" ht="42" customHeight="1" x14ac:dyDescent="0.3">
      <c r="A7" s="26" t="s">
        <v>2941</v>
      </c>
      <c r="B7" s="27" t="s">
        <v>2942</v>
      </c>
      <c r="C7" s="28">
        <v>3</v>
      </c>
      <c r="D7" s="29" t="s">
        <v>2943</v>
      </c>
      <c r="E7" cm="1">
        <f t="array" ref="E7">COUNTA(_xlfn.UNIQUE(PROPER(TRIM(Customers!D2:D1000))))</f>
        <v>7</v>
      </c>
      <c r="F7" s="30" t="s">
        <v>2917</v>
      </c>
    </row>
    <row r="8" spans="1:6" ht="42" customHeight="1" x14ac:dyDescent="0.3">
      <c r="A8" s="26" t="s">
        <v>2944</v>
      </c>
      <c r="B8" s="27" t="s">
        <v>2945</v>
      </c>
      <c r="C8" s="28">
        <v>4</v>
      </c>
      <c r="D8" s="29" t="s">
        <v>2946</v>
      </c>
      <c r="E8" cm="1">
        <f t="array" ref="E8">SUMPRODUCT(--ISNA(MATCH(Orders!C2:C10000, Customers!A:A, 0)))</f>
        <v>8029</v>
      </c>
      <c r="F8" s="30" t="s">
        <v>2917</v>
      </c>
    </row>
    <row r="9" spans="1:6" ht="42" customHeight="1" x14ac:dyDescent="0.3">
      <c r="A9" s="26" t="s">
        <v>2947</v>
      </c>
      <c r="B9" s="27" t="s">
        <v>2948</v>
      </c>
      <c r="C9" s="28">
        <v>3</v>
      </c>
      <c r="D9" s="29" t="s">
        <v>2949</v>
      </c>
      <c r="E9">
        <f>_xlfn.XLOOKUP(D2, Products!A:A, Products!F:F)</f>
        <v>0</v>
      </c>
      <c r="F9" s="30" t="s">
        <v>2917</v>
      </c>
    </row>
    <row r="10" spans="1:6" ht="42" customHeight="1" x14ac:dyDescent="0.3">
      <c r="A10" s="26" t="s">
        <v>2950</v>
      </c>
      <c r="B10" s="27" t="s">
        <v>3018</v>
      </c>
      <c r="C10" s="28">
        <v>4</v>
      </c>
      <c r="D10" s="29" t="s">
        <v>2951</v>
      </c>
      <c r="E10">
        <f>COUNTIFS(Orders!J:J, "Cancelled", Orders!H:H, "&gt;20")</f>
        <v>58</v>
      </c>
      <c r="F10" s="30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3023</v>
      </c>
      <c r="B1" s="32"/>
      <c r="C1" s="32"/>
      <c r="D1" s="32"/>
      <c r="E1" s="32"/>
      <c r="F1" s="32"/>
    </row>
    <row r="2" spans="1:6" x14ac:dyDescent="0.3">
      <c r="A2" s="36" t="s">
        <v>2952</v>
      </c>
      <c r="B2" s="37"/>
      <c r="C2" s="37"/>
      <c r="D2" s="37"/>
      <c r="E2" s="37"/>
      <c r="F2" s="37"/>
    </row>
    <row r="3" spans="1:6" x14ac:dyDescent="0.3">
      <c r="A3" s="24"/>
      <c r="B3" s="24"/>
      <c r="C3" s="24"/>
      <c r="D3" s="24"/>
      <c r="E3" s="24"/>
      <c r="F3" s="24"/>
    </row>
    <row r="4" spans="1:6" ht="24" customHeight="1" x14ac:dyDescent="0.3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 x14ac:dyDescent="0.3">
      <c r="A5" s="26" t="s">
        <v>2953</v>
      </c>
      <c r="B5" s="27" t="s">
        <v>2954</v>
      </c>
      <c r="C5" s="28">
        <v>4</v>
      </c>
      <c r="D5" s="29" t="s">
        <v>2955</v>
      </c>
      <c r="E5" cm="1">
        <f t="array" ref="E5">SUM(_xlfn._xlws.FILTER(Orders!I2:I10000, (Orders!B2:B10000&gt;=DATE(2024,7,1)) * (Orders!B2:B10000&lt;=DATE(2024,9,30)) * (PROPER(TRIM(Orders!K2:K10000))="Mumbai"), 0))</f>
        <v>1217239.0099999998</v>
      </c>
      <c r="F5" s="30" t="s">
        <v>2956</v>
      </c>
    </row>
    <row r="6" spans="1:6" ht="42" customHeight="1" x14ac:dyDescent="0.3">
      <c r="A6" s="26" t="s">
        <v>2957</v>
      </c>
      <c r="B6" s="27" t="s">
        <v>2958</v>
      </c>
      <c r="C6" s="28">
        <v>3</v>
      </c>
      <c r="D6" s="29" t="s">
        <v>2959</v>
      </c>
      <c r="E6">
        <f>COUNTIFS(Orders!H:H, "&gt;15", Orders!J:J, "Completed")</f>
        <v>723</v>
      </c>
      <c r="F6" s="30" t="s">
        <v>2917</v>
      </c>
    </row>
    <row r="7" spans="1:6" ht="42" customHeight="1" x14ac:dyDescent="0.3">
      <c r="A7" s="26" t="s">
        <v>2960</v>
      </c>
      <c r="B7" s="27" t="s">
        <v>3020</v>
      </c>
      <c r="C7" s="28">
        <v>5</v>
      </c>
      <c r="D7" s="29" t="s">
        <v>2961</v>
      </c>
      <c r="E7" cm="1">
        <f t="array" ref="E7">AVERAGE(_xlfn._xlws.FILTER(Orders!I2:I10000, (_xlfn.XLOOKUP(Orders!D2:D10000, Products!A:A, Products!C:C, "")="Electronics") * (_xlfn.XLOOKUP(Orders!C2:C10000, Customers!A:A, Customers!E:E, "")="Corporate")))</f>
        <v>13981.401558441557</v>
      </c>
      <c r="F7" s="30" t="s">
        <v>2956</v>
      </c>
    </row>
    <row r="8" spans="1:6" ht="42" customHeight="1" x14ac:dyDescent="0.3">
      <c r="A8" s="26" t="s">
        <v>2962</v>
      </c>
      <c r="B8" s="27" t="s">
        <v>2963</v>
      </c>
      <c r="C8" s="28">
        <v>4</v>
      </c>
      <c r="D8" s="29" t="s">
        <v>2964</v>
      </c>
      <c r="E8" cm="1">
        <f t="array" ref="E8">SUM(LARGE(SUMIFS(Orders!I:I, Orders!E:E, _xlfn.UNIQUE(_xlfn._xlws.FILTER(Orders!E2:E10000, Orders!E2:E10000&lt;&gt;""))), {1,2,3}))</f>
        <v>3342678.55</v>
      </c>
      <c r="F8" s="30" t="s">
        <v>2956</v>
      </c>
    </row>
    <row r="9" spans="1:6" ht="42" customHeight="1" x14ac:dyDescent="0.3">
      <c r="A9" s="26" t="s">
        <v>2965</v>
      </c>
      <c r="B9" s="27" t="s">
        <v>2966</v>
      </c>
      <c r="C9" s="28">
        <v>5</v>
      </c>
      <c r="D9" s="29" t="s">
        <v>2967</v>
      </c>
      <c r="E9" t="str" cm="1">
        <f t="array" ref="E9">_xlfn.LET(_xlpm.actual, SUMIFS(Orders!I:I, Orders!E:E, "R015", Orders!B:B, "&gt;=11/1/2024", Orders!B:B, "&lt;=11/30/2024"), _xlpm.target, INDEX(Targets!B2:M100, MATCH("R015", Targets!A2:A100, 0), MATCH("Nov-24", Targets!B1:M1, 0)), _xlpm.ratio, _xlpm.actual/_xlpm.target, _xlfn.IFS(_xlpm.ratio&lt;0.8, "Below", _xlpm.ratio&lt;=1.2, "On Track", _xlpm.ratio&gt;1.2, "Exceeds"))</f>
        <v>Below</v>
      </c>
      <c r="F9" s="30" t="s">
        <v>2911</v>
      </c>
    </row>
    <row r="10" spans="1:6" ht="42" customHeight="1" x14ac:dyDescent="0.3">
      <c r="A10" s="26" t="s">
        <v>2968</v>
      </c>
      <c r="B10" s="27" t="s">
        <v>2969</v>
      </c>
      <c r="C10" s="28">
        <v>4</v>
      </c>
      <c r="D10" s="29" t="s">
        <v>2970</v>
      </c>
      <c r="E10" cm="1">
        <f t="array" ref="E10">SUM(_xlfn._xlws.FILTER(Orders!I2:I10000, (_xlfn.XLOOKUP(Orders!C2:C10000, Customers!A:A, Customers!E:E, "")="Corporate") * (_xlfn.XLOOKUP(Orders!C2:C10000, Customers!A:A, Customers!C:C, 0)&gt;=30) * (_xlfn.XLOOKUP(Orders!C2:C10000, Customers!A:A, Customers!C:C, 0)&lt;=40), 0))</f>
        <v>982568.40000000014</v>
      </c>
      <c r="F10" s="30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abSelected="1" topLeftCell="B1"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3024</v>
      </c>
      <c r="B1" s="32"/>
      <c r="C1" s="32"/>
      <c r="D1" s="32"/>
      <c r="E1" s="32"/>
      <c r="F1" s="32"/>
    </row>
    <row r="2" spans="1:6" x14ac:dyDescent="0.3">
      <c r="A2" s="31" t="s">
        <v>2971</v>
      </c>
      <c r="B2" s="32"/>
      <c r="C2" s="32"/>
      <c r="D2" s="32"/>
      <c r="E2" s="32"/>
      <c r="F2" s="32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42">
        <v>1453231.8199999994</v>
      </c>
      <c r="F5" s="20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>
        <v>216421.52</v>
      </c>
      <c r="F6" s="20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46">
        <v>0.13815371604118815</v>
      </c>
      <c r="F7" s="20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>
        <v>6459442.9800000004</v>
      </c>
      <c r="F8" s="20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46">
        <v>0.44900000000000001</v>
      </c>
      <c r="F9" s="20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3" t="s">
        <v>3025</v>
      </c>
      <c r="B1" s="32"/>
      <c r="C1" s="32"/>
      <c r="D1" s="32"/>
      <c r="E1" s="32"/>
      <c r="F1" s="32"/>
    </row>
    <row r="2" spans="1:6" x14ac:dyDescent="0.3">
      <c r="A2" s="31" t="s">
        <v>2988</v>
      </c>
      <c r="B2" s="32"/>
      <c r="C2" s="32"/>
      <c r="D2" s="32"/>
      <c r="E2" s="32"/>
      <c r="F2" s="32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t="str" cm="1">
        <f t="array" ref="E5">_xlfn.LET(_xlpm.reps, _xlfn.UNIQUE(Orders!E2:E10000), _xlpm.revs, SUMIFS(Orders!I2:I10000, Orders!E2:E10000, _xlpm.reps), _xlpm.sorted, _xlfn.SORTBY(_xlpm.reps, _xlpm.revs, -1), _xlfn.XLOOKUP(INDEX(_xlpm.sorted, 7), Sales_Reps!A:A, Sales_Reps!B:B))</f>
        <v>Amit Singh</v>
      </c>
      <c r="F5" s="20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>
        <f>SUMIFS(Orders!I:I, Orders!B:B, "&lt;=" &amp; DATE(2024, 8, 31))</f>
        <v>18050689.600000005</v>
      </c>
      <c r="F6" s="20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t="str" cm="1">
        <f t="array" ref="E7">_xlfn.LET(_xlpm.prods, _xlfn.UNIQUE(Orders!D2:D10000), _xlpm.revs, _xlfn.MAP(_xlpm.prods, _xlfn.LAMBDA(_xlpm.p, SUM(_xlfn._xlws.FILTER(Orders!I2:I10000, (Orders!D2:D10000=_xlpm.p) * (_xlfn.XLOOKUP(Orders!E2:E10000, Sales_Reps!A:A, Sales_Reps!C:C)="West"), 0)))), _xlpm.sorted, _xlfn.SORTBY(_xlpm.prods, _xlpm.revs, -1), _xlfn.XLOOKUP(INDEX(_xlpm.sorted, 2), Products!A:A, Products!B:B))</f>
        <v>Smart Watch</v>
      </c>
      <c r="F7" s="20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t="str" cm="1">
        <f t="array" ref="E8">_xlfn.LET(_xlpm.reps, _xlfn.UNIQUE(Orders!E2:E10000), _xlpm.revs, SUMIFS(Orders!I2:I10000, Orders!E2:E10000, _xlpm.reps), _xlpm.sorted_reps, _xlfn.SORTBY(_xlpm.reps, _xlpm.revs, -1), _xlpm.top_5_ids, _xlfn.TAKE(_xlpm.sorted_reps, 5), _xlpm.top_5_names, _xlfn.XLOOKUP(_xlpm.top_5_ids, Sales_Reps!A:A, Sales_Reps!B:B), _xlfn.TEXTJOIN(" | ", TRUE, _xlpm.top_5_names))</f>
        <v>Neha Desai | Shalini Patel | Deepak Shah | Nisha Menon | Arun Iyer</v>
      </c>
      <c r="F8" s="20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cm="1">
        <f t="array" ref="E9">MAX(_xlfn._xlws.FILTER(Orders!I2:I10000, (PROPER(TRIM(Orders!K2:K10000))="Bengaluru") * (_xlfn.XLOOKUP(Orders!D2:D10000, Products!A:A, Products!C:C)="Grocery"), 0))</f>
        <v>22134</v>
      </c>
      <c r="F9" s="20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README</vt:lpstr>
      <vt:lpstr>Detail1</vt:lpstr>
      <vt:lpstr>Sheet1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Logeshwaran Jayagandan</cp:lastModifiedBy>
  <dcterms:created xsi:type="dcterms:W3CDTF">2026-08-08T11:39:42Z</dcterms:created>
  <dcterms:modified xsi:type="dcterms:W3CDTF">2026-08-17T07:05:14Z</dcterms:modified>
</cp:coreProperties>
</file>